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hysturton/Downloads/"/>
    </mc:Choice>
  </mc:AlternateContent>
  <xr:revisionPtr revIDLastSave="0" documentId="13_ncr:1_{171C54B2-4D81-5349-86A0-5C96AFE6CBC9}" xr6:coauthVersionLast="36" xr6:coauthVersionMax="47" xr10:uidLastSave="{00000000-0000-0000-0000-000000000000}"/>
  <bookViews>
    <workbookView xWindow="900" yWindow="500" windowWidth="48320" windowHeight="26700" tabRatio="722" xr2:uid="{00000000-000D-0000-FFFF-FFFF00000000}"/>
  </bookViews>
  <sheets>
    <sheet name="SUMMARY" sheetId="12" r:id="rId1"/>
    <sheet name="Release Notes" sheetId="19" state="hidden" r:id="rId2"/>
    <sheet name="DMC Threads - By Number" sheetId="4" r:id="rId3"/>
    <sheet name="Sheet1" sheetId="7" state="hidden" r:id="rId4"/>
    <sheet name="DMC Threads - By Color (2)" sheetId="18" state="hidden" r:id="rId5"/>
    <sheet name="Sheet2" sheetId="8" state="hidden" r:id="rId6"/>
    <sheet name="Print - By Number" sheetId="22" r:id="rId7"/>
    <sheet name="Print - By Number - Blank" sheetId="23" state="hidden" r:id="rId8"/>
    <sheet name="DMC Threads - By Color" sheetId="5" r:id="rId9"/>
    <sheet name="Column Look Up" sheetId="6" r:id="rId10"/>
    <sheet name="Discontinued &amp; Hard-To-Find" sheetId="17" r:id="rId11"/>
    <sheet name="Main Color Chart" sheetId="9" r:id="rId12"/>
    <sheet name="Skin &amp; Hair Colour Charts" sheetId="14" r:id="rId13"/>
    <sheet name="Color Breakdowns" sheetId="24" r:id="rId14"/>
    <sheet name="Availability Checker" sheetId="11" r:id="rId15"/>
    <sheet name="Dimensions Calculator" sheetId="10" r:id="rId16"/>
    <sheet name="Floss Use Estimator" sheetId="13" r:id="rId17"/>
    <sheet name="Calc Hidden" sheetId="16" state="hidden" r:id="rId18"/>
    <sheet name="Thread Conversion Chart" sheetId="15" r:id="rId19"/>
  </sheets>
  <definedNames>
    <definedName name="_xlnm._FilterDatabase" localSheetId="18" hidden="1">'Thread Conversion Chart'!$B$2:$K$490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9" i="5" l="1"/>
  <c r="E28" i="5"/>
  <c r="E27" i="5"/>
  <c r="E26" i="5"/>
  <c r="E25" i="5"/>
  <c r="E24" i="5"/>
  <c r="E23" i="5"/>
  <c r="E22" i="5"/>
  <c r="E21" i="5"/>
  <c r="E20" i="5"/>
  <c r="E19" i="5"/>
  <c r="E17" i="5"/>
  <c r="E18" i="5"/>
  <c r="E16" i="5"/>
  <c r="E15" i="5"/>
  <c r="E14" i="5"/>
  <c r="E13" i="5"/>
  <c r="E12" i="5"/>
  <c r="C622" i="7" l="1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04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537" i="7"/>
  <c r="D483" i="22" l="1"/>
  <c r="D484" i="22"/>
  <c r="D485" i="22"/>
  <c r="D824" i="22" l="1"/>
  <c r="D825" i="22"/>
  <c r="D826" i="22"/>
  <c r="D827" i="22"/>
  <c r="D828" i="22"/>
  <c r="D829" i="22"/>
  <c r="D830" i="22"/>
  <c r="D831" i="22"/>
  <c r="D832" i="22"/>
  <c r="D833" i="22"/>
  <c r="D834" i="22"/>
  <c r="D835" i="22"/>
  <c r="D823" i="22"/>
  <c r="D776" i="22"/>
  <c r="D777" i="22"/>
  <c r="D778" i="22"/>
  <c r="D779" i="22"/>
  <c r="D780" i="22"/>
  <c r="D781" i="22"/>
  <c r="D782" i="22"/>
  <c r="D783" i="22"/>
  <c r="D784" i="22"/>
  <c r="D785" i="22"/>
  <c r="D786" i="22"/>
  <c r="D787" i="22"/>
  <c r="D788" i="22"/>
  <c r="D789" i="22"/>
  <c r="D790" i="22"/>
  <c r="D791" i="22"/>
  <c r="D792" i="22"/>
  <c r="D793" i="22"/>
  <c r="D794" i="22"/>
  <c r="D795" i="22"/>
  <c r="D796" i="22"/>
  <c r="D797" i="22"/>
  <c r="D798" i="22"/>
  <c r="D799" i="22"/>
  <c r="D800" i="22"/>
  <c r="D801" i="22"/>
  <c r="D802" i="22"/>
  <c r="D803" i="22"/>
  <c r="D804" i="22"/>
  <c r="D805" i="22"/>
  <c r="D806" i="22"/>
  <c r="D807" i="22"/>
  <c r="D808" i="22"/>
  <c r="D809" i="22"/>
  <c r="D810" i="22"/>
  <c r="D811" i="22"/>
  <c r="D812" i="22"/>
  <c r="D813" i="22"/>
  <c r="D814" i="22"/>
  <c r="D815" i="22"/>
  <c r="D816" i="22"/>
  <c r="D817" i="22"/>
  <c r="D818" i="22"/>
  <c r="D819" i="22"/>
  <c r="D820" i="22"/>
  <c r="D821" i="22"/>
  <c r="D775" i="22"/>
  <c r="D728" i="22"/>
  <c r="D729" i="22"/>
  <c r="D730" i="22"/>
  <c r="D731" i="22"/>
  <c r="D732" i="22"/>
  <c r="D733" i="22"/>
  <c r="D734" i="22"/>
  <c r="D735" i="22"/>
  <c r="D736" i="22"/>
  <c r="D737" i="22"/>
  <c r="D738" i="22"/>
  <c r="D739" i="22"/>
  <c r="D740" i="22"/>
  <c r="D741" i="22"/>
  <c r="D742" i="22"/>
  <c r="D743" i="22"/>
  <c r="D744" i="22"/>
  <c r="D745" i="22"/>
  <c r="D746" i="22"/>
  <c r="D747" i="22"/>
  <c r="D748" i="22"/>
  <c r="D749" i="22"/>
  <c r="D750" i="22"/>
  <c r="D751" i="22"/>
  <c r="D752" i="22"/>
  <c r="D753" i="22"/>
  <c r="D754" i="22"/>
  <c r="D755" i="22"/>
  <c r="D756" i="22"/>
  <c r="D757" i="22"/>
  <c r="D758" i="22"/>
  <c r="D759" i="22"/>
  <c r="D760" i="22"/>
  <c r="D761" i="22"/>
  <c r="D727" i="22"/>
  <c r="D680" i="22"/>
  <c r="D681" i="22"/>
  <c r="D682" i="22"/>
  <c r="D683" i="22"/>
  <c r="D684" i="22"/>
  <c r="D685" i="22"/>
  <c r="D686" i="22"/>
  <c r="D687" i="22"/>
  <c r="D688" i="22"/>
  <c r="D689" i="22"/>
  <c r="D690" i="22"/>
  <c r="D691" i="22"/>
  <c r="D692" i="22"/>
  <c r="D693" i="22"/>
  <c r="D694" i="22"/>
  <c r="D695" i="22"/>
  <c r="D696" i="22"/>
  <c r="D697" i="22"/>
  <c r="D698" i="22"/>
  <c r="D699" i="22"/>
  <c r="D700" i="22"/>
  <c r="D701" i="22"/>
  <c r="D702" i="22"/>
  <c r="D679" i="22"/>
  <c r="D632" i="22"/>
  <c r="D633" i="22"/>
  <c r="D634" i="22"/>
  <c r="D635" i="22"/>
  <c r="D636" i="22"/>
  <c r="D637" i="22"/>
  <c r="D638" i="22"/>
  <c r="D639" i="22"/>
  <c r="D631" i="22"/>
  <c r="D629" i="22"/>
  <c r="D628" i="22"/>
  <c r="D627" i="22"/>
  <c r="D626" i="22"/>
  <c r="D625" i="22"/>
  <c r="D624" i="22"/>
  <c r="D623" i="22"/>
  <c r="D622" i="22"/>
  <c r="D621" i="22"/>
  <c r="D620" i="22"/>
  <c r="D584" i="22"/>
  <c r="D585" i="22"/>
  <c r="D586" i="22"/>
  <c r="D587" i="22"/>
  <c r="D588" i="22"/>
  <c r="D589" i="22"/>
  <c r="D590" i="22"/>
  <c r="D591" i="22"/>
  <c r="D592" i="22"/>
  <c r="D593" i="22"/>
  <c r="D594" i="22"/>
  <c r="D595" i="22"/>
  <c r="D596" i="22"/>
  <c r="D597" i="22"/>
  <c r="D598" i="22"/>
  <c r="D599" i="22"/>
  <c r="D600" i="22"/>
  <c r="D601" i="22"/>
  <c r="D602" i="22"/>
  <c r="D603" i="22"/>
  <c r="D604" i="22"/>
  <c r="D605" i="22"/>
  <c r="D606" i="22"/>
  <c r="D607" i="22"/>
  <c r="D608" i="22"/>
  <c r="D609" i="22"/>
  <c r="D610" i="22"/>
  <c r="D611" i="22"/>
  <c r="D612" i="22"/>
  <c r="D613" i="22"/>
  <c r="D614" i="22"/>
  <c r="D615" i="22"/>
  <c r="D616" i="22"/>
  <c r="D617" i="22"/>
  <c r="D618" i="22"/>
  <c r="D619" i="22"/>
  <c r="D583" i="22"/>
  <c r="D553" i="22"/>
  <c r="D554" i="22"/>
  <c r="D555" i="22"/>
  <c r="D556" i="22"/>
  <c r="D557" i="22"/>
  <c r="D558" i="22"/>
  <c r="D559" i="22"/>
  <c r="D560" i="22"/>
  <c r="D561" i="22"/>
  <c r="D562" i="22"/>
  <c r="D563" i="22"/>
  <c r="D564" i="22"/>
  <c r="D565" i="22"/>
  <c r="D566" i="22"/>
  <c r="D567" i="22"/>
  <c r="D568" i="22"/>
  <c r="D569" i="22"/>
  <c r="D570" i="22"/>
  <c r="D571" i="22"/>
  <c r="D572" i="22"/>
  <c r="D573" i="22"/>
  <c r="D574" i="22"/>
  <c r="D575" i="22"/>
  <c r="D576" i="22"/>
  <c r="D577" i="22"/>
  <c r="D578" i="22"/>
  <c r="D579" i="22"/>
  <c r="D580" i="22"/>
  <c r="D581" i="22"/>
  <c r="D552" i="22"/>
  <c r="D536" i="22"/>
  <c r="D537" i="22"/>
  <c r="D538" i="22"/>
  <c r="D539" i="22"/>
  <c r="D540" i="22"/>
  <c r="D541" i="22"/>
  <c r="D542" i="22"/>
  <c r="D543" i="22"/>
  <c r="D544" i="22"/>
  <c r="D545" i="22"/>
  <c r="D546" i="22"/>
  <c r="D547" i="22"/>
  <c r="D548" i="22"/>
  <c r="D549" i="22"/>
  <c r="D550" i="22"/>
  <c r="D551" i="22"/>
  <c r="D535" i="22"/>
  <c r="D488" i="22"/>
  <c r="D489" i="22"/>
  <c r="D490" i="22"/>
  <c r="D491" i="22"/>
  <c r="D492" i="22"/>
  <c r="D493" i="22"/>
  <c r="D494" i="22"/>
  <c r="D495" i="22"/>
  <c r="D496" i="22"/>
  <c r="D497" i="22"/>
  <c r="D498" i="22"/>
  <c r="D499" i="22"/>
  <c r="D500" i="22"/>
  <c r="D501" i="22"/>
  <c r="D502" i="22"/>
  <c r="D503" i="22"/>
  <c r="D504" i="22"/>
  <c r="D505" i="22"/>
  <c r="D506" i="22"/>
  <c r="D507" i="22"/>
  <c r="D508" i="22"/>
  <c r="D509" i="22"/>
  <c r="D510" i="22"/>
  <c r="D511" i="22"/>
  <c r="D512" i="22"/>
  <c r="D513" i="22"/>
  <c r="D514" i="22"/>
  <c r="D515" i="22"/>
  <c r="D516" i="22"/>
  <c r="D517" i="22"/>
  <c r="D518" i="22"/>
  <c r="D519" i="22"/>
  <c r="D520" i="22"/>
  <c r="D521" i="22"/>
  <c r="D522" i="22"/>
  <c r="D523" i="22"/>
  <c r="D524" i="22"/>
  <c r="D525" i="22"/>
  <c r="D526" i="22"/>
  <c r="D527" i="22"/>
  <c r="D528" i="22"/>
  <c r="D529" i="22"/>
  <c r="D530" i="22"/>
  <c r="D531" i="22"/>
  <c r="D532" i="22"/>
  <c r="D533" i="22"/>
  <c r="D487" i="22"/>
  <c r="D440" i="22"/>
  <c r="D441" i="22"/>
  <c r="D442" i="22"/>
  <c r="D443" i="22"/>
  <c r="D444" i="22"/>
  <c r="D445" i="22"/>
  <c r="D446" i="22"/>
  <c r="D447" i="22"/>
  <c r="D448" i="22"/>
  <c r="D449" i="22"/>
  <c r="D450" i="22"/>
  <c r="D451" i="22"/>
  <c r="D452" i="22"/>
  <c r="D453" i="22"/>
  <c r="D454" i="22"/>
  <c r="D455" i="22"/>
  <c r="D456" i="22"/>
  <c r="D457" i="22"/>
  <c r="D458" i="22"/>
  <c r="D459" i="22"/>
  <c r="D460" i="22"/>
  <c r="D461" i="22"/>
  <c r="D462" i="22"/>
  <c r="D463" i="22"/>
  <c r="D464" i="22"/>
  <c r="D465" i="22"/>
  <c r="D466" i="22"/>
  <c r="D467" i="22"/>
  <c r="D468" i="22"/>
  <c r="D469" i="22"/>
  <c r="D470" i="22"/>
  <c r="D471" i="22"/>
  <c r="D472" i="22"/>
  <c r="D473" i="22"/>
  <c r="D474" i="22"/>
  <c r="D475" i="22"/>
  <c r="D476" i="22"/>
  <c r="D477" i="22"/>
  <c r="D478" i="22"/>
  <c r="D479" i="22"/>
  <c r="D480" i="22"/>
  <c r="D481" i="22"/>
  <c r="D482" i="22"/>
  <c r="D439" i="22"/>
  <c r="D416" i="22"/>
  <c r="D417" i="22"/>
  <c r="D418" i="22"/>
  <c r="D419" i="22"/>
  <c r="D420" i="22"/>
  <c r="D421" i="22"/>
  <c r="D422" i="22"/>
  <c r="D423" i="22"/>
  <c r="D424" i="22"/>
  <c r="D425" i="22"/>
  <c r="D426" i="22"/>
  <c r="D427" i="22"/>
  <c r="D428" i="22"/>
  <c r="D429" i="22"/>
  <c r="D430" i="22"/>
  <c r="D431" i="22"/>
  <c r="D432" i="22"/>
  <c r="D433" i="22"/>
  <c r="D434" i="22"/>
  <c r="D435" i="22"/>
  <c r="D436" i="22"/>
  <c r="D437" i="22"/>
  <c r="D415" i="22"/>
  <c r="D392" i="22"/>
  <c r="D393" i="22"/>
  <c r="D394" i="22"/>
  <c r="D395" i="22"/>
  <c r="D396" i="22"/>
  <c r="D397" i="22"/>
  <c r="D398" i="22"/>
  <c r="D399" i="22"/>
  <c r="D400" i="22"/>
  <c r="D401" i="22"/>
  <c r="D402" i="22"/>
  <c r="D403" i="22"/>
  <c r="D404" i="22"/>
  <c r="D405" i="22"/>
  <c r="D406" i="22"/>
  <c r="D407" i="22"/>
  <c r="D408" i="22"/>
  <c r="D409" i="22"/>
  <c r="D410" i="22"/>
  <c r="D411" i="22"/>
  <c r="D412" i="22"/>
  <c r="D413" i="22"/>
  <c r="D414" i="22"/>
  <c r="D391" i="22"/>
  <c r="D347" i="22"/>
  <c r="D348" i="22"/>
  <c r="D349" i="22"/>
  <c r="D350" i="22"/>
  <c r="D351" i="22"/>
  <c r="D352" i="22"/>
  <c r="D353" i="22"/>
  <c r="D354" i="22"/>
  <c r="D355" i="22"/>
  <c r="D356" i="22"/>
  <c r="D357" i="22"/>
  <c r="D358" i="22"/>
  <c r="D359" i="22"/>
  <c r="D360" i="22"/>
  <c r="D361" i="22"/>
  <c r="D362" i="22"/>
  <c r="D363" i="22"/>
  <c r="D364" i="22"/>
  <c r="D365" i="22"/>
  <c r="D366" i="22"/>
  <c r="D367" i="22"/>
  <c r="D368" i="22"/>
  <c r="D369" i="22"/>
  <c r="D370" i="22"/>
  <c r="D371" i="22"/>
  <c r="D372" i="22"/>
  <c r="D373" i="22"/>
  <c r="D374" i="22"/>
  <c r="D375" i="22"/>
  <c r="D376" i="22"/>
  <c r="D377" i="22"/>
  <c r="D378" i="22"/>
  <c r="D379" i="22"/>
  <c r="D380" i="22"/>
  <c r="D381" i="22"/>
  <c r="D382" i="22"/>
  <c r="D383" i="22"/>
  <c r="D384" i="22"/>
  <c r="D385" i="22"/>
  <c r="D386" i="22"/>
  <c r="D387" i="22"/>
  <c r="D388" i="22"/>
  <c r="D389" i="22"/>
  <c r="D346" i="22"/>
  <c r="D344" i="22"/>
  <c r="D345" i="22"/>
  <c r="D343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295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47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76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08" i="22"/>
  <c r="D200" i="22"/>
  <c r="D201" i="22"/>
  <c r="D202" i="22"/>
  <c r="D203" i="22"/>
  <c r="D204" i="22"/>
  <c r="D205" i="22"/>
  <c r="D206" i="22"/>
  <c r="D207" i="22"/>
  <c r="D199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51" i="22"/>
  <c r="D139" i="22"/>
  <c r="D140" i="22"/>
  <c r="D141" i="22"/>
  <c r="D142" i="22"/>
  <c r="D143" i="22"/>
  <c r="D144" i="22"/>
  <c r="D145" i="22"/>
  <c r="D146" i="22"/>
  <c r="D147" i="22"/>
  <c r="D148" i="22"/>
  <c r="D149" i="22"/>
  <c r="D138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03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70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54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2" i="22"/>
  <c r="L5" i="11" l="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4" i="11"/>
  <c r="D36" i="11"/>
  <c r="E36" i="11"/>
  <c r="F36" i="11"/>
  <c r="K36" i="11"/>
  <c r="M36" i="11"/>
  <c r="N36" i="11"/>
  <c r="D37" i="11"/>
  <c r="E37" i="11"/>
  <c r="F37" i="11"/>
  <c r="K37" i="11"/>
  <c r="M37" i="11"/>
  <c r="N37" i="11"/>
  <c r="D38" i="11"/>
  <c r="E38" i="11"/>
  <c r="F38" i="11"/>
  <c r="K38" i="11"/>
  <c r="M38" i="11"/>
  <c r="N38" i="11"/>
  <c r="D39" i="11"/>
  <c r="E39" i="11"/>
  <c r="F39" i="11"/>
  <c r="K39" i="11"/>
  <c r="M39" i="11"/>
  <c r="N39" i="11"/>
  <c r="D40" i="11"/>
  <c r="E40" i="11"/>
  <c r="F40" i="11"/>
  <c r="K40" i="11"/>
  <c r="M40" i="11"/>
  <c r="N40" i="11"/>
  <c r="D41" i="11"/>
  <c r="E41" i="11"/>
  <c r="F41" i="11"/>
  <c r="K41" i="11"/>
  <c r="M41" i="11"/>
  <c r="N41" i="11"/>
  <c r="D42" i="11"/>
  <c r="E42" i="11"/>
  <c r="F42" i="11"/>
  <c r="K42" i="11"/>
  <c r="M42" i="11"/>
  <c r="N42" i="11"/>
  <c r="D43" i="11"/>
  <c r="E43" i="11"/>
  <c r="F43" i="11"/>
  <c r="K43" i="11"/>
  <c r="M43" i="11"/>
  <c r="N43" i="11"/>
  <c r="D44" i="11"/>
  <c r="E44" i="11"/>
  <c r="F44" i="11"/>
  <c r="K44" i="11"/>
  <c r="M44" i="11"/>
  <c r="N44" i="11"/>
  <c r="D45" i="11"/>
  <c r="E45" i="11"/>
  <c r="F45" i="11"/>
  <c r="K45" i="11"/>
  <c r="M45" i="11"/>
  <c r="N45" i="11"/>
  <c r="D46" i="11"/>
  <c r="E46" i="11"/>
  <c r="F46" i="11"/>
  <c r="K46" i="11"/>
  <c r="M46" i="11"/>
  <c r="N46" i="11"/>
  <c r="D47" i="11"/>
  <c r="E47" i="11"/>
  <c r="F47" i="11"/>
  <c r="K47" i="11"/>
  <c r="M47" i="11"/>
  <c r="N47" i="11"/>
  <c r="D48" i="11"/>
  <c r="E48" i="11"/>
  <c r="F48" i="11"/>
  <c r="K48" i="11"/>
  <c r="M48" i="11"/>
  <c r="N48" i="11"/>
  <c r="D49" i="11"/>
  <c r="E49" i="11"/>
  <c r="F49" i="11"/>
  <c r="K49" i="11"/>
  <c r="M49" i="11"/>
  <c r="N49" i="11"/>
  <c r="D50" i="11"/>
  <c r="E50" i="11"/>
  <c r="F50" i="11"/>
  <c r="K50" i="11"/>
  <c r="M50" i="11"/>
  <c r="N50" i="11"/>
  <c r="D51" i="11"/>
  <c r="E51" i="11"/>
  <c r="F51" i="11"/>
  <c r="K51" i="11"/>
  <c r="M51" i="11"/>
  <c r="N51" i="11"/>
  <c r="D52" i="11"/>
  <c r="E52" i="11"/>
  <c r="F52" i="11"/>
  <c r="K52" i="11"/>
  <c r="M52" i="11"/>
  <c r="N52" i="11"/>
  <c r="D53" i="11"/>
  <c r="E53" i="11"/>
  <c r="F53" i="11"/>
  <c r="K53" i="11"/>
  <c r="M53" i="11"/>
  <c r="N53" i="11"/>
  <c r="D54" i="11"/>
  <c r="E54" i="11"/>
  <c r="F54" i="11"/>
  <c r="K54" i="11"/>
  <c r="M54" i="11"/>
  <c r="N54" i="11"/>
  <c r="D55" i="11"/>
  <c r="E55" i="11"/>
  <c r="F55" i="11"/>
  <c r="K55" i="11"/>
  <c r="M55" i="11"/>
  <c r="N55" i="11"/>
  <c r="D56" i="11"/>
  <c r="E56" i="11"/>
  <c r="F56" i="11"/>
  <c r="K56" i="11"/>
  <c r="M56" i="11"/>
  <c r="N56" i="11"/>
  <c r="D57" i="11"/>
  <c r="E57" i="11"/>
  <c r="F57" i="11"/>
  <c r="K57" i="11"/>
  <c r="M57" i="11"/>
  <c r="N57" i="11"/>
  <c r="D58" i="11"/>
  <c r="E58" i="11"/>
  <c r="F58" i="11"/>
  <c r="K58" i="11"/>
  <c r="M58" i="11"/>
  <c r="N58" i="11"/>
  <c r="D59" i="11"/>
  <c r="E59" i="11"/>
  <c r="F59" i="11"/>
  <c r="K59" i="11"/>
  <c r="M59" i="11"/>
  <c r="N59" i="11"/>
  <c r="D60" i="11"/>
  <c r="E60" i="11"/>
  <c r="F60" i="11"/>
  <c r="K60" i="11"/>
  <c r="M60" i="11"/>
  <c r="N60" i="11"/>
  <c r="D61" i="11"/>
  <c r="E61" i="11"/>
  <c r="F61" i="11"/>
  <c r="K61" i="11"/>
  <c r="M61" i="11"/>
  <c r="N61" i="11"/>
  <c r="D62" i="11"/>
  <c r="E62" i="11"/>
  <c r="F62" i="11"/>
  <c r="K62" i="11"/>
  <c r="M62" i="11"/>
  <c r="N62" i="11"/>
  <c r="E3" i="18"/>
  <c r="E3" i="5"/>
  <c r="C3" i="5"/>
  <c r="DK20" i="5" l="1"/>
  <c r="DK19" i="5"/>
  <c r="DK18" i="5"/>
  <c r="DK17" i="5"/>
  <c r="DK16" i="5"/>
  <c r="DK15" i="5"/>
  <c r="DK14" i="5"/>
  <c r="DK13" i="5"/>
  <c r="DK12" i="5"/>
  <c r="DK11" i="5"/>
  <c r="DK10" i="5"/>
  <c r="DK9" i="5"/>
  <c r="DK8" i="5"/>
  <c r="DF28" i="5"/>
  <c r="DF27" i="5"/>
  <c r="DF26" i="5"/>
  <c r="DF25" i="5"/>
  <c r="DF24" i="5"/>
  <c r="DF23" i="5"/>
  <c r="DF22" i="5"/>
  <c r="DF21" i="5"/>
  <c r="DF20" i="5"/>
  <c r="DF19" i="5"/>
  <c r="DF16" i="5"/>
  <c r="DF15" i="5"/>
  <c r="DF14" i="5"/>
  <c r="DF13" i="5"/>
  <c r="DF12" i="5"/>
  <c r="DF11" i="5"/>
  <c r="DF10" i="5"/>
  <c r="DF9" i="5"/>
  <c r="DF8" i="5"/>
  <c r="DF7" i="5"/>
  <c r="DU8" i="5"/>
  <c r="DU9" i="5"/>
  <c r="DU10" i="5"/>
  <c r="DU11" i="5"/>
  <c r="DU12" i="5"/>
  <c r="DU13" i="5"/>
  <c r="DU14" i="5"/>
  <c r="DU15" i="5"/>
  <c r="DU16" i="5"/>
  <c r="DU17" i="5"/>
  <c r="DU18" i="5"/>
  <c r="DU19" i="5"/>
  <c r="DU20" i="5"/>
  <c r="DU21" i="5"/>
  <c r="DU7" i="5"/>
  <c r="DP10" i="5"/>
  <c r="DP11" i="5"/>
  <c r="DP12" i="5"/>
  <c r="DP13" i="5"/>
  <c r="DP14" i="5"/>
  <c r="DP15" i="5"/>
  <c r="DP16" i="5"/>
  <c r="DP17" i="5"/>
  <c r="DP18" i="5"/>
  <c r="DP19" i="5"/>
  <c r="DP20" i="5"/>
  <c r="DP21" i="5"/>
  <c r="DP22" i="5"/>
  <c r="DP23" i="5"/>
  <c r="DP24" i="5"/>
  <c r="DP25" i="5"/>
  <c r="DP26" i="5"/>
  <c r="DP27" i="5"/>
  <c r="DP9" i="5"/>
  <c r="DP8" i="5"/>
  <c r="DP7" i="5"/>
  <c r="DZ8" i="5"/>
  <c r="DZ7" i="5"/>
  <c r="C3" i="18" l="1"/>
  <c r="C191" i="7" l="1"/>
  <c r="C192" i="7"/>
  <c r="BW14" i="5" s="1"/>
  <c r="C193" i="7"/>
  <c r="BW13" i="5" s="1"/>
  <c r="C194" i="7"/>
  <c r="BW12" i="5" s="1"/>
  <c r="C195" i="7"/>
  <c r="BR15" i="5" s="1"/>
  <c r="C196" i="7"/>
  <c r="BR8" i="5" s="1"/>
  <c r="C197" i="7"/>
  <c r="BH25" i="5" s="1"/>
  <c r="C198" i="7"/>
  <c r="C199" i="7"/>
  <c r="BH24" i="5" s="1"/>
  <c r="C200" i="7"/>
  <c r="BH23" i="5" s="1"/>
  <c r="C201" i="7"/>
  <c r="BH22" i="5" s="1"/>
  <c r="C202" i="7"/>
  <c r="CL16" i="5" s="1"/>
  <c r="C384" i="7" l="1"/>
  <c r="O10" i="5" s="1"/>
  <c r="C385" i="7"/>
  <c r="O9" i="5" s="1"/>
  <c r="C386" i="7"/>
  <c r="O8" i="5" s="1"/>
  <c r="C387" i="7"/>
  <c r="J16" i="5" s="1"/>
  <c r="C388" i="7"/>
  <c r="J15" i="5" s="1"/>
  <c r="C389" i="7"/>
  <c r="J14" i="5" s="1"/>
  <c r="C390" i="7"/>
  <c r="E10" i="5" s="1"/>
  <c r="C391" i="7"/>
  <c r="E7" i="5" s="1"/>
  <c r="C392" i="7"/>
  <c r="J18" i="5" s="1"/>
  <c r="C393" i="7"/>
  <c r="CB30" i="5" s="1"/>
  <c r="C394" i="7"/>
  <c r="CB29" i="5" s="1"/>
  <c r="C395" i="7"/>
  <c r="T10" i="5" s="1"/>
  <c r="C396" i="7"/>
  <c r="T8" i="5" s="1"/>
  <c r="C397" i="7"/>
  <c r="J30" i="5" s="1"/>
  <c r="C398" i="7"/>
  <c r="J29" i="5" s="1"/>
  <c r="C399" i="7"/>
  <c r="Y10" i="5" s="1"/>
  <c r="C400" i="7"/>
  <c r="Y7" i="5" s="1"/>
  <c r="C401" i="7"/>
  <c r="Y19" i="5" s="1"/>
  <c r="C402" i="7"/>
  <c r="Y14" i="5" s="1"/>
  <c r="C403" i="7"/>
  <c r="AI27" i="5" s="1"/>
  <c r="C383" i="7"/>
  <c r="O12" i="5" s="1"/>
  <c r="C528" i="7" l="1"/>
  <c r="DF18" i="5" s="1"/>
  <c r="C529" i="7"/>
  <c r="C530" i="7"/>
  <c r="C531" i="7"/>
  <c r="DF17" i="5" s="1"/>
  <c r="C532" i="7"/>
  <c r="C533" i="7"/>
  <c r="C534" i="7"/>
  <c r="C535" i="7"/>
  <c r="C536" i="7"/>
  <c r="C527" i="7"/>
  <c r="DK7" i="5" s="1"/>
  <c r="C900" i="7"/>
  <c r="C889" i="7"/>
  <c r="C890" i="7"/>
  <c r="C891" i="7"/>
  <c r="C892" i="7"/>
  <c r="C893" i="7"/>
  <c r="C894" i="7"/>
  <c r="C895" i="7"/>
  <c r="C896" i="7"/>
  <c r="C897" i="7"/>
  <c r="C898" i="7"/>
  <c r="C899" i="7"/>
  <c r="C888" i="7"/>
  <c r="B889" i="7"/>
  <c r="B890" i="7"/>
  <c r="B891" i="7"/>
  <c r="B892" i="7"/>
  <c r="B893" i="7"/>
  <c r="B894" i="7"/>
  <c r="B895" i="7"/>
  <c r="B896" i="7"/>
  <c r="B897" i="7"/>
  <c r="B898" i="7"/>
  <c r="B899" i="7"/>
  <c r="B888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383" i="7"/>
  <c r="C887" i="7"/>
  <c r="B887" i="7"/>
  <c r="C333" i="7"/>
  <c r="BR26" i="5" s="1"/>
  <c r="C334" i="7"/>
  <c r="BR25" i="5" s="1"/>
  <c r="C335" i="7"/>
  <c r="AX26" i="5" s="1"/>
  <c r="C336" i="7"/>
  <c r="AX25" i="5" s="1"/>
  <c r="C332" i="7"/>
  <c r="BR28" i="5" s="1"/>
  <c r="C819" i="7" l="1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18" i="7"/>
  <c r="C817" i="7"/>
  <c r="C816" i="7"/>
  <c r="C815" i="7"/>
  <c r="H10" i="13" l="1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9" i="13"/>
  <c r="H8" i="13"/>
  <c r="G21" i="10" l="1"/>
  <c r="G20" i="10"/>
  <c r="G18" i="10" s="1"/>
  <c r="G15" i="10"/>
  <c r="G13" i="10" s="1"/>
  <c r="G14" i="10"/>
  <c r="G12" i="10" s="1"/>
  <c r="F21" i="10"/>
  <c r="F19" i="10" s="1"/>
  <c r="F20" i="10"/>
  <c r="F18" i="10" s="1"/>
  <c r="F15" i="10"/>
  <c r="F14" i="10"/>
  <c r="F12" i="10" s="1"/>
  <c r="F13" i="10"/>
  <c r="K21" i="10"/>
  <c r="K19" i="10" s="1"/>
  <c r="J21" i="10"/>
  <c r="J19" i="10" s="1"/>
  <c r="I21" i="10"/>
  <c r="I19" i="10" s="1"/>
  <c r="H21" i="10"/>
  <c r="H19" i="10" s="1"/>
  <c r="G19" i="10"/>
  <c r="E21" i="10"/>
  <c r="E19" i="10" s="1"/>
  <c r="K20" i="10"/>
  <c r="K18" i="10" s="1"/>
  <c r="J20" i="10"/>
  <c r="I20" i="10"/>
  <c r="I18" i="10" s="1"/>
  <c r="H20" i="10"/>
  <c r="H18" i="10" s="1"/>
  <c r="E20" i="10"/>
  <c r="E18" i="10" s="1"/>
  <c r="J18" i="10"/>
  <c r="K15" i="10"/>
  <c r="K13" i="10" s="1"/>
  <c r="J15" i="10"/>
  <c r="J13" i="10" s="1"/>
  <c r="I15" i="10"/>
  <c r="I13" i="10" s="1"/>
  <c r="H15" i="10"/>
  <c r="H13" i="10" s="1"/>
  <c r="E15" i="10"/>
  <c r="E13" i="10" s="1"/>
  <c r="K14" i="10"/>
  <c r="K12" i="10" s="1"/>
  <c r="J14" i="10"/>
  <c r="J12" i="10" s="1"/>
  <c r="I14" i="10"/>
  <c r="I12" i="10" s="1"/>
  <c r="H14" i="10"/>
  <c r="H12" i="10" s="1"/>
  <c r="E14" i="10"/>
  <c r="E12" i="10" s="1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8" i="13"/>
  <c r="K10" i="13"/>
  <c r="K11" i="13"/>
  <c r="K12" i="13"/>
  <c r="K13" i="13"/>
  <c r="K9" i="13"/>
  <c r="D5" i="11"/>
  <c r="K5" i="11" l="1"/>
  <c r="M5" i="11"/>
  <c r="N5" i="11"/>
  <c r="K6" i="11"/>
  <c r="M6" i="11" s="1"/>
  <c r="K7" i="11"/>
  <c r="M7" i="11"/>
  <c r="N7" i="11"/>
  <c r="K8" i="11"/>
  <c r="M8" i="11"/>
  <c r="N8" i="11"/>
  <c r="K9" i="11"/>
  <c r="M9" i="11"/>
  <c r="N9" i="11"/>
  <c r="K10" i="11"/>
  <c r="M10" i="11"/>
  <c r="N10" i="11"/>
  <c r="K11" i="11"/>
  <c r="M11" i="11"/>
  <c r="N11" i="11"/>
  <c r="K12" i="11"/>
  <c r="M12" i="11"/>
  <c r="N12" i="11"/>
  <c r="K13" i="11"/>
  <c r="M13" i="11"/>
  <c r="N13" i="11"/>
  <c r="K14" i="11"/>
  <c r="M14" i="11"/>
  <c r="N14" i="11"/>
  <c r="K15" i="11"/>
  <c r="M15" i="11"/>
  <c r="N15" i="11"/>
  <c r="K16" i="11"/>
  <c r="M16" i="11"/>
  <c r="N16" i="11"/>
  <c r="K17" i="11"/>
  <c r="M17" i="11"/>
  <c r="N17" i="11"/>
  <c r="K18" i="11"/>
  <c r="M18" i="11"/>
  <c r="N18" i="11"/>
  <c r="K19" i="11"/>
  <c r="M19" i="11"/>
  <c r="N19" i="11"/>
  <c r="K20" i="11"/>
  <c r="M20" i="11"/>
  <c r="N20" i="11"/>
  <c r="K21" i="11"/>
  <c r="M21" i="11"/>
  <c r="N21" i="11"/>
  <c r="K22" i="11"/>
  <c r="M22" i="11"/>
  <c r="N22" i="11"/>
  <c r="K23" i="11"/>
  <c r="M23" i="11"/>
  <c r="N23" i="11"/>
  <c r="K24" i="11"/>
  <c r="M24" i="11"/>
  <c r="N24" i="11"/>
  <c r="K25" i="11"/>
  <c r="M25" i="11"/>
  <c r="N25" i="11"/>
  <c r="K26" i="11"/>
  <c r="M26" i="11"/>
  <c r="N26" i="11"/>
  <c r="K27" i="11"/>
  <c r="M27" i="11"/>
  <c r="N27" i="11"/>
  <c r="K28" i="11"/>
  <c r="M28" i="11"/>
  <c r="N28" i="11"/>
  <c r="K29" i="11"/>
  <c r="M29" i="11"/>
  <c r="N29" i="11"/>
  <c r="K30" i="11"/>
  <c r="M30" i="11"/>
  <c r="N30" i="11"/>
  <c r="K31" i="11"/>
  <c r="M31" i="11"/>
  <c r="N31" i="11"/>
  <c r="K32" i="11"/>
  <c r="M32" i="11"/>
  <c r="N32" i="11"/>
  <c r="K33" i="11"/>
  <c r="M33" i="11"/>
  <c r="N33" i="11"/>
  <c r="K34" i="11"/>
  <c r="M34" i="11"/>
  <c r="N34" i="11"/>
  <c r="K35" i="11"/>
  <c r="M35" i="11"/>
  <c r="N35" i="11"/>
  <c r="E5" i="11"/>
  <c r="F5" i="11"/>
  <c r="D6" i="11"/>
  <c r="F6" i="11" s="1"/>
  <c r="D7" i="11"/>
  <c r="E7" i="11"/>
  <c r="F7" i="11"/>
  <c r="D8" i="11"/>
  <c r="E8" i="11"/>
  <c r="F8" i="11"/>
  <c r="D9" i="11"/>
  <c r="E9" i="11"/>
  <c r="F9" i="11"/>
  <c r="D10" i="11"/>
  <c r="E10" i="11"/>
  <c r="F10" i="11"/>
  <c r="D11" i="11"/>
  <c r="E11" i="11"/>
  <c r="F11" i="11"/>
  <c r="D12" i="11"/>
  <c r="E12" i="11"/>
  <c r="F12" i="11"/>
  <c r="D13" i="11"/>
  <c r="E13" i="11"/>
  <c r="F13" i="11"/>
  <c r="D14" i="11"/>
  <c r="E14" i="11"/>
  <c r="F14" i="11"/>
  <c r="D15" i="11"/>
  <c r="E15" i="11"/>
  <c r="F15" i="11"/>
  <c r="D16" i="11"/>
  <c r="E16" i="11"/>
  <c r="F16" i="11"/>
  <c r="D17" i="11"/>
  <c r="E17" i="11"/>
  <c r="F17" i="11"/>
  <c r="D18" i="11"/>
  <c r="E18" i="11"/>
  <c r="F18" i="11"/>
  <c r="D19" i="11"/>
  <c r="E19" i="11"/>
  <c r="F19" i="11"/>
  <c r="D20" i="11"/>
  <c r="E20" i="11"/>
  <c r="F20" i="11"/>
  <c r="D21" i="11"/>
  <c r="E21" i="11"/>
  <c r="F21" i="11"/>
  <c r="D22" i="11"/>
  <c r="E22" i="11"/>
  <c r="F22" i="11"/>
  <c r="D23" i="11"/>
  <c r="E23" i="11"/>
  <c r="F23" i="11"/>
  <c r="D24" i="11"/>
  <c r="E24" i="11"/>
  <c r="F24" i="11"/>
  <c r="D25" i="11"/>
  <c r="E25" i="11"/>
  <c r="F25" i="11"/>
  <c r="D26" i="11"/>
  <c r="E26" i="11"/>
  <c r="F26" i="11"/>
  <c r="D27" i="11"/>
  <c r="E27" i="11"/>
  <c r="F27" i="11"/>
  <c r="D28" i="11"/>
  <c r="E28" i="11"/>
  <c r="F28" i="11"/>
  <c r="D29" i="11"/>
  <c r="E29" i="11"/>
  <c r="F29" i="11"/>
  <c r="D30" i="11"/>
  <c r="E30" i="11"/>
  <c r="F30" i="11"/>
  <c r="D31" i="11"/>
  <c r="E31" i="11"/>
  <c r="F31" i="11"/>
  <c r="D32" i="11"/>
  <c r="E32" i="11"/>
  <c r="F32" i="11"/>
  <c r="D33" i="11"/>
  <c r="E33" i="11"/>
  <c r="F33" i="11"/>
  <c r="D34" i="11"/>
  <c r="E34" i="11"/>
  <c r="F34" i="11"/>
  <c r="D35" i="11"/>
  <c r="E35" i="11"/>
  <c r="F35" i="11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24" i="8"/>
  <c r="C52" i="8"/>
  <c r="C53" i="8"/>
  <c r="C54" i="8"/>
  <c r="C56" i="8"/>
  <c r="E6" i="11" l="1"/>
  <c r="N6" i="11"/>
  <c r="C405" i="7"/>
  <c r="AI22" i="5" s="1"/>
  <c r="C406" i="7"/>
  <c r="AI14" i="5" s="1"/>
  <c r="C407" i="7"/>
  <c r="AI10" i="5" s="1"/>
  <c r="C408" i="7"/>
  <c r="AN11" i="5" s="1"/>
  <c r="C409" i="7"/>
  <c r="AN8" i="5" s="1"/>
  <c r="C410" i="7"/>
  <c r="AN18" i="5" s="1"/>
  <c r="C411" i="7"/>
  <c r="AN16" i="5" s="1"/>
  <c r="C412" i="7"/>
  <c r="AN28" i="5" s="1"/>
  <c r="C413" i="7"/>
  <c r="CB18" i="5" s="1"/>
  <c r="C414" i="7"/>
  <c r="CG9" i="5" s="1"/>
  <c r="C415" i="7"/>
  <c r="CG27" i="5" s="1"/>
  <c r="C416" i="7"/>
  <c r="C417" i="7"/>
  <c r="CG23" i="5" s="1"/>
  <c r="C418" i="7"/>
  <c r="CB21" i="5" s="1"/>
  <c r="C419" i="7"/>
  <c r="CG15" i="5" s="1"/>
  <c r="C420" i="7"/>
  <c r="CG11" i="5" s="1"/>
  <c r="C421" i="7"/>
  <c r="CG16" i="5" s="1"/>
  <c r="C422" i="7"/>
  <c r="CQ20" i="5" s="1"/>
  <c r="C423" i="7"/>
  <c r="CQ17" i="5" s="1"/>
  <c r="C424" i="7"/>
  <c r="CQ13" i="5" s="1"/>
  <c r="C425" i="7"/>
  <c r="CQ19" i="5" s="1"/>
  <c r="C426" i="7"/>
  <c r="CV31" i="5" s="1"/>
  <c r="C427" i="7"/>
  <c r="C428" i="7"/>
  <c r="T12" i="5" s="1"/>
  <c r="C429" i="7"/>
  <c r="O11" i="5" s="1"/>
  <c r="C55" i="8" s="1"/>
  <c r="C430" i="7"/>
  <c r="O21" i="5" s="1"/>
  <c r="C65" i="8" s="1"/>
  <c r="C431" i="7"/>
  <c r="O20" i="5" s="1"/>
  <c r="C64" i="8" s="1"/>
  <c r="C432" i="7"/>
  <c r="O19" i="5" s="1"/>
  <c r="C63" i="8" s="1"/>
  <c r="C433" i="7"/>
  <c r="Y27" i="5" s="1"/>
  <c r="C434" i="7"/>
  <c r="AN24" i="5" s="1"/>
  <c r="C435" i="7"/>
  <c r="AN23" i="5" s="1"/>
  <c r="C436" i="7"/>
  <c r="AN22" i="5" s="1"/>
  <c r="C437" i="7"/>
  <c r="AN19" i="5" s="1"/>
  <c r="C438" i="7"/>
  <c r="AS10" i="5" s="1"/>
  <c r="C439" i="7"/>
  <c r="AS28" i="5" s="1"/>
  <c r="C440" i="7"/>
  <c r="AS16" i="5" s="1"/>
  <c r="C441" i="7"/>
  <c r="AS26" i="5" s="1"/>
  <c r="C442" i="7"/>
  <c r="AS24" i="5" s="1"/>
  <c r="C443" i="7"/>
  <c r="AS23" i="5" s="1"/>
  <c r="C444" i="7"/>
  <c r="AX15" i="5" s="1"/>
  <c r="C445" i="7"/>
  <c r="BH11" i="5" s="1"/>
  <c r="C446" i="7"/>
  <c r="BR13" i="5" s="1"/>
  <c r="C447" i="7"/>
  <c r="BR12" i="5" s="1"/>
  <c r="C448" i="7"/>
  <c r="BR11" i="5" s="1"/>
  <c r="C449" i="7"/>
  <c r="BR19" i="5" s="1"/>
  <c r="C450" i="7"/>
  <c r="BW27" i="5" s="1"/>
  <c r="C451" i="7"/>
  <c r="CB12" i="5" s="1"/>
  <c r="C452" i="7"/>
  <c r="BR27" i="5" s="1"/>
  <c r="C453" i="7"/>
  <c r="BR24" i="5" s="1"/>
  <c r="C454" i="7"/>
  <c r="BM18" i="5" s="1"/>
  <c r="C455" i="7"/>
  <c r="BR10" i="5" s="1"/>
  <c r="C456" i="7"/>
  <c r="CG13" i="5" s="1"/>
  <c r="C457" i="7"/>
  <c r="C458" i="7"/>
  <c r="C459" i="7"/>
  <c r="C460" i="7"/>
  <c r="T16" i="5" s="1"/>
  <c r="C461" i="7"/>
  <c r="T15" i="5" s="1"/>
  <c r="C462" i="7"/>
  <c r="T14" i="5" s="1"/>
  <c r="C463" i="7"/>
  <c r="T25" i="5" s="1"/>
  <c r="C464" i="7"/>
  <c r="AD9" i="5" s="1"/>
  <c r="C465" i="7"/>
  <c r="AD8" i="5" s="1"/>
  <c r="C466" i="7"/>
  <c r="AD7" i="5" s="1"/>
  <c r="C467" i="7"/>
  <c r="AI12" i="5" s="1"/>
  <c r="C468" i="7"/>
  <c r="AN13" i="5" s="1"/>
  <c r="C469" i="7"/>
  <c r="AD24" i="5" s="1"/>
  <c r="C470" i="7"/>
  <c r="AD28" i="5" s="1"/>
  <c r="C404" i="7"/>
  <c r="AI23" i="5" s="1"/>
  <c r="C3" i="4" l="1"/>
  <c r="C575" i="8"/>
  <c r="C574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59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38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02" i="8"/>
  <c r="C471" i="8"/>
  <c r="C472" i="8"/>
  <c r="C482" i="8"/>
  <c r="C438" i="8"/>
  <c r="C440" i="8"/>
  <c r="C444" i="8"/>
  <c r="C446" i="8"/>
  <c r="C447" i="8"/>
  <c r="C452" i="8"/>
  <c r="C453" i="8"/>
  <c r="C417" i="8"/>
  <c r="C419" i="8"/>
  <c r="C429" i="8"/>
  <c r="C430" i="8"/>
  <c r="C432" i="8"/>
  <c r="C390" i="8"/>
  <c r="C392" i="8"/>
  <c r="C394" i="8"/>
  <c r="C395" i="8"/>
  <c r="C396" i="8"/>
  <c r="C397" i="8"/>
  <c r="C398" i="8"/>
  <c r="C404" i="8"/>
  <c r="C408" i="8"/>
  <c r="C388" i="8"/>
  <c r="C364" i="8"/>
  <c r="C368" i="8"/>
  <c r="C374" i="8"/>
  <c r="C375" i="8"/>
  <c r="C376" i="8"/>
  <c r="C377" i="8"/>
  <c r="C385" i="8"/>
  <c r="C386" i="8"/>
  <c r="C387" i="8"/>
  <c r="C363" i="8"/>
  <c r="C343" i="8"/>
  <c r="C344" i="8"/>
  <c r="C345" i="8"/>
  <c r="C349" i="8"/>
  <c r="C350" i="8"/>
  <c r="C358" i="8"/>
  <c r="C361" i="8"/>
  <c r="C362" i="8"/>
  <c r="C317" i="8"/>
  <c r="C319" i="8"/>
  <c r="C320" i="8"/>
  <c r="C321" i="8"/>
  <c r="C322" i="8"/>
  <c r="C324" i="8"/>
  <c r="C326" i="8"/>
  <c r="C327" i="8"/>
  <c r="C328" i="8"/>
  <c r="C333" i="8"/>
  <c r="C334" i="8"/>
  <c r="C335" i="8"/>
  <c r="C336" i="8"/>
  <c r="C337" i="8"/>
  <c r="C316" i="8"/>
  <c r="C295" i="8"/>
  <c r="C305" i="8"/>
  <c r="C306" i="8"/>
  <c r="C307" i="8"/>
  <c r="C273" i="8"/>
  <c r="C284" i="8"/>
  <c r="C285" i="8"/>
  <c r="C286" i="8"/>
  <c r="C287" i="8"/>
  <c r="C288" i="8"/>
  <c r="C249" i="8"/>
  <c r="C250" i="8"/>
  <c r="C261" i="8"/>
  <c r="C224" i="8"/>
  <c r="C225" i="8"/>
  <c r="C227" i="8"/>
  <c r="C236" i="8"/>
  <c r="C237" i="8"/>
  <c r="C238" i="8"/>
  <c r="C196" i="8"/>
  <c r="C197" i="8"/>
  <c r="C199" i="8"/>
  <c r="C202" i="8"/>
  <c r="C209" i="8"/>
  <c r="C210" i="8"/>
  <c r="C212" i="8"/>
  <c r="C214" i="8"/>
  <c r="C168" i="8"/>
  <c r="C170" i="8"/>
  <c r="C171" i="8"/>
  <c r="C173" i="8"/>
  <c r="C176" i="8"/>
  <c r="C178" i="8"/>
  <c r="C179" i="8"/>
  <c r="C182" i="8"/>
  <c r="C183" i="8"/>
  <c r="C184" i="8"/>
  <c r="C188" i="8"/>
  <c r="C148" i="8"/>
  <c r="C149" i="8"/>
  <c r="C151" i="8"/>
  <c r="C153" i="8"/>
  <c r="C161" i="8"/>
  <c r="C162" i="8"/>
  <c r="C163" i="8"/>
  <c r="C164" i="8"/>
  <c r="C166" i="8"/>
  <c r="C125" i="8"/>
  <c r="C126" i="8"/>
  <c r="C132" i="8"/>
  <c r="C133" i="8"/>
  <c r="C141" i="8"/>
  <c r="C144" i="8"/>
  <c r="C145" i="8"/>
  <c r="C124" i="8"/>
  <c r="C103" i="8"/>
  <c r="C107" i="8"/>
  <c r="C110" i="8"/>
  <c r="C111" i="8"/>
  <c r="C112" i="8"/>
  <c r="C120" i="8"/>
  <c r="C123" i="8"/>
  <c r="C100" i="8"/>
  <c r="C76" i="8"/>
  <c r="C78" i="8"/>
  <c r="C80" i="8"/>
  <c r="C82" i="8"/>
  <c r="C83" i="8"/>
  <c r="C84" i="8"/>
  <c r="C87" i="8"/>
  <c r="C93" i="8"/>
  <c r="C26" i="8"/>
  <c r="C32" i="8"/>
  <c r="C33" i="8"/>
  <c r="C34" i="8"/>
  <c r="C36" i="8"/>
  <c r="C37" i="8"/>
  <c r="C38" i="8"/>
  <c r="C47" i="8"/>
  <c r="C48" i="8"/>
  <c r="C25" i="8"/>
  <c r="C2" i="8"/>
  <c r="C4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1" i="8"/>
  <c r="C805" i="7"/>
  <c r="C806" i="7"/>
  <c r="C807" i="7"/>
  <c r="C808" i="7"/>
  <c r="C809" i="7"/>
  <c r="C810" i="7"/>
  <c r="C811" i="7"/>
  <c r="C812" i="7"/>
  <c r="C813" i="7"/>
  <c r="C814" i="7"/>
  <c r="C804" i="7"/>
  <c r="C743" i="7"/>
  <c r="DA19" i="5" s="1"/>
  <c r="C496" i="8" s="1"/>
  <c r="C744" i="7"/>
  <c r="DA11" i="5" s="1"/>
  <c r="C488" i="8" s="1"/>
  <c r="C745" i="7"/>
  <c r="DA24" i="5" s="1"/>
  <c r="C501" i="8" s="1"/>
  <c r="C746" i="7"/>
  <c r="C747" i="7"/>
  <c r="C748" i="7"/>
  <c r="C749" i="7"/>
  <c r="DA14" i="5" s="1"/>
  <c r="C491" i="8" s="1"/>
  <c r="C750" i="7"/>
  <c r="DA23" i="5" s="1"/>
  <c r="C500" i="8" s="1"/>
  <c r="C751" i="7"/>
  <c r="C752" i="7"/>
  <c r="DA18" i="5" s="1"/>
  <c r="C495" i="8" s="1"/>
  <c r="C753" i="7"/>
  <c r="C754" i="7"/>
  <c r="DA16" i="5" s="1"/>
  <c r="C493" i="8" s="1"/>
  <c r="C755" i="7"/>
  <c r="DA12" i="5" s="1"/>
  <c r="C489" i="8" s="1"/>
  <c r="C756" i="7"/>
  <c r="DA17" i="5" s="1"/>
  <c r="C494" i="8" s="1"/>
  <c r="C757" i="7"/>
  <c r="C758" i="7"/>
  <c r="DA10" i="5" s="1"/>
  <c r="C487" i="8" s="1"/>
  <c r="C759" i="7"/>
  <c r="C760" i="7"/>
  <c r="C761" i="7"/>
  <c r="C762" i="7"/>
  <c r="C763" i="7"/>
  <c r="DA22" i="5" s="1"/>
  <c r="C499" i="8" s="1"/>
  <c r="C764" i="7"/>
  <c r="DA20" i="5" s="1"/>
  <c r="C497" i="8" s="1"/>
  <c r="C765" i="7"/>
  <c r="DA8" i="5" s="1"/>
  <c r="C485" i="8" s="1"/>
  <c r="C766" i="7"/>
  <c r="C767" i="7"/>
  <c r="DA21" i="5" s="1"/>
  <c r="C498" i="8" s="1"/>
  <c r="C768" i="7"/>
  <c r="C769" i="7"/>
  <c r="C770" i="7"/>
  <c r="C771" i="7"/>
  <c r="DA9" i="5" s="1"/>
  <c r="C486" i="8" s="1"/>
  <c r="C772" i="7"/>
  <c r="C773" i="7"/>
  <c r="DA13" i="5" s="1"/>
  <c r="C490" i="8" s="1"/>
  <c r="C774" i="7"/>
  <c r="C775" i="7"/>
  <c r="C776" i="7"/>
  <c r="C777" i="7"/>
  <c r="DA15" i="5" s="1"/>
  <c r="C492" i="8" s="1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742" i="7"/>
  <c r="DA7" i="5" s="1"/>
  <c r="C484" i="8" s="1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682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23" i="7"/>
  <c r="C472" i="7"/>
  <c r="AD26" i="5" s="1"/>
  <c r="C143" i="8" s="1"/>
  <c r="C473" i="7"/>
  <c r="AN32" i="5" s="1"/>
  <c r="C192" i="8" s="1"/>
  <c r="C474" i="7"/>
  <c r="AN31" i="5" s="1"/>
  <c r="C191" i="8" s="1"/>
  <c r="C475" i="7"/>
  <c r="AN30" i="5" s="1"/>
  <c r="C190" i="8" s="1"/>
  <c r="C476" i="7"/>
  <c r="AS13" i="5" s="1"/>
  <c r="C477" i="7"/>
  <c r="AS11" i="5" s="1"/>
  <c r="C478" i="7"/>
  <c r="C479" i="7"/>
  <c r="BR23" i="5" s="1"/>
  <c r="C332" i="8" s="1"/>
  <c r="C480" i="7"/>
  <c r="C481" i="7"/>
  <c r="BR20" i="5" s="1"/>
  <c r="C329" i="8" s="1"/>
  <c r="C482" i="7"/>
  <c r="CB8" i="5" s="1"/>
  <c r="C483" i="7"/>
  <c r="CG19" i="5" s="1"/>
  <c r="C400" i="8" s="1"/>
  <c r="C484" i="7"/>
  <c r="CG18" i="5" s="1"/>
  <c r="C399" i="8" s="1"/>
  <c r="C485" i="7"/>
  <c r="CG17" i="5" s="1"/>
  <c r="C486" i="7"/>
  <c r="CL11" i="5" s="1"/>
  <c r="C414" i="8" s="1"/>
  <c r="C487" i="7"/>
  <c r="CL10" i="5" s="1"/>
  <c r="C413" i="8" s="1"/>
  <c r="C488" i="7"/>
  <c r="CL29" i="5" s="1"/>
  <c r="C489" i="7"/>
  <c r="CL28" i="5" s="1"/>
  <c r="C431" i="8" s="1"/>
  <c r="C490" i="7"/>
  <c r="CL27" i="5" s="1"/>
  <c r="C491" i="7"/>
  <c r="CQ7" i="5" s="1"/>
  <c r="C434" i="8" s="1"/>
  <c r="C492" i="7"/>
  <c r="CQ25" i="5" s="1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471" i="7"/>
  <c r="AD27" i="5" s="1"/>
  <c r="C338" i="7"/>
  <c r="AX23" i="5" s="1"/>
  <c r="C235" i="8" s="1"/>
  <c r="C339" i="7"/>
  <c r="AS17" i="5" s="1"/>
  <c r="C203" i="8" s="1"/>
  <c r="C340" i="7"/>
  <c r="AS15" i="5" s="1"/>
  <c r="C201" i="8" s="1"/>
  <c r="C341" i="7"/>
  <c r="AS14" i="5" s="1"/>
  <c r="C200" i="8" s="1"/>
  <c r="C342" i="7"/>
  <c r="AD25" i="5" s="1"/>
  <c r="C142" i="8" s="1"/>
  <c r="C343" i="7"/>
  <c r="AD23" i="5" s="1"/>
  <c r="C140" i="8" s="1"/>
  <c r="C344" i="7"/>
  <c r="BH28" i="5" s="1"/>
  <c r="C290" i="8" s="1"/>
  <c r="C345" i="7"/>
  <c r="BH27" i="5" s="1"/>
  <c r="C289" i="8" s="1"/>
  <c r="C346" i="7"/>
  <c r="BH26" i="5" s="1"/>
  <c r="C347" i="7"/>
  <c r="CQ14" i="5" s="1"/>
  <c r="C441" i="8" s="1"/>
  <c r="C348" i="7"/>
  <c r="CV10" i="5" s="1"/>
  <c r="C461" i="8" s="1"/>
  <c r="C349" i="7"/>
  <c r="CV9" i="5" s="1"/>
  <c r="C460" i="8" s="1"/>
  <c r="C350" i="7"/>
  <c r="CV11" i="5" s="1"/>
  <c r="C462" i="8" s="1"/>
  <c r="C351" i="7"/>
  <c r="CL30" i="5" s="1"/>
  <c r="C433" i="8" s="1"/>
  <c r="C352" i="7"/>
  <c r="CQ18" i="5" s="1"/>
  <c r="C445" i="8" s="1"/>
  <c r="C353" i="7"/>
  <c r="CQ16" i="5" s="1"/>
  <c r="C443" i="8" s="1"/>
  <c r="C354" i="7"/>
  <c r="Y9" i="5" s="1"/>
  <c r="C102" i="8" s="1"/>
  <c r="C355" i="7"/>
  <c r="Y8" i="5" s="1"/>
  <c r="C101" i="8" s="1"/>
  <c r="C356" i="7"/>
  <c r="BM27" i="5" s="1"/>
  <c r="C314" i="8" s="1"/>
  <c r="C357" i="7"/>
  <c r="BM26" i="5" s="1"/>
  <c r="C313" i="8" s="1"/>
  <c r="C358" i="7"/>
  <c r="BM25" i="5" s="1"/>
  <c r="C312" i="8" s="1"/>
  <c r="C359" i="7"/>
  <c r="BH18" i="5" s="1"/>
  <c r="C280" i="8" s="1"/>
  <c r="C360" i="7"/>
  <c r="BH17" i="5" s="1"/>
  <c r="C279" i="8" s="1"/>
  <c r="C361" i="7"/>
  <c r="BH16" i="5" s="1"/>
  <c r="C278" i="8" s="1"/>
  <c r="C362" i="7"/>
  <c r="CG25" i="5" s="1"/>
  <c r="C406" i="8" s="1"/>
  <c r="C363" i="7"/>
  <c r="CV7" i="5" s="1"/>
  <c r="C458" i="8" s="1"/>
  <c r="C364" i="7"/>
  <c r="BW11" i="5" s="1"/>
  <c r="C342" i="8" s="1"/>
  <c r="C365" i="7"/>
  <c r="AI13" i="5" s="1"/>
  <c r="C152" i="8" s="1"/>
  <c r="C366" i="7"/>
  <c r="J23" i="5" s="1"/>
  <c r="C41" i="8" s="1"/>
  <c r="C367" i="7"/>
  <c r="E11" i="5" s="1"/>
  <c r="C5" i="8" s="1"/>
  <c r="C368" i="7"/>
  <c r="BW29" i="5" s="1"/>
  <c r="C360" i="8" s="1"/>
  <c r="C369" i="7"/>
  <c r="BW28" i="5" s="1"/>
  <c r="C359" i="8" s="1"/>
  <c r="C370" i="7"/>
  <c r="AX31" i="5" s="1"/>
  <c r="C243" i="8" s="1"/>
  <c r="C371" i="7"/>
  <c r="AX30" i="5" s="1"/>
  <c r="C242" i="8" s="1"/>
  <c r="C372" i="7"/>
  <c r="AX29" i="5" s="1"/>
  <c r="C241" i="8" s="1"/>
  <c r="C373" i="7"/>
  <c r="AX28" i="5" s="1"/>
  <c r="C240" i="8" s="1"/>
  <c r="C374" i="7"/>
  <c r="J31" i="5" s="1"/>
  <c r="C49" i="8" s="1"/>
  <c r="C375" i="7"/>
  <c r="J28" i="5" s="1"/>
  <c r="C46" i="8" s="1"/>
  <c r="C376" i="7"/>
  <c r="BC30" i="5" s="1"/>
  <c r="C268" i="8" s="1"/>
  <c r="C377" i="7"/>
  <c r="BC29" i="5" s="1"/>
  <c r="C267" i="8" s="1"/>
  <c r="C378" i="7"/>
  <c r="BC28" i="5" s="1"/>
  <c r="C266" i="8" s="1"/>
  <c r="C379" i="7"/>
  <c r="CL25" i="5" s="1"/>
  <c r="C428" i="8" s="1"/>
  <c r="C380" i="7"/>
  <c r="O24" i="5" s="1"/>
  <c r="C68" i="8" s="1"/>
  <c r="C381" i="7"/>
  <c r="O23" i="5" s="1"/>
  <c r="C67" i="8" s="1"/>
  <c r="C382" i="7"/>
  <c r="O22" i="5" s="1"/>
  <c r="C66" i="8" s="1"/>
  <c r="C337" i="7"/>
  <c r="AX24" i="5" s="1"/>
  <c r="C2" i="7"/>
  <c r="CV16" i="5" s="1"/>
  <c r="C467" i="8" s="1"/>
  <c r="C3" i="7"/>
  <c r="CV17" i="5" s="1"/>
  <c r="C468" i="8" s="1"/>
  <c r="C4" i="7"/>
  <c r="CV15" i="5" s="1"/>
  <c r="C466" i="8" s="1"/>
  <c r="C5" i="7"/>
  <c r="CV22" i="5" s="1"/>
  <c r="C473" i="8" s="1"/>
  <c r="C6" i="7"/>
  <c r="CV23" i="5" s="1"/>
  <c r="C474" i="8" s="1"/>
  <c r="C7" i="7"/>
  <c r="CV24" i="5" s="1"/>
  <c r="C475" i="8" s="1"/>
  <c r="C8" i="7"/>
  <c r="CV25" i="5" s="1"/>
  <c r="C476" i="8" s="1"/>
  <c r="C9" i="7"/>
  <c r="CQ21" i="5" s="1"/>
  <c r="C448" i="8" s="1"/>
  <c r="C10" i="7"/>
  <c r="CQ22" i="5" s="1"/>
  <c r="C449" i="8" s="1"/>
  <c r="C11" i="7"/>
  <c r="CQ23" i="5" s="1"/>
  <c r="C450" i="8" s="1"/>
  <c r="C12" i="7"/>
  <c r="CQ24" i="5" s="1"/>
  <c r="C451" i="8" s="1"/>
  <c r="C13" i="7"/>
  <c r="CL13" i="5" s="1"/>
  <c r="C416" i="8" s="1"/>
  <c r="C14" i="7"/>
  <c r="BH7" i="5" s="1"/>
  <c r="C269" i="8" s="1"/>
  <c r="C15" i="7"/>
  <c r="BH8" i="5" s="1"/>
  <c r="C270" i="8" s="1"/>
  <c r="C16" i="7"/>
  <c r="BH9" i="5" s="1"/>
  <c r="C271" i="8" s="1"/>
  <c r="C17" i="7"/>
  <c r="AX8" i="5" s="1"/>
  <c r="C220" i="8" s="1"/>
  <c r="C18" i="7"/>
  <c r="BC7" i="5" s="1"/>
  <c r="C245" i="8" s="1"/>
  <c r="C19" i="7"/>
  <c r="BC8" i="5" s="1"/>
  <c r="C246" i="8" s="1"/>
  <c r="C20" i="7"/>
  <c r="BC9" i="5" s="1"/>
  <c r="C247" i="8" s="1"/>
  <c r="C21" i="7"/>
  <c r="BM7" i="5" s="1"/>
  <c r="C294" i="8" s="1"/>
  <c r="C22" i="7"/>
  <c r="BM8" i="5" s="1"/>
  <c r="C23" i="7"/>
  <c r="BR21" i="5" s="1"/>
  <c r="C330" i="8" s="1"/>
  <c r="C24" i="7"/>
  <c r="CG20" i="5" s="1"/>
  <c r="C401" i="8" s="1"/>
  <c r="C25" i="7"/>
  <c r="CG21" i="5" s="1"/>
  <c r="C402" i="8" s="1"/>
  <c r="C26" i="7"/>
  <c r="CG22" i="5" s="1"/>
  <c r="C403" i="8" s="1"/>
  <c r="C27" i="7"/>
  <c r="O7" i="5" s="1"/>
  <c r="C51" i="8" s="1"/>
  <c r="C28" i="7"/>
  <c r="T18" i="5" s="1"/>
  <c r="C86" i="8" s="1"/>
  <c r="C29" i="7"/>
  <c r="T19" i="5" s="1"/>
  <c r="C30" i="7"/>
  <c r="T20" i="5" s="1"/>
  <c r="C88" i="8" s="1"/>
  <c r="C31" i="7"/>
  <c r="Y11" i="5" s="1"/>
  <c r="C104" i="8" s="1"/>
  <c r="C32" i="7"/>
  <c r="Y12" i="5" s="1"/>
  <c r="C105" i="8" s="1"/>
  <c r="C33" i="7"/>
  <c r="Y13" i="5" s="1"/>
  <c r="C106" i="8" s="1"/>
  <c r="C34" i="7"/>
  <c r="Y21" i="5" s="1"/>
  <c r="C114" i="8" s="1"/>
  <c r="C35" i="7"/>
  <c r="Y22" i="5" s="1"/>
  <c r="C115" i="8" s="1"/>
  <c r="C36" i="7"/>
  <c r="Y23" i="5" s="1"/>
  <c r="C116" i="8" s="1"/>
  <c r="C37" i="7"/>
  <c r="O28" i="5" s="1"/>
  <c r="C72" i="8" s="1"/>
  <c r="C38" i="7"/>
  <c r="O29" i="5" s="1"/>
  <c r="C73" i="8" s="1"/>
  <c r="C39" i="7"/>
  <c r="O30" i="5" s="1"/>
  <c r="C74" i="8" s="1"/>
  <c r="C40" i="7"/>
  <c r="J32" i="5" s="1"/>
  <c r="C50" i="8" s="1"/>
  <c r="C41" i="7"/>
  <c r="J27" i="5" s="1"/>
  <c r="C45" i="8" s="1"/>
  <c r="C42" i="7"/>
  <c r="CB27" i="5" s="1"/>
  <c r="C383" i="8" s="1"/>
  <c r="C43" i="7"/>
  <c r="T27" i="5" s="1"/>
  <c r="C95" i="8" s="1"/>
  <c r="C44" i="7"/>
  <c r="T17" i="5" s="1"/>
  <c r="C85" i="8" s="1"/>
  <c r="C45" i="7"/>
  <c r="Y18" i="5" s="1"/>
  <c r="C46" i="7"/>
  <c r="Y16" i="5" s="1"/>
  <c r="C109" i="8" s="1"/>
  <c r="C47" i="7"/>
  <c r="Y24" i="5" s="1"/>
  <c r="C117" i="8" s="1"/>
  <c r="C48" i="7"/>
  <c r="Y29" i="5" s="1"/>
  <c r="C122" i="8" s="1"/>
  <c r="C49" i="7"/>
  <c r="AI7" i="5" s="1"/>
  <c r="C146" i="8" s="1"/>
  <c r="C50" i="7"/>
  <c r="AI8" i="5" s="1"/>
  <c r="C147" i="8" s="1"/>
  <c r="C51" i="7"/>
  <c r="AI9" i="5" s="1"/>
  <c r="C52" i="7"/>
  <c r="AD17" i="5" s="1"/>
  <c r="C134" i="8" s="1"/>
  <c r="C53" i="7"/>
  <c r="AS25" i="5" s="1"/>
  <c r="C211" i="8" s="1"/>
  <c r="C54" i="7"/>
  <c r="AX22" i="5" s="1"/>
  <c r="C234" i="8" s="1"/>
  <c r="C55" i="7"/>
  <c r="BH10" i="5" s="1"/>
  <c r="C272" i="8" s="1"/>
  <c r="C56" i="7"/>
  <c r="BH12" i="5" s="1"/>
  <c r="C274" i="8" s="1"/>
  <c r="C57" i="7"/>
  <c r="BM28" i="5" s="1"/>
  <c r="C315" i="8" s="1"/>
  <c r="C58" i="7"/>
  <c r="CV27" i="5" s="1"/>
  <c r="C478" i="8" s="1"/>
  <c r="C59" i="7"/>
  <c r="CV28" i="5" s="1"/>
  <c r="C479" i="8" s="1"/>
  <c r="C60" i="7"/>
  <c r="T24" i="5" s="1"/>
  <c r="C92" i="8" s="1"/>
  <c r="C61" i="7"/>
  <c r="T23" i="5" s="1"/>
  <c r="C91" i="8" s="1"/>
  <c r="C62" i="7"/>
  <c r="T22" i="5" s="1"/>
  <c r="C90" i="8" s="1"/>
  <c r="C63" i="7"/>
  <c r="T21" i="5" s="1"/>
  <c r="C89" i="8" s="1"/>
  <c r="C64" i="7"/>
  <c r="CB31" i="5" s="1"/>
  <c r="C65" i="7"/>
  <c r="CB28" i="5" s="1"/>
  <c r="C384" i="8" s="1"/>
  <c r="C66" i="7"/>
  <c r="CB26" i="5" s="1"/>
  <c r="C382" i="8" s="1"/>
  <c r="C67" i="7"/>
  <c r="CB25" i="5" s="1"/>
  <c r="C381" i="8" s="1"/>
  <c r="C1" i="7"/>
  <c r="CQ8" i="5" s="1"/>
  <c r="C435" i="8" s="1"/>
  <c r="C271" i="7"/>
  <c r="J10" i="5" s="1"/>
  <c r="C28" i="8" s="1"/>
  <c r="C272" i="7"/>
  <c r="J9" i="5" s="1"/>
  <c r="C27" i="8" s="1"/>
  <c r="C273" i="7"/>
  <c r="J8" i="5" s="1"/>
  <c r="C274" i="7"/>
  <c r="J7" i="5" s="1"/>
  <c r="C275" i="7"/>
  <c r="AX32" i="5" s="1"/>
  <c r="C244" i="8" s="1"/>
  <c r="C276" i="7"/>
  <c r="CL23" i="5" s="1"/>
  <c r="C426" i="8" s="1"/>
  <c r="C277" i="7"/>
  <c r="J24" i="5" s="1"/>
  <c r="C42" i="8" s="1"/>
  <c r="C278" i="7"/>
  <c r="BW25" i="5" s="1"/>
  <c r="C356" i="8" s="1"/>
  <c r="C279" i="7"/>
  <c r="T13" i="5" s="1"/>
  <c r="C81" i="8" s="1"/>
  <c r="C280" i="7"/>
  <c r="BC19" i="5" s="1"/>
  <c r="C257" i="8" s="1"/>
  <c r="C281" i="7"/>
  <c r="BC18" i="5" s="1"/>
  <c r="C256" i="8" s="1"/>
  <c r="C282" i="7"/>
  <c r="BC17" i="5" s="1"/>
  <c r="C255" i="8" s="1"/>
  <c r="C283" i="7"/>
  <c r="BC16" i="5" s="1"/>
  <c r="C254" i="8" s="1"/>
  <c r="C284" i="7"/>
  <c r="AX14" i="5" s="1"/>
  <c r="C226" i="8" s="1"/>
  <c r="C285" i="7"/>
  <c r="AX13" i="5" s="1"/>
  <c r="C286" i="7"/>
  <c r="AX12" i="5" s="1"/>
  <c r="C287" i="7"/>
  <c r="AX11" i="5" s="1"/>
  <c r="C223" i="8" s="1"/>
  <c r="C288" i="7"/>
  <c r="AX10" i="5" s="1"/>
  <c r="C222" i="8" s="1"/>
  <c r="C289" i="7"/>
  <c r="O27" i="5" s="1"/>
  <c r="C71" i="8" s="1"/>
  <c r="C290" i="7"/>
  <c r="O26" i="5" s="1"/>
  <c r="C70" i="8" s="1"/>
  <c r="C291" i="7"/>
  <c r="CB17" i="5" s="1"/>
  <c r="C373" i="8" s="1"/>
  <c r="C292" i="7"/>
  <c r="CB16" i="5" s="1"/>
  <c r="C372" i="8" s="1"/>
  <c r="C293" i="7"/>
  <c r="CB15" i="5" s="1"/>
  <c r="C371" i="8" s="1"/>
  <c r="C294" i="7"/>
  <c r="CB14" i="5" s="1"/>
  <c r="C370" i="8" s="1"/>
  <c r="C295" i="7"/>
  <c r="CB13" i="5" s="1"/>
  <c r="C369" i="8" s="1"/>
  <c r="C296" i="7"/>
  <c r="AN29" i="5" s="1"/>
  <c r="C189" i="8" s="1"/>
  <c r="C297" i="7"/>
  <c r="AN27" i="5" s="1"/>
  <c r="C187" i="8" s="1"/>
  <c r="C298" i="7"/>
  <c r="AN26" i="5" s="1"/>
  <c r="C186" i="8" s="1"/>
  <c r="C299" i="7"/>
  <c r="AN25" i="5" s="1"/>
  <c r="C185" i="8" s="1"/>
  <c r="C300" i="7"/>
  <c r="AI26" i="5" s="1"/>
  <c r="C165" i="8" s="1"/>
  <c r="C301" i="7"/>
  <c r="AI25" i="5" s="1"/>
  <c r="C302" i="7"/>
  <c r="AI24" i="5" s="1"/>
  <c r="C303" i="7"/>
  <c r="BC27" i="5" s="1"/>
  <c r="C265" i="8" s="1"/>
  <c r="C304" i="7"/>
  <c r="BC26" i="5" s="1"/>
  <c r="C264" i="8" s="1"/>
  <c r="C305" i="7"/>
  <c r="BC25" i="5" s="1"/>
  <c r="C263" i="8" s="1"/>
  <c r="C306" i="7"/>
  <c r="BC24" i="5" s="1"/>
  <c r="C262" i="8" s="1"/>
  <c r="C307" i="7"/>
  <c r="CL24" i="5" s="1"/>
  <c r="C427" i="8" s="1"/>
  <c r="C308" i="7"/>
  <c r="AI21" i="5" s="1"/>
  <c r="C160" i="8" s="1"/>
  <c r="C309" i="7"/>
  <c r="AS12" i="5" s="1"/>
  <c r="C198" i="8" s="1"/>
  <c r="C310" i="7"/>
  <c r="CB19" i="5" s="1"/>
  <c r="C311" i="7"/>
  <c r="BW24" i="5" s="1"/>
  <c r="C355" i="8" s="1"/>
  <c r="C312" i="7"/>
  <c r="BW23" i="5" s="1"/>
  <c r="C354" i="8" s="1"/>
  <c r="C313" i="7"/>
  <c r="CG7" i="5" s="1"/>
  <c r="C314" i="7"/>
  <c r="CG24" i="5" s="1"/>
  <c r="C405" i="8" s="1"/>
  <c r="C315" i="7"/>
  <c r="CB7" i="5" s="1"/>
  <c r="C316" i="7"/>
  <c r="AX9" i="5" s="1"/>
  <c r="C221" i="8" s="1"/>
  <c r="C317" i="7"/>
  <c r="AX7" i="5" s="1"/>
  <c r="C219" i="8" s="1"/>
  <c r="C318" i="7"/>
  <c r="J13" i="5" s="1"/>
  <c r="C31" i="8" s="1"/>
  <c r="C319" i="7"/>
  <c r="J12" i="5" s="1"/>
  <c r="C30" i="8" s="1"/>
  <c r="C320" i="7"/>
  <c r="AS9" i="5" s="1"/>
  <c r="C195" i="8" s="1"/>
  <c r="C321" i="7"/>
  <c r="AS8" i="5" s="1"/>
  <c r="C194" i="8" s="1"/>
  <c r="C322" i="7"/>
  <c r="J20" i="5" s="1"/>
  <c r="C323" i="7"/>
  <c r="J19" i="5" s="1"/>
  <c r="C324" i="7"/>
  <c r="J17" i="5" s="1"/>
  <c r="C35" i="8" s="1"/>
  <c r="C325" i="7"/>
  <c r="AS7" i="5" s="1"/>
  <c r="C193" i="8" s="1"/>
  <c r="C326" i="7"/>
  <c r="AS18" i="5" s="1"/>
  <c r="C204" i="8" s="1"/>
  <c r="C327" i="7"/>
  <c r="BW26" i="5" s="1"/>
  <c r="C357" i="8" s="1"/>
  <c r="C328" i="7"/>
  <c r="BW22" i="5" s="1"/>
  <c r="C353" i="8" s="1"/>
  <c r="C329" i="7"/>
  <c r="C330" i="7"/>
  <c r="BW15" i="5" s="1"/>
  <c r="C346" i="8" s="1"/>
  <c r="C331" i="7"/>
  <c r="BW9" i="5" s="1"/>
  <c r="C340" i="8" s="1"/>
  <c r="C270" i="7"/>
  <c r="AX21" i="5" s="1"/>
  <c r="C233" i="8" s="1"/>
  <c r="C136" i="7"/>
  <c r="AN10" i="5" s="1"/>
  <c r="C137" i="7"/>
  <c r="AN9" i="5" s="1"/>
  <c r="C169" i="8" s="1"/>
  <c r="C138" i="7"/>
  <c r="BH21" i="5" s="1"/>
  <c r="C283" i="8" s="1"/>
  <c r="C139" i="7"/>
  <c r="BH20" i="5" s="1"/>
  <c r="C282" i="8" s="1"/>
  <c r="C140" i="7"/>
  <c r="BH15" i="5" s="1"/>
  <c r="C277" i="8" s="1"/>
  <c r="C141" i="7"/>
  <c r="BH19" i="5" s="1"/>
  <c r="C281" i="8" s="1"/>
  <c r="C142" i="7"/>
  <c r="CV26" i="5" s="1"/>
  <c r="C477" i="8" s="1"/>
  <c r="C143" i="7"/>
  <c r="CL26" i="5" s="1"/>
  <c r="C144" i="7"/>
  <c r="T31" i="5" s="1"/>
  <c r="C99" i="8" s="1"/>
  <c r="C145" i="7"/>
  <c r="T30" i="5" s="1"/>
  <c r="C98" i="8" s="1"/>
  <c r="C146" i="7"/>
  <c r="T29" i="5" s="1"/>
  <c r="C97" i="8" s="1"/>
  <c r="C147" i="7"/>
  <c r="T28" i="5" s="1"/>
  <c r="C96" i="8" s="1"/>
  <c r="C148" i="7"/>
  <c r="AS27" i="5" s="1"/>
  <c r="C213" i="8" s="1"/>
  <c r="C149" i="7"/>
  <c r="AS21" i="5" s="1"/>
  <c r="C207" i="8" s="1"/>
  <c r="C150" i="7"/>
  <c r="AS20" i="5" s="1"/>
  <c r="C206" i="8" s="1"/>
  <c r="C151" i="7"/>
  <c r="AS19" i="5" s="1"/>
  <c r="C205" i="8" s="1"/>
  <c r="C152" i="7"/>
  <c r="BH14" i="5" s="1"/>
  <c r="C276" i="8" s="1"/>
  <c r="C153" i="7"/>
  <c r="BH13" i="5" s="1"/>
  <c r="C275" i="8" s="1"/>
  <c r="C154" i="7"/>
  <c r="AN21" i="5" s="1"/>
  <c r="C181" i="8" s="1"/>
  <c r="C155" i="7"/>
  <c r="AN20" i="5" s="1"/>
  <c r="C180" i="8" s="1"/>
  <c r="C156" i="7"/>
  <c r="O18" i="5" s="1"/>
  <c r="C62" i="8" s="1"/>
  <c r="C157" i="7"/>
  <c r="O17" i="5" s="1"/>
  <c r="C61" i="8" s="1"/>
  <c r="C158" i="7"/>
  <c r="O16" i="5" s="1"/>
  <c r="C60" i="8" s="1"/>
  <c r="C159" i="7"/>
  <c r="O15" i="5" s="1"/>
  <c r="C59" i="8" s="1"/>
  <c r="C160" i="7"/>
  <c r="O14" i="5" s="1"/>
  <c r="C58" i="8" s="1"/>
  <c r="C161" i="7"/>
  <c r="O13" i="5" s="1"/>
  <c r="C57" i="8" s="1"/>
  <c r="C162" i="7"/>
  <c r="BW31" i="5" s="1"/>
  <c r="C163" i="7"/>
  <c r="BW30" i="5" s="1"/>
  <c r="C164" i="7"/>
  <c r="BM24" i="5" s="1"/>
  <c r="C311" i="8" s="1"/>
  <c r="C165" i="7"/>
  <c r="BM23" i="5" s="1"/>
  <c r="C310" i="8" s="1"/>
  <c r="C166" i="7"/>
  <c r="BM22" i="5" s="1"/>
  <c r="C309" i="8" s="1"/>
  <c r="C167" i="7"/>
  <c r="BM21" i="5" s="1"/>
  <c r="C308" i="8" s="1"/>
  <c r="C168" i="7"/>
  <c r="CG28" i="5" s="1"/>
  <c r="C409" i="8" s="1"/>
  <c r="C169" i="7"/>
  <c r="CQ12" i="5" s="1"/>
  <c r="C439" i="8" s="1"/>
  <c r="C170" i="7"/>
  <c r="CQ11" i="5" s="1"/>
  <c r="C171" i="7"/>
  <c r="CQ10" i="5" s="1"/>
  <c r="C437" i="8" s="1"/>
  <c r="C172" i="7"/>
  <c r="CV14" i="5" s="1"/>
  <c r="C465" i="8" s="1"/>
  <c r="C173" i="7"/>
  <c r="CV13" i="5" s="1"/>
  <c r="C464" i="8" s="1"/>
  <c r="C174" i="7"/>
  <c r="CV8" i="5" s="1"/>
  <c r="C459" i="8" s="1"/>
  <c r="C175" i="7"/>
  <c r="CV12" i="5" s="1"/>
  <c r="C463" i="8" s="1"/>
  <c r="C176" i="7"/>
  <c r="C177" i="7"/>
  <c r="BR7" i="5" s="1"/>
  <c r="C178" i="7"/>
  <c r="BM16" i="5" s="1"/>
  <c r="C303" i="8" s="1"/>
  <c r="C179" i="7"/>
  <c r="BR9" i="5" s="1"/>
  <c r="C318" i="8" s="1"/>
  <c r="C180" i="7"/>
  <c r="BC15" i="5" s="1"/>
  <c r="C253" i="8" s="1"/>
  <c r="C181" i="7"/>
  <c r="BC14" i="5" s="1"/>
  <c r="C252" i="8" s="1"/>
  <c r="C182" i="7"/>
  <c r="BC13" i="5" s="1"/>
  <c r="C251" i="8" s="1"/>
  <c r="C183" i="7"/>
  <c r="BC12" i="5" s="1"/>
  <c r="C184" i="7"/>
  <c r="BC11" i="5" s="1"/>
  <c r="C185" i="7"/>
  <c r="BC10" i="5" s="1"/>
  <c r="C248" i="8" s="1"/>
  <c r="C186" i="7"/>
  <c r="CL14" i="5" s="1"/>
  <c r="C187" i="7"/>
  <c r="O25" i="5" s="1"/>
  <c r="C69" i="8" s="1"/>
  <c r="C188" i="7"/>
  <c r="CB11" i="5" s="1"/>
  <c r="C367" i="8" s="1"/>
  <c r="C189" i="7"/>
  <c r="CB10" i="5" s="1"/>
  <c r="C366" i="8" s="1"/>
  <c r="C190" i="7"/>
  <c r="CB9" i="5" s="1"/>
  <c r="C365" i="8" s="1"/>
  <c r="C135" i="7"/>
  <c r="AN12" i="5" s="1"/>
  <c r="C172" i="8" s="1"/>
  <c r="C69" i="7"/>
  <c r="CB22" i="5" s="1"/>
  <c r="C378" i="8" s="1"/>
  <c r="C70" i="7"/>
  <c r="C71" i="7"/>
  <c r="BW8" i="5" s="1"/>
  <c r="C339" i="8" s="1"/>
  <c r="C72" i="7"/>
  <c r="J21" i="5" s="1"/>
  <c r="C39" i="8" s="1"/>
  <c r="C73" i="7"/>
  <c r="C74" i="7"/>
  <c r="AN14" i="5" s="1"/>
  <c r="C174" i="8" s="1"/>
  <c r="C75" i="7"/>
  <c r="AI17" i="5" s="1"/>
  <c r="C156" i="8" s="1"/>
  <c r="C76" i="7"/>
  <c r="T11" i="5" s="1"/>
  <c r="C79" i="8" s="1"/>
  <c r="C77" i="7"/>
  <c r="T9" i="5" s="1"/>
  <c r="C77" i="8" s="1"/>
  <c r="C78" i="7"/>
  <c r="CV29" i="5" s="1"/>
  <c r="C480" i="8" s="1"/>
  <c r="C79" i="7"/>
  <c r="CV20" i="5" s="1"/>
  <c r="C80" i="7"/>
  <c r="AX20" i="5" s="1"/>
  <c r="C232" i="8" s="1"/>
  <c r="C81" i="7"/>
  <c r="AX18" i="5" s="1"/>
  <c r="C230" i="8" s="1"/>
  <c r="C82" i="7"/>
  <c r="C83" i="7"/>
  <c r="AI16" i="5" s="1"/>
  <c r="C155" i="8" s="1"/>
  <c r="C84" i="7"/>
  <c r="J26" i="5" s="1"/>
  <c r="C44" i="8" s="1"/>
  <c r="C85" i="7"/>
  <c r="T26" i="5" s="1"/>
  <c r="C94" i="8" s="1"/>
  <c r="C86" i="7"/>
  <c r="Y20" i="5" s="1"/>
  <c r="C113" i="8" s="1"/>
  <c r="C87" i="7"/>
  <c r="AI15" i="5" s="1"/>
  <c r="C154" i="8" s="1"/>
  <c r="C88" i="7"/>
  <c r="J25" i="5" s="1"/>
  <c r="C43" i="8" s="1"/>
  <c r="C89" i="7"/>
  <c r="AI19" i="5" s="1"/>
  <c r="C158" i="8" s="1"/>
  <c r="C90" i="7"/>
  <c r="Y17" i="5" s="1"/>
  <c r="C91" i="7"/>
  <c r="Y15" i="5" s="1"/>
  <c r="C108" i="8" s="1"/>
  <c r="C92" i="7"/>
  <c r="C93" i="7"/>
  <c r="C94" i="7"/>
  <c r="C95" i="7"/>
  <c r="C96" i="7"/>
  <c r="C97" i="7"/>
  <c r="C98" i="7"/>
  <c r="CG14" i="5" s="1"/>
  <c r="C99" i="7"/>
  <c r="CG12" i="5" s="1"/>
  <c r="C393" i="8" s="1"/>
  <c r="C100" i="7"/>
  <c r="AX19" i="5" s="1"/>
  <c r="C231" i="8" s="1"/>
  <c r="C101" i="7"/>
  <c r="AX17" i="5" s="1"/>
  <c r="C229" i="8" s="1"/>
  <c r="C102" i="7"/>
  <c r="AX16" i="5" s="1"/>
  <c r="C228" i="8" s="1"/>
  <c r="C103" i="7"/>
  <c r="BH31" i="5" s="1"/>
  <c r="C293" i="8" s="1"/>
  <c r="C104" i="7"/>
  <c r="BH30" i="5" s="1"/>
  <c r="C292" i="8" s="1"/>
  <c r="C105" i="7"/>
  <c r="BH29" i="5" s="1"/>
  <c r="C291" i="8" s="1"/>
  <c r="C106" i="7"/>
  <c r="CB23" i="5" s="1"/>
  <c r="C379" i="8" s="1"/>
  <c r="C107" i="7"/>
  <c r="CB20" i="5" s="1"/>
  <c r="C108" i="7"/>
  <c r="CG26" i="5" s="1"/>
  <c r="C407" i="8" s="1"/>
  <c r="C109" i="7"/>
  <c r="CV30" i="5" s="1"/>
  <c r="C481" i="8" s="1"/>
  <c r="C110" i="7"/>
  <c r="CV21" i="5" s="1"/>
  <c r="C111" i="7"/>
  <c r="CV19" i="5" s="1"/>
  <c r="C470" i="8" s="1"/>
  <c r="C112" i="7"/>
  <c r="BM19" i="5" s="1"/>
  <c r="C113" i="7"/>
  <c r="BM17" i="5" s="1"/>
  <c r="C304" i="8" s="1"/>
  <c r="C114" i="7"/>
  <c r="CL21" i="5" s="1"/>
  <c r="C424" i="8" s="1"/>
  <c r="C115" i="7"/>
  <c r="CL20" i="5" s="1"/>
  <c r="C423" i="8" s="1"/>
  <c r="C116" i="7"/>
  <c r="CL19" i="5" s="1"/>
  <c r="C422" i="8" s="1"/>
  <c r="C117" i="7"/>
  <c r="CL18" i="5" s="1"/>
  <c r="C421" i="8" s="1"/>
  <c r="C118" i="7"/>
  <c r="CL17" i="5" s="1"/>
  <c r="C420" i="8" s="1"/>
  <c r="C119" i="7"/>
  <c r="BW10" i="5" s="1"/>
  <c r="C341" i="8" s="1"/>
  <c r="C120" i="7"/>
  <c r="BW7" i="5" s="1"/>
  <c r="C338" i="8" s="1"/>
  <c r="C121" i="7"/>
  <c r="CL9" i="5" s="1"/>
  <c r="C412" i="8" s="1"/>
  <c r="C122" i="7"/>
  <c r="CL8" i="5" s="1"/>
  <c r="C411" i="8" s="1"/>
  <c r="C123" i="7"/>
  <c r="CL7" i="5" s="1"/>
  <c r="C410" i="8" s="1"/>
  <c r="C124" i="7"/>
  <c r="BC23" i="5" s="1"/>
  <c r="C125" i="7"/>
  <c r="BC22" i="5" s="1"/>
  <c r="C260" i="8" s="1"/>
  <c r="C126" i="7"/>
  <c r="BC21" i="5" s="1"/>
  <c r="C259" i="8" s="1"/>
  <c r="C127" i="7"/>
  <c r="BC20" i="5" s="1"/>
  <c r="C258" i="8" s="1"/>
  <c r="C128" i="7"/>
  <c r="C129" i="7"/>
  <c r="AS32" i="5" s="1"/>
  <c r="C218" i="8" s="1"/>
  <c r="C130" i="7"/>
  <c r="AS31" i="5" s="1"/>
  <c r="C217" i="8" s="1"/>
  <c r="C131" i="7"/>
  <c r="AS30" i="5" s="1"/>
  <c r="C216" i="8" s="1"/>
  <c r="C132" i="7"/>
  <c r="AS29" i="5" s="1"/>
  <c r="C215" i="8" s="1"/>
  <c r="C133" i="7"/>
  <c r="C134" i="7"/>
  <c r="AS22" i="5" s="1"/>
  <c r="C208" i="8" s="1"/>
  <c r="C68" i="7"/>
  <c r="CB24" i="5" s="1"/>
  <c r="C380" i="8" s="1"/>
  <c r="C204" i="7"/>
  <c r="BW21" i="5" s="1"/>
  <c r="C352" i="8" s="1"/>
  <c r="C205" i="7"/>
  <c r="BW20" i="5" s="1"/>
  <c r="C351" i="8" s="1"/>
  <c r="C206" i="7"/>
  <c r="BW19" i="5" s="1"/>
  <c r="C207" i="7"/>
  <c r="BW18" i="5" s="1"/>
  <c r="C208" i="7"/>
  <c r="BW17" i="5" s="1"/>
  <c r="C348" i="8" s="1"/>
  <c r="C209" i="7"/>
  <c r="BW16" i="5" s="1"/>
  <c r="C347" i="8" s="1"/>
  <c r="C210" i="7"/>
  <c r="BM15" i="5" s="1"/>
  <c r="C302" i="8" s="1"/>
  <c r="C211" i="7"/>
  <c r="AN15" i="5" s="1"/>
  <c r="C175" i="8" s="1"/>
  <c r="C212" i="7"/>
  <c r="CG8" i="5" s="1"/>
  <c r="C389" i="8" s="1"/>
  <c r="C213" i="7"/>
  <c r="CG10" i="5" s="1"/>
  <c r="C391" i="8" s="1"/>
  <c r="C214" i="7"/>
  <c r="E9" i="5" s="1"/>
  <c r="C3" i="8" s="1"/>
  <c r="C215" i="7"/>
  <c r="E8" i="5" s="1"/>
  <c r="C216" i="7"/>
  <c r="CV18" i="5" s="1"/>
  <c r="C469" i="8" s="1"/>
  <c r="C217" i="7"/>
  <c r="AX27" i="5" s="1"/>
  <c r="C239" i="8" s="1"/>
  <c r="C218" i="7"/>
  <c r="AI11" i="5" s="1"/>
  <c r="C150" i="8" s="1"/>
  <c r="C219" i="7"/>
  <c r="C220" i="7"/>
  <c r="C221" i="7"/>
  <c r="T7" i="5" s="1"/>
  <c r="C75" i="8" s="1"/>
  <c r="C222" i="7"/>
  <c r="CL12" i="5" s="1"/>
  <c r="C415" i="8" s="1"/>
  <c r="C223" i="7"/>
  <c r="BR18" i="5" s="1"/>
  <c r="C224" i="7"/>
  <c r="C225" i="7"/>
  <c r="BR17" i="5" s="1"/>
  <c r="C226" i="7"/>
  <c r="BR16" i="5" s="1"/>
  <c r="C325" i="8" s="1"/>
  <c r="C227" i="7"/>
  <c r="Y30" i="5" s="1"/>
  <c r="C228" i="7"/>
  <c r="Y28" i="5" s="1"/>
  <c r="C121" i="8" s="1"/>
  <c r="C229" i="7"/>
  <c r="Y26" i="5" s="1"/>
  <c r="C119" i="8" s="1"/>
  <c r="C230" i="7"/>
  <c r="Y25" i="5" s="1"/>
  <c r="C118" i="8" s="1"/>
  <c r="C231" i="7"/>
  <c r="AD15" i="5" s="1"/>
  <c r="C232" i="7"/>
  <c r="AD14" i="5" s="1"/>
  <c r="C131" i="8" s="1"/>
  <c r="C233" i="7"/>
  <c r="AD13" i="5" s="1"/>
  <c r="C130" i="8" s="1"/>
  <c r="C234" i="7"/>
  <c r="AD12" i="5" s="1"/>
  <c r="C129" i="8" s="1"/>
  <c r="C235" i="7"/>
  <c r="AD10" i="5" s="1"/>
  <c r="C127" i="8" s="1"/>
  <c r="C236" i="7"/>
  <c r="CL22" i="5" s="1"/>
  <c r="C425" i="8" s="1"/>
  <c r="C237" i="7"/>
  <c r="AI18" i="5" s="1"/>
  <c r="C157" i="8" s="1"/>
  <c r="C238" i="7"/>
  <c r="C239" i="7"/>
  <c r="AN17" i="5" s="1"/>
  <c r="C177" i="8" s="1"/>
  <c r="C240" i="7"/>
  <c r="AD11" i="5" s="1"/>
  <c r="C128" i="8" s="1"/>
  <c r="C241" i="7"/>
  <c r="AD19" i="5" s="1"/>
  <c r="C136" i="8" s="1"/>
  <c r="C242" i="7"/>
  <c r="E30" i="5" s="1"/>
  <c r="C24" i="8" s="1"/>
  <c r="C243" i="7"/>
  <c r="C244" i="7"/>
  <c r="C245" i="7"/>
  <c r="C246" i="7"/>
  <c r="J11" i="5" s="1"/>
  <c r="C29" i="8" s="1"/>
  <c r="C247" i="7"/>
  <c r="J22" i="5" s="1"/>
  <c r="C40" i="8" s="1"/>
  <c r="C248" i="7"/>
  <c r="AD16" i="5" s="1"/>
  <c r="C249" i="7"/>
  <c r="CQ9" i="5" s="1"/>
  <c r="C436" i="8" s="1"/>
  <c r="C250" i="7"/>
  <c r="AI20" i="5" s="1"/>
  <c r="C159" i="8" s="1"/>
  <c r="C251" i="7"/>
  <c r="AD22" i="5" s="1"/>
  <c r="C139" i="8" s="1"/>
  <c r="C252" i="7"/>
  <c r="AD21" i="5" s="1"/>
  <c r="C138" i="8" s="1"/>
  <c r="C253" i="7"/>
  <c r="AD20" i="5" s="1"/>
  <c r="C137" i="8" s="1"/>
  <c r="C254" i="7"/>
  <c r="AD18" i="5" s="1"/>
  <c r="C135" i="8" s="1"/>
  <c r="C255" i="7"/>
  <c r="AN7" i="5" s="1"/>
  <c r="C167" i="8" s="1"/>
  <c r="C256" i="7"/>
  <c r="BM14" i="5" s="1"/>
  <c r="C301" i="8" s="1"/>
  <c r="C257" i="7"/>
  <c r="BM13" i="5" s="1"/>
  <c r="C300" i="8" s="1"/>
  <c r="C258" i="7"/>
  <c r="BM12" i="5" s="1"/>
  <c r="C299" i="8" s="1"/>
  <c r="C259" i="7"/>
  <c r="BM11" i="5" s="1"/>
  <c r="C298" i="8" s="1"/>
  <c r="C260" i="7"/>
  <c r="BM10" i="5" s="1"/>
  <c r="C297" i="8" s="1"/>
  <c r="C261" i="7"/>
  <c r="BM9" i="5" s="1"/>
  <c r="C296" i="8" s="1"/>
  <c r="C262" i="7"/>
  <c r="CQ30" i="5" s="1"/>
  <c r="C457" i="8" s="1"/>
  <c r="C263" i="7"/>
  <c r="CQ29" i="5" s="1"/>
  <c r="C456" i="8" s="1"/>
  <c r="C264" i="7"/>
  <c r="CQ28" i="5" s="1"/>
  <c r="C455" i="8" s="1"/>
  <c r="C265" i="7"/>
  <c r="CQ27" i="5" s="1"/>
  <c r="C454" i="8" s="1"/>
  <c r="C266" i="7"/>
  <c r="CQ26" i="5" s="1"/>
  <c r="C267" i="7"/>
  <c r="CQ15" i="5" s="1"/>
  <c r="C442" i="8" s="1"/>
  <c r="C268" i="7"/>
  <c r="C269" i="7"/>
  <c r="BM20" i="5" s="1"/>
  <c r="C203" i="7"/>
  <c r="CL15" i="5" s="1"/>
  <c r="C418" i="8" s="1"/>
  <c r="BR14" i="5" l="1"/>
  <c r="C323" i="8" s="1"/>
  <c r="BR22" i="5"/>
  <c r="C331" i="8" s="1"/>
  <c r="D4" i="11"/>
  <c r="F4" i="11" s="1"/>
  <c r="D3" i="4"/>
  <c r="D3" i="5"/>
  <c r="CV32" i="5"/>
  <c r="C483" i="8" s="1"/>
  <c r="K4" i="11" s="1"/>
  <c r="N4" i="11" s="1"/>
  <c r="E4" i="11" l="1"/>
  <c r="D3" i="18"/>
  <c r="M4" i="11"/>
</calcChain>
</file>

<file path=xl/sharedStrings.xml><?xml version="1.0" encoding="utf-8"?>
<sst xmlns="http://schemas.openxmlformats.org/spreadsheetml/2006/main" count="8934" uniqueCount="1893">
  <si>
    <t>Name</t>
  </si>
  <si>
    <t>Color</t>
  </si>
  <si>
    <t>Lemon</t>
  </si>
  <si>
    <t>Black</t>
  </si>
  <si>
    <t>Rose</t>
  </si>
  <si>
    <t>Coral</t>
  </si>
  <si>
    <t>Mustard</t>
  </si>
  <si>
    <t>Tan</t>
  </si>
  <si>
    <t>Avocado Green</t>
  </si>
  <si>
    <t>Blue Green</t>
  </si>
  <si>
    <t>Sky Blue</t>
  </si>
  <si>
    <t>Fern Green</t>
  </si>
  <si>
    <t>Violet</t>
  </si>
  <si>
    <t>Moss Green</t>
  </si>
  <si>
    <t>Turquoise</t>
  </si>
  <si>
    <t>Kelly Green</t>
  </si>
  <si>
    <t>Chartreuse</t>
  </si>
  <si>
    <t>Cream</t>
  </si>
  <si>
    <t>Plum</t>
  </si>
  <si>
    <t>Topaz</t>
  </si>
  <si>
    <t>Olive Green</t>
  </si>
  <si>
    <t>Tangerine</t>
  </si>
  <si>
    <t>Off White</t>
  </si>
  <si>
    <t>Salmon</t>
  </si>
  <si>
    <t>Royal Blue</t>
  </si>
  <si>
    <t>Peacock Blue</t>
  </si>
  <si>
    <t>Garnet</t>
  </si>
  <si>
    <t>Baby Pink</t>
  </si>
  <si>
    <t>Golden Olive</t>
  </si>
  <si>
    <t>Red Copper</t>
  </si>
  <si>
    <t>Copper</t>
  </si>
  <si>
    <t>Burnt Orange</t>
  </si>
  <si>
    <t>Nile Green</t>
  </si>
  <si>
    <t>Geranium</t>
  </si>
  <si>
    <t>Pumpkin</t>
  </si>
  <si>
    <t>Forest Green</t>
  </si>
  <si>
    <t>Aquamarine</t>
  </si>
  <si>
    <t>Apricot</t>
  </si>
  <si>
    <t>Hunter Green</t>
  </si>
  <si>
    <t>Pine Green</t>
  </si>
  <si>
    <t>Black Brown</t>
  </si>
  <si>
    <t>Mauve</t>
  </si>
  <si>
    <t>Dusty Rose</t>
  </si>
  <si>
    <t>Baby Blue</t>
  </si>
  <si>
    <t>Ecru</t>
  </si>
  <si>
    <t>Ecru/off-white</t>
  </si>
  <si>
    <t>White</t>
  </si>
  <si>
    <t>B5200</t>
  </si>
  <si>
    <t>Snow White</t>
  </si>
  <si>
    <t>Pewter Gray</t>
  </si>
  <si>
    <t>Pink</t>
  </si>
  <si>
    <t>Red</t>
  </si>
  <si>
    <t>Lilac</t>
  </si>
  <si>
    <t>Forget-me-not Blue</t>
  </si>
  <si>
    <t>Blue</t>
  </si>
  <si>
    <t>Green</t>
  </si>
  <si>
    <t>Lime Green</t>
  </si>
  <si>
    <t>Khaki Brown</t>
  </si>
  <si>
    <t>Peach</t>
  </si>
  <si>
    <t>Silver Gray</t>
  </si>
  <si>
    <t>Pearl Gray</t>
  </si>
  <si>
    <t>Number</t>
  </si>
  <si>
    <t>Drab Brown</t>
  </si>
  <si>
    <t>Golden Yellow</t>
  </si>
  <si>
    <t>Delft Blue</t>
  </si>
  <si>
    <t>Brown</t>
  </si>
  <si>
    <t>Hazel Nut Brown</t>
  </si>
  <si>
    <t>Avocado Green - BLACK</t>
  </si>
  <si>
    <t>Tawny</t>
  </si>
  <si>
    <t>Green Gray</t>
  </si>
  <si>
    <t>Desert Sand</t>
  </si>
  <si>
    <t>Cyclamen Pink</t>
  </si>
  <si>
    <t>Cornflower Blue</t>
  </si>
  <si>
    <t>Electric Blue</t>
  </si>
  <si>
    <t>Celadon Green</t>
  </si>
  <si>
    <t>Straw</t>
  </si>
  <si>
    <t>Golden Brown</t>
  </si>
  <si>
    <t>Hazelnut Brown</t>
  </si>
  <si>
    <t>Terra Cotta</t>
  </si>
  <si>
    <t>Cocoa</t>
  </si>
  <si>
    <t>Winter White</t>
  </si>
  <si>
    <t>E130</t>
  </si>
  <si>
    <t>E135</t>
  </si>
  <si>
    <t>E155</t>
  </si>
  <si>
    <t>E321</t>
  </si>
  <si>
    <t>E334</t>
  </si>
  <si>
    <t>E699</t>
  </si>
  <si>
    <t>E3837</t>
  </si>
  <si>
    <t>E3843</t>
  </si>
  <si>
    <t>E316</t>
  </si>
  <si>
    <t>E3849</t>
  </si>
  <si>
    <t>E703</t>
  </si>
  <si>
    <t>E718</t>
  </si>
  <si>
    <t>E815</t>
  </si>
  <si>
    <t>E825</t>
  </si>
  <si>
    <t>E168</t>
  </si>
  <si>
    <t>E301</t>
  </si>
  <si>
    <t>E317</t>
  </si>
  <si>
    <t>E677</t>
  </si>
  <si>
    <t>E3821</t>
  </si>
  <si>
    <t>E3852</t>
  </si>
  <si>
    <t>E898</t>
  </si>
  <si>
    <t>E436</t>
  </si>
  <si>
    <t>E3685</t>
  </si>
  <si>
    <t>E310</t>
  </si>
  <si>
    <t>E415</t>
  </si>
  <si>
    <t>E211</t>
  </si>
  <si>
    <t>E746</t>
  </si>
  <si>
    <t>E966</t>
  </si>
  <si>
    <t>E818</t>
  </si>
  <si>
    <t>E747</t>
  </si>
  <si>
    <t>E967</t>
  </si>
  <si>
    <t>E3747</t>
  </si>
  <si>
    <t>E5200</t>
  </si>
  <si>
    <t>E980</t>
  </si>
  <si>
    <t>E990</t>
  </si>
  <si>
    <t>E940</t>
  </si>
  <si>
    <t>Glow-In-The-Dark</t>
  </si>
  <si>
    <t>White Tin</t>
  </si>
  <si>
    <t>Tin</t>
  </si>
  <si>
    <t>Tender Green</t>
  </si>
  <si>
    <t>Apple Green</t>
  </si>
  <si>
    <t>Yellow Plum</t>
  </si>
  <si>
    <t>Shrimp</t>
  </si>
  <si>
    <t>Alizarian</t>
  </si>
  <si>
    <t>Apple Blossom</t>
  </si>
  <si>
    <t>White Lavender</t>
  </si>
  <si>
    <t>White Violet</t>
  </si>
  <si>
    <t>Eggplant</t>
  </si>
  <si>
    <t>Blueberry</t>
  </si>
  <si>
    <t>Fuchsia</t>
  </si>
  <si>
    <t>Variegated - Baby Pink</t>
  </si>
  <si>
    <t>Variegated - Burnt Orange</t>
  </si>
  <si>
    <t>Variegated - Violet</t>
  </si>
  <si>
    <t>Variegated - Steel Grey</t>
  </si>
  <si>
    <t>Variegated - Baby Blue</t>
  </si>
  <si>
    <t>Variegated - Terra Cotta</t>
  </si>
  <si>
    <t>Variegated - Yellow</t>
  </si>
  <si>
    <t>Variegated - Avocado</t>
  </si>
  <si>
    <t>Variegated - Blue Haze</t>
  </si>
  <si>
    <t>Variegated - Khaki Green</t>
  </si>
  <si>
    <t>Variegated - Mauve</t>
  </si>
  <si>
    <t>Variegated - Tan/Brown</t>
  </si>
  <si>
    <t>Variegated - Coral</t>
  </si>
  <si>
    <t>Variegated - Carnation</t>
  </si>
  <si>
    <t>Variegated - Mustard</t>
  </si>
  <si>
    <t>Variegated - Garnet</t>
  </si>
  <si>
    <t>Variegated - Delft Blue</t>
  </si>
  <si>
    <t>Variegated - Seafoam Green</t>
  </si>
  <si>
    <t>Variations - Stormy Skies</t>
  </si>
  <si>
    <t>Variations - Bonfire</t>
  </si>
  <si>
    <t>Variations - Desert Canyon</t>
  </si>
  <si>
    <t>Variations - Gold Coast</t>
  </si>
  <si>
    <t>Variations - Chilean Sunset</t>
  </si>
  <si>
    <t>Variations - Driftwood</t>
  </si>
  <si>
    <t>Variations - Sandune</t>
  </si>
  <si>
    <t>Variations - Desert Sand</t>
  </si>
  <si>
    <t>Variations - Glistening Pearl</t>
  </si>
  <si>
    <t>Variations - Whispering Wind</t>
  </si>
  <si>
    <t>Variations - Rose Petals</t>
  </si>
  <si>
    <t>Variations - Ocean Coral</t>
  </si>
  <si>
    <t>Variations - Wild Fire</t>
  </si>
  <si>
    <t>Variations - Radiant Ruby</t>
  </si>
  <si>
    <t>Variations - Northern Lights</t>
  </si>
  <si>
    <t>Variations - Lavender Fields</t>
  </si>
  <si>
    <t>Variations - Crystal Water</t>
  </si>
  <si>
    <t>Variations - Arctic Sea</t>
  </si>
  <si>
    <t>Variations - Mid Summer Night</t>
  </si>
  <si>
    <t>Variations - Tropical Waters</t>
  </si>
  <si>
    <t>Variations - Caribbean Bay</t>
  </si>
  <si>
    <t>Variations - Monet's Garden</t>
  </si>
  <si>
    <t>Variations - Water Lillies</t>
  </si>
  <si>
    <t>Variations - Evergreen Forest</t>
  </si>
  <si>
    <t>Variations - Roaming Pastures</t>
  </si>
  <si>
    <t>Variations - Weeping Willow</t>
  </si>
  <si>
    <t>Variations - Morning Meadow</t>
  </si>
  <si>
    <t>Variations - Autumn Leaves</t>
  </si>
  <si>
    <t>Variations - Wheat Fields</t>
  </si>
  <si>
    <t>Variations - Morning Sunshine</t>
  </si>
  <si>
    <t>Variations - Daffodil Fields</t>
  </si>
  <si>
    <t>Variations - Golden Oasis</t>
  </si>
  <si>
    <t>Variations - Summer Breeze</t>
  </si>
  <si>
    <t>Variations - Sunrise</t>
  </si>
  <si>
    <t>Variations - Tropical Sunset</t>
  </si>
  <si>
    <t>Metallic - White</t>
  </si>
  <si>
    <t>Metallic - Gemstones</t>
  </si>
  <si>
    <t>Metallic - Golden Dawn</t>
  </si>
  <si>
    <t>Metallic - Amethyst</t>
  </si>
  <si>
    <t>Metallic - Silver</t>
  </si>
  <si>
    <t>Metallic - Lilac</t>
  </si>
  <si>
    <t>Metallic - Copper</t>
  </si>
  <si>
    <t>Metallic - Ebony</t>
  </si>
  <si>
    <t>Metallic - Pink Amethyst</t>
  </si>
  <si>
    <t>Metallic - Titanium</t>
  </si>
  <si>
    <t>Metallic - Red Ruby</t>
  </si>
  <si>
    <t>Metallic - Blue Topaz</t>
  </si>
  <si>
    <t>Metallic - Pewter</t>
  </si>
  <si>
    <t>Metallic - Golden Oak</t>
  </si>
  <si>
    <t>Metallic - White Gold</t>
  </si>
  <si>
    <t>Metallic - Green Emerald</t>
  </si>
  <si>
    <t>Metallic - Light Green Emerald</t>
  </si>
  <si>
    <t>Metallic - Pink Garnet</t>
  </si>
  <si>
    <t>Metallic - Cream</t>
  </si>
  <si>
    <t>Metallic - Baby Blue</t>
  </si>
  <si>
    <t>Metallic - Dark Red Ruby</t>
  </si>
  <si>
    <t>Metallic - Soft Pink</t>
  </si>
  <si>
    <t>Metallic - Blue Sapphire</t>
  </si>
  <si>
    <t>Metallic - Dark Oak</t>
  </si>
  <si>
    <t>Metallic - Lime</t>
  </si>
  <si>
    <t>Metallic - Soft Peach</t>
  </si>
  <si>
    <t>Metallic - Rosewood</t>
  </si>
  <si>
    <t>Metallic - Sky Blue</t>
  </si>
  <si>
    <t>Metallic - Light Gold</t>
  </si>
  <si>
    <t>Metallic - Purple Ruby</t>
  </si>
  <si>
    <t>Metallic - Light Blue Sapphire</t>
  </si>
  <si>
    <t>Metallic - Aquamarine Blue</t>
  </si>
  <si>
    <t>Metallic - Dark Gold</t>
  </si>
  <si>
    <t>Metallic Pearl - Gold</t>
  </si>
  <si>
    <t>Metallic Pearl - Silver</t>
  </si>
  <si>
    <t>Coloris - Columbine Gardens</t>
  </si>
  <si>
    <t>Coloris - Wildflowers</t>
  </si>
  <si>
    <t>Coloris - Camelia</t>
  </si>
  <si>
    <t>Coloris - Wisteria</t>
  </si>
  <si>
    <t>Coloris - Hydrangea</t>
  </si>
  <si>
    <t>Coloris - Heather</t>
  </si>
  <si>
    <t>Coloris - Spring</t>
  </si>
  <si>
    <t>Coloris - Bouginvillea</t>
  </si>
  <si>
    <t>Coloris - Frosted Countryside</t>
  </si>
  <si>
    <t>Coloris - Granite Coast</t>
  </si>
  <si>
    <t>Coloris - Maple</t>
  </si>
  <si>
    <t>Coloris - Indian Summer</t>
  </si>
  <si>
    <t>Coloris - States</t>
  </si>
  <si>
    <t>Coloris - London</t>
  </si>
  <si>
    <t>Coloris - Venice</t>
  </si>
  <si>
    <t>Coloris - Paris</t>
  </si>
  <si>
    <t>Coloris - Black Forest</t>
  </si>
  <si>
    <t>Coloris - Elves</t>
  </si>
  <si>
    <t>Coloris - Cottage</t>
  </si>
  <si>
    <t>Coloris - Jingle Bells</t>
  </si>
  <si>
    <t>Coloris - Christmas Story</t>
  </si>
  <si>
    <t>Coloris - Wide Open Spaces</t>
  </si>
  <si>
    <t>Coloris - Canadian Night</t>
  </si>
  <si>
    <t>Coloris - North Wind</t>
  </si>
  <si>
    <t>Owned</t>
  </si>
  <si>
    <t>C310</t>
  </si>
  <si>
    <t>C318</t>
  </si>
  <si>
    <t>C321</t>
  </si>
  <si>
    <t>C415</t>
  </si>
  <si>
    <t>C433</t>
  </si>
  <si>
    <t>C436</t>
  </si>
  <si>
    <t>C444</t>
  </si>
  <si>
    <t>C471</t>
  </si>
  <si>
    <t>C519</t>
  </si>
  <si>
    <t>C550</t>
  </si>
  <si>
    <t>C554</t>
  </si>
  <si>
    <t>C600</t>
  </si>
  <si>
    <t>C666</t>
  </si>
  <si>
    <t>C699</t>
  </si>
  <si>
    <t>C725</t>
  </si>
  <si>
    <t>C738</t>
  </si>
  <si>
    <t>C740</t>
  </si>
  <si>
    <t>C798</t>
  </si>
  <si>
    <t>C814</t>
  </si>
  <si>
    <t>C816</t>
  </si>
  <si>
    <t>C820</t>
  </si>
  <si>
    <t>C823</t>
  </si>
  <si>
    <t>C840</t>
  </si>
  <si>
    <t>C890</t>
  </si>
  <si>
    <t>C900</t>
  </si>
  <si>
    <t>C907</t>
  </si>
  <si>
    <t>C915</t>
  </si>
  <si>
    <t>C938</t>
  </si>
  <si>
    <t>C972</t>
  </si>
  <si>
    <t>C995</t>
  </si>
  <si>
    <t>C3371</t>
  </si>
  <si>
    <t>C3799</t>
  </si>
  <si>
    <t>CBlanc</t>
  </si>
  <si>
    <t>CEcru</t>
  </si>
  <si>
    <t>Étoile -  White</t>
  </si>
  <si>
    <t>Étoile - Ecru/off-white</t>
  </si>
  <si>
    <t>Étoile - Black</t>
  </si>
  <si>
    <t>Étoile - Red</t>
  </si>
  <si>
    <t>Étoile - Pearl Grey</t>
  </si>
  <si>
    <t>Étoile - Tan</t>
  </si>
  <si>
    <t>Étoile - Sky Blue</t>
  </si>
  <si>
    <t>Étoile - Green</t>
  </si>
  <si>
    <t>Étoile - Topaz</t>
  </si>
  <si>
    <t>Étoile - Tangerine</t>
  </si>
  <si>
    <t>Étoile - Garnet</t>
  </si>
  <si>
    <t>Étoile - Black Brown</t>
  </si>
  <si>
    <t>By Lord Libidan</t>
  </si>
  <si>
    <t>504*</t>
  </si>
  <si>
    <t>731*</t>
  </si>
  <si>
    <t>776*</t>
  </si>
  <si>
    <t>781*</t>
  </si>
  <si>
    <t>971*</t>
  </si>
  <si>
    <t>806*</t>
  </si>
  <si>
    <t>868*</t>
  </si>
  <si>
    <t>3773*</t>
  </si>
  <si>
    <t>3880*</t>
  </si>
  <si>
    <t>3881*</t>
  </si>
  <si>
    <t>3882*</t>
  </si>
  <si>
    <t>3883*</t>
  </si>
  <si>
    <t>3884*</t>
  </si>
  <si>
    <t>3885*</t>
  </si>
  <si>
    <t>3886*</t>
  </si>
  <si>
    <t>3887*</t>
  </si>
  <si>
    <t>3888*</t>
  </si>
  <si>
    <t>3890*</t>
  </si>
  <si>
    <t>3891*</t>
  </si>
  <si>
    <t>3892*</t>
  </si>
  <si>
    <t>3893*</t>
  </si>
  <si>
    <t>3894*</t>
  </si>
  <si>
    <t>3895*</t>
  </si>
  <si>
    <t>3889*</t>
  </si>
  <si>
    <t>Wedgewood - Dark</t>
  </si>
  <si>
    <t>Carnation - Dark</t>
  </si>
  <si>
    <t>Aquamarine - Dark</t>
  </si>
  <si>
    <t>Teal Green - Dark</t>
  </si>
  <si>
    <t>Fern Green - Dark</t>
  </si>
  <si>
    <t>Rose - Dark</t>
  </si>
  <si>
    <t>Electric Blue - Dark</t>
  </si>
  <si>
    <t>Bright Green - Dark</t>
  </si>
  <si>
    <t>Khaki Green - Dark</t>
  </si>
  <si>
    <t>Burnt Orange - Dark</t>
  </si>
  <si>
    <t>Gray Green - Dark</t>
  </si>
  <si>
    <t>Autumn Gold - Dark</t>
  </si>
  <si>
    <t>Peach - Dark</t>
  </si>
  <si>
    <t>Parrot Green - Dark</t>
  </si>
  <si>
    <t>Rosewood - Dark</t>
  </si>
  <si>
    <t>Emerald Green - Dark</t>
  </si>
  <si>
    <t>Moss Green - Dark</t>
  </si>
  <si>
    <t>Mocha Beige - Dark</t>
  </si>
  <si>
    <t>Mocha Brown - Dark</t>
  </si>
  <si>
    <t>Plum - Dark</t>
  </si>
  <si>
    <t>Yellow Beige - Dark</t>
  </si>
  <si>
    <t>Brown Gray - Dark</t>
  </si>
  <si>
    <t>Red Copper - Dark</t>
  </si>
  <si>
    <t>Cranberry - Dark</t>
  </si>
  <si>
    <t>Topaz - Dark</t>
  </si>
  <si>
    <t>Green Gray - Dark</t>
  </si>
  <si>
    <t>Beige Brown - Dark</t>
  </si>
  <si>
    <t>Coral - Dark</t>
  </si>
  <si>
    <t>Cornflower Blue - Dark</t>
  </si>
  <si>
    <t>Mauve - Dark</t>
  </si>
  <si>
    <t>Cyclamen Pink - Dark</t>
  </si>
  <si>
    <t>Étoile - Lemon - Dark</t>
  </si>
  <si>
    <t>Royal Blue - Dark</t>
  </si>
  <si>
    <t>Drab Brown - Dark</t>
  </si>
  <si>
    <t>Terra Cotta - Dark</t>
  </si>
  <si>
    <t>Delft Blue - Dark</t>
  </si>
  <si>
    <t>Antique Blue - Dark</t>
  </si>
  <si>
    <t>Salmon - Dark</t>
  </si>
  <si>
    <t>Antique Violet - Dark</t>
  </si>
  <si>
    <t>Pistachio Green - Dark</t>
  </si>
  <si>
    <t>Turquoise - Dark</t>
  </si>
  <si>
    <t>Coffee Brown - Dark</t>
  </si>
  <si>
    <t>Hunter Green - Dark</t>
  </si>
  <si>
    <t>Avocado Green - Dark</t>
  </si>
  <si>
    <t>Beige Gray - Dark</t>
  </si>
  <si>
    <t>Peacock Blue - Dark</t>
  </si>
  <si>
    <t>Celadon Green - Dark</t>
  </si>
  <si>
    <t>Beaver Gray - Dark</t>
  </si>
  <si>
    <t>Mahogany - Dark</t>
  </si>
  <si>
    <t>Étoile - Delft Blue - Dark</t>
  </si>
  <si>
    <t>Garnet - Dark</t>
  </si>
  <si>
    <t>Pine Green - Dark</t>
  </si>
  <si>
    <t>Étoile - Garnet - Dark</t>
  </si>
  <si>
    <t>Desert Sand - Dark</t>
  </si>
  <si>
    <t>Tawny - Dark</t>
  </si>
  <si>
    <t>Pewter Gray - Dark</t>
  </si>
  <si>
    <t>Steel Gray - Dark</t>
  </si>
  <si>
    <t>Straw - Dark</t>
  </si>
  <si>
    <t>Étoile - Blue - Dark</t>
  </si>
  <si>
    <t>Hazelnut Brown - Dark</t>
  </si>
  <si>
    <t>Old Gold - Dark</t>
  </si>
  <si>
    <t>Étoile - Burnt Orange - Dark</t>
  </si>
  <si>
    <t>Blue - Dark</t>
  </si>
  <si>
    <t>Étoile - Plum - Dark</t>
  </si>
  <si>
    <t>Petrol Blue - Dark</t>
  </si>
  <si>
    <t>Seagreen - Dark</t>
  </si>
  <si>
    <t>Melon - Dark</t>
  </si>
  <si>
    <t>Étoile - Electric Blue - Dark</t>
  </si>
  <si>
    <t>Lemon - Dark</t>
  </si>
  <si>
    <t>Dusty Rose - Dark</t>
  </si>
  <si>
    <t>Shell Gray - Dark</t>
  </si>
  <si>
    <t>Orange Spice - Dark</t>
  </si>
  <si>
    <t>Raspberry - Dark</t>
  </si>
  <si>
    <t>Golden Olive - Dark</t>
  </si>
  <si>
    <t>Shell Pink - Dark</t>
  </si>
  <si>
    <t>Grape - Dark</t>
  </si>
  <si>
    <t>Antique Mauve - Dark</t>
  </si>
  <si>
    <t>Lavender - Dark</t>
  </si>
  <si>
    <t>Red - Dark</t>
  </si>
  <si>
    <t>Lavender Blue - Dark</t>
  </si>
  <si>
    <t>Blue Green - Dark</t>
  </si>
  <si>
    <t>Olive Green - Dark</t>
  </si>
  <si>
    <t>Golden Brown - Dark</t>
  </si>
  <si>
    <t>Blue Violet - Dark</t>
  </si>
  <si>
    <t>Grass Green - Dark</t>
  </si>
  <si>
    <t>Forest Green - Dark</t>
  </si>
  <si>
    <t>Bright Turquoise - Dark</t>
  </si>
  <si>
    <t>Mahogany - Very Dark</t>
  </si>
  <si>
    <t>Hunter Green - Very Dark</t>
  </si>
  <si>
    <t>Coffee Brown - Very Dark</t>
  </si>
  <si>
    <t>Peacock Blue - Very Dark</t>
  </si>
  <si>
    <t>Baby Blue - Very Dark</t>
  </si>
  <si>
    <t>Straw - Very Dark</t>
  </si>
  <si>
    <t>Violet - Very Dark</t>
  </si>
  <si>
    <t>Garnet - Very Dark</t>
  </si>
  <si>
    <t>Parrot Green - Very Dark</t>
  </si>
  <si>
    <t>Brown Gray - Very Dark</t>
  </si>
  <si>
    <t>Desert Sand - Very Dark</t>
  </si>
  <si>
    <t>Pistachio Green - Very Dark</t>
  </si>
  <si>
    <t>Jade - Very Dark</t>
  </si>
  <si>
    <t>Emerald Green - Very Dark</t>
  </si>
  <si>
    <t>Mocha Brown - Very Dark</t>
  </si>
  <si>
    <t>Terra Cotta - Very Dark</t>
  </si>
  <si>
    <t>Rose - Very Dark</t>
  </si>
  <si>
    <t>Blue Violet - Very Dark</t>
  </si>
  <si>
    <t>Cranberry - Very Dark</t>
  </si>
  <si>
    <t>Topaz - Very Dark</t>
  </si>
  <si>
    <t>Pewter Gray - Very Dark</t>
  </si>
  <si>
    <t>Melon - Very Dark</t>
  </si>
  <si>
    <t>Salmon - Very Dark</t>
  </si>
  <si>
    <t>Cornflower Blue - Very Dark</t>
  </si>
  <si>
    <t>Antique Mauve - Very Dark</t>
  </si>
  <si>
    <t>Gray Green - Very Dark</t>
  </si>
  <si>
    <t>Mauve - Very Dark</t>
  </si>
  <si>
    <t>Lavender - Very Dark</t>
  </si>
  <si>
    <t>Étoile - Violet - Very Dark</t>
  </si>
  <si>
    <t>Turquoise - Very Dark</t>
  </si>
  <si>
    <t>Étoile - Cranberry - Very Dark</t>
  </si>
  <si>
    <t>Beige Gray - Very Dark</t>
  </si>
  <si>
    <t>Seagreen - Very Dark</t>
  </si>
  <si>
    <t>Avocado Green - Very Dark</t>
  </si>
  <si>
    <t>Beaver Gray - Very Dark</t>
  </si>
  <si>
    <t>Blue - Very Dark</t>
  </si>
  <si>
    <t>Étoile - Royal Blue - Very Dark</t>
  </si>
  <si>
    <t>Coral Red - Very Dark</t>
  </si>
  <si>
    <t>Red - Very Dark</t>
  </si>
  <si>
    <t>Royal Blue - Very Dark</t>
  </si>
  <si>
    <t>Old Gold - Very Dark</t>
  </si>
  <si>
    <t>Étoile - Pewter Gray - Very Dark</t>
  </si>
  <si>
    <t>Golden Olive - Very Dark</t>
  </si>
  <si>
    <t>Beige Brown - Very Dark</t>
  </si>
  <si>
    <t>Dusty Rose - Very Dark</t>
  </si>
  <si>
    <t>Blue Green - Very Dark</t>
  </si>
  <si>
    <t>Olive Green - Very Dark</t>
  </si>
  <si>
    <t>Shell Pink - Very Dark</t>
  </si>
  <si>
    <t>Forest Green - Very Dark</t>
  </si>
  <si>
    <t>Hazelnut Brown - Very Dark</t>
  </si>
  <si>
    <t>Antique Blue - Very Dark</t>
  </si>
  <si>
    <t>Orange-red - Bright</t>
  </si>
  <si>
    <t>Orange - Bright</t>
  </si>
  <si>
    <t>Étoile - Red - Bright</t>
  </si>
  <si>
    <t>Red - Bright</t>
  </si>
  <si>
    <t>Green - Bright</t>
  </si>
  <si>
    <t>Chartreuse - Bright</t>
  </si>
  <si>
    <t>Canary - Bright</t>
  </si>
  <si>
    <t>Forest Green - Medium</t>
  </si>
  <si>
    <t>Bright Turquoise - Medium</t>
  </si>
  <si>
    <t>Mahogany - Medium</t>
  </si>
  <si>
    <t>Red - Medium</t>
  </si>
  <si>
    <t>Tangerine - Medium</t>
  </si>
  <si>
    <t>Carnation - Medium</t>
  </si>
  <si>
    <t>Teal Green - Medium</t>
  </si>
  <si>
    <t>Yellow - Medium</t>
  </si>
  <si>
    <t>Wedgewood - Medium</t>
  </si>
  <si>
    <t>Blue - Medium</t>
  </si>
  <si>
    <t>Electric Blue - Medium</t>
  </si>
  <si>
    <t>Rose - Medium</t>
  </si>
  <si>
    <t>Antique Mauve - Medium Dark</t>
  </si>
  <si>
    <t>Khaki Green - Medium</t>
  </si>
  <si>
    <t>Antique Mauve - Medium</t>
  </si>
  <si>
    <t>Autumn Gold - Medium</t>
  </si>
  <si>
    <t>Violet - Medium</t>
  </si>
  <si>
    <t>Brown Gray - Medium</t>
  </si>
  <si>
    <t>Parrot Green - Medium</t>
  </si>
  <si>
    <t>Desert Sand - Medium</t>
  </si>
  <si>
    <t>Pistachio Green - Medium</t>
  </si>
  <si>
    <t>Rosewood - Medium</t>
  </si>
  <si>
    <t>Jade - Medium</t>
  </si>
  <si>
    <t>Mocha Brown - Medium</t>
  </si>
  <si>
    <t>Pink - Medium</t>
  </si>
  <si>
    <t>Emerald Green - Medium</t>
  </si>
  <si>
    <t>Antique Violet - Medium</t>
  </si>
  <si>
    <t>Nile Green - Medium</t>
  </si>
  <si>
    <t>Mocha Beige - Medium</t>
  </si>
  <si>
    <t>Baby Blue - Medium</t>
  </si>
  <si>
    <t>Plum - Medium</t>
  </si>
  <si>
    <t>Yellow Beige - Medium</t>
  </si>
  <si>
    <t>Blue Violet - Medium</t>
  </si>
  <si>
    <t>Cranberry - Medium</t>
  </si>
  <si>
    <t>Topaz - Medium</t>
  </si>
  <si>
    <t>Copper - Medium</t>
  </si>
  <si>
    <t>Green Gray - Medium</t>
  </si>
  <si>
    <t>Étoile - Brown - Medium</t>
  </si>
  <si>
    <t>Coral - Medium</t>
  </si>
  <si>
    <t>Cornflower Blue - Medium</t>
  </si>
  <si>
    <t>Gray Green - Medium</t>
  </si>
  <si>
    <t>Terra Cotta - Medium</t>
  </si>
  <si>
    <t>Delft Blue - Medium</t>
  </si>
  <si>
    <t>Antique Blue - Medium</t>
  </si>
  <si>
    <t>Apricot - Medium</t>
  </si>
  <si>
    <t>Mustard - Medium</t>
  </si>
  <si>
    <t>Yellow Green - Medium</t>
  </si>
  <si>
    <t>Beige Gray - Medium</t>
  </si>
  <si>
    <t>Avocado Green - Medium</t>
  </si>
  <si>
    <t>Beaver Gray - Medium</t>
  </si>
  <si>
    <t>Aquamarine - Medium</t>
  </si>
  <si>
    <t>Garnet - Medium</t>
  </si>
  <si>
    <t>Pine Green - Medium</t>
  </si>
  <si>
    <t>Burnt Orange - Medium</t>
  </si>
  <si>
    <t>Étoile - Beige Brown - Medium</t>
  </si>
  <si>
    <t>Brown - Medium</t>
  </si>
  <si>
    <t>Mauve - Medium</t>
  </si>
  <si>
    <t>Petrol Blue - Medium</t>
  </si>
  <si>
    <t>Seagreen - Medium</t>
  </si>
  <si>
    <t>Melon - Medium</t>
  </si>
  <si>
    <t>Dusty Rose - Medium</t>
  </si>
  <si>
    <t>Salmon - Medium</t>
  </si>
  <si>
    <t>Shell Gray - Medium</t>
  </si>
  <si>
    <t>Orange Spice - Medium</t>
  </si>
  <si>
    <t>Raspberry - Medium</t>
  </si>
  <si>
    <t>Golden Olive - Medium</t>
  </si>
  <si>
    <t>Baby Green - Medium</t>
  </si>
  <si>
    <t>Shell Pink - Medium</t>
  </si>
  <si>
    <t>Grape - Medium</t>
  </si>
  <si>
    <t>Old Gold - Medium</t>
  </si>
  <si>
    <t>Lavender - Medium</t>
  </si>
  <si>
    <t>Beige Brown - Medium</t>
  </si>
  <si>
    <t>Lavender Blue - Medium</t>
  </si>
  <si>
    <t>Golden Brown - Medium</t>
  </si>
  <si>
    <t>Blue Green - Medium</t>
  </si>
  <si>
    <t>Olive Green - Medium</t>
  </si>
  <si>
    <t>Antique Blue - Very Light</t>
  </si>
  <si>
    <t>Wedgewood - Light</t>
  </si>
  <si>
    <t>Bright Turquoise - Light</t>
  </si>
  <si>
    <t>Tangerine - Light</t>
  </si>
  <si>
    <t>Carnation - Light</t>
  </si>
  <si>
    <t>Aquamarine - Light</t>
  </si>
  <si>
    <t>Carnation - Very Light</t>
  </si>
  <si>
    <t>Aquamarine - Very Light</t>
  </si>
  <si>
    <t>Teal Green - Light</t>
  </si>
  <si>
    <t>Fern Green - Light</t>
  </si>
  <si>
    <t>Sky Blue - Light</t>
  </si>
  <si>
    <t>Fern Green - Very Light</t>
  </si>
  <si>
    <t>Bright Green - Light</t>
  </si>
  <si>
    <t>Ash Gray - Very Light</t>
  </si>
  <si>
    <t>Peacock Blue - Light</t>
  </si>
  <si>
    <t>Sky Blue - Very Light</t>
  </si>
  <si>
    <t>Peach - Light</t>
  </si>
  <si>
    <t>Khaki Green - Light</t>
  </si>
  <si>
    <t>Tawny - Very Light</t>
  </si>
  <si>
    <t>Terra Cotta - Very Light</t>
  </si>
  <si>
    <t>Autumn Gold - Light</t>
  </si>
  <si>
    <t>Steel Gray - Light</t>
  </si>
  <si>
    <t>Violet - Light</t>
  </si>
  <si>
    <t>Salmon - Light</t>
  </si>
  <si>
    <t>Brown Gray - Light</t>
  </si>
  <si>
    <t>Pearl Gray - Very Light</t>
  </si>
  <si>
    <t>Parrot Green - Light</t>
  </si>
  <si>
    <t>Brown Gray - Very Light</t>
  </si>
  <si>
    <t>Desert Sand - Very Light</t>
  </si>
  <si>
    <t>Yellow Green - Very Light</t>
  </si>
  <si>
    <t>Mahogany - Light</t>
  </si>
  <si>
    <t>Rosewood - Light</t>
  </si>
  <si>
    <t>Jade - Light</t>
  </si>
  <si>
    <t>Baby Blue - Very Light</t>
  </si>
  <si>
    <t>Jade - Very Light</t>
  </si>
  <si>
    <t>Mocha Brown - Very Light</t>
  </si>
  <si>
    <t>Terra Cotta - Light</t>
  </si>
  <si>
    <t>Cocoa - Light</t>
  </si>
  <si>
    <t>Emerald Green - Light</t>
  </si>
  <si>
    <t>Antique Mauve - Very Light</t>
  </si>
  <si>
    <t>Antique Violet - Light</t>
  </si>
  <si>
    <t>Mocha Brown - Light</t>
  </si>
  <si>
    <t>Mocha Beige - Light</t>
  </si>
  <si>
    <t>Turquoise - Light</t>
  </si>
  <si>
    <t>Yellow Beige - Light</t>
  </si>
  <si>
    <t>Shell Pink - Light</t>
  </si>
  <si>
    <t>Étoile - Steel Gray - Light</t>
  </si>
  <si>
    <t>Blue Violet - Light</t>
  </si>
  <si>
    <t>Green - Light</t>
  </si>
  <si>
    <t>Cranberry - Light Medium</t>
  </si>
  <si>
    <t>Cranberry - Light</t>
  </si>
  <si>
    <t>Copper - Light</t>
  </si>
  <si>
    <t>Orange Spice - Light</t>
  </si>
  <si>
    <t>Cranberry - Very Light</t>
  </si>
  <si>
    <t>Beaver Gray - Very Light</t>
  </si>
  <si>
    <t>Cornflower Blue - Light</t>
  </si>
  <si>
    <t>Golden Yellow - Very Light</t>
  </si>
  <si>
    <t>Coral - Light</t>
  </si>
  <si>
    <t>Gray Green - Light</t>
  </si>
  <si>
    <t>Baby Blue - Light</t>
  </si>
  <si>
    <t>Cyclamen Pink - Light</t>
  </si>
  <si>
    <t>Étoile - Avocado Green - Very Light</t>
  </si>
  <si>
    <t>Gray Green - Very Light</t>
  </si>
  <si>
    <t>Rose - Light</t>
  </si>
  <si>
    <t>Drab Brown - Light</t>
  </si>
  <si>
    <t>Lemon - Light</t>
  </si>
  <si>
    <t>Étoile - Violet - Light</t>
  </si>
  <si>
    <t>Drab Brown - Very Light</t>
  </si>
  <si>
    <t>Antique Blue - Light</t>
  </si>
  <si>
    <t>Pistachio Green - Light</t>
  </si>
  <si>
    <t>Turquoise - Very Light</t>
  </si>
  <si>
    <t>Pistachio Green - Very Light</t>
  </si>
  <si>
    <t>Blue Green - Light</t>
  </si>
  <si>
    <t>Yellow Green - Light</t>
  </si>
  <si>
    <t>Étoile - Tan - Very Light</t>
  </si>
  <si>
    <t>Mustard - Light</t>
  </si>
  <si>
    <t>Blue - Light</t>
  </si>
  <si>
    <t>Dusty Rose - Light</t>
  </si>
  <si>
    <t>Mahogany - Very Light</t>
  </si>
  <si>
    <t>Celadon Green - Light</t>
  </si>
  <si>
    <t>Beaver Gray - Light</t>
  </si>
  <si>
    <t>Moss Green - Light</t>
  </si>
  <si>
    <t>Old Gold - Light</t>
  </si>
  <si>
    <t>Old Gold - Very Light</t>
  </si>
  <si>
    <t>Peach - Very Light</t>
  </si>
  <si>
    <t>Plum - Light</t>
  </si>
  <si>
    <t>Baby Pink - Light</t>
  </si>
  <si>
    <t>Desert Sand - Light</t>
  </si>
  <si>
    <t>Plum - Very Light</t>
  </si>
  <si>
    <t>Straw - Light</t>
  </si>
  <si>
    <t>Hazelnut Brown - Light</t>
  </si>
  <si>
    <t>Tawny - Light</t>
  </si>
  <si>
    <t>Beige Gray - Light</t>
  </si>
  <si>
    <t>Apricot - Light</t>
  </si>
  <si>
    <t>Étoile - Parrot Green - Light</t>
  </si>
  <si>
    <t>Brown - Light</t>
  </si>
  <si>
    <t>Nile Green - Light</t>
  </si>
  <si>
    <t>Petrol Blue - Light</t>
  </si>
  <si>
    <t>Brown - Very Light</t>
  </si>
  <si>
    <t>Mauve - Light</t>
  </si>
  <si>
    <t>Tan - Light</t>
  </si>
  <si>
    <t>Blue - Very Light</t>
  </si>
  <si>
    <t>Melon - Light</t>
  </si>
  <si>
    <t>Salmon - Very Light</t>
  </si>
  <si>
    <t>Shell Gray - Light</t>
  </si>
  <si>
    <t>Seagreen - Light</t>
  </si>
  <si>
    <t>Dusty Rose - Very Light</t>
  </si>
  <si>
    <t>Raspberry - Light</t>
  </si>
  <si>
    <t>Avocado Green - Light</t>
  </si>
  <si>
    <t>Topaz - Light</t>
  </si>
  <si>
    <t>Golden Olive - Light</t>
  </si>
  <si>
    <t>Avocado Green - Very Light</t>
  </si>
  <si>
    <t>Topaz - Very Light</t>
  </si>
  <si>
    <t>Golden Olive - Very Light</t>
  </si>
  <si>
    <t>Pumpkin - Light</t>
  </si>
  <si>
    <t>Grape - Light</t>
  </si>
  <si>
    <t>Antique Mauve - Light</t>
  </si>
  <si>
    <t>Lavender - Light</t>
  </si>
  <si>
    <t>Beige Brown - Light</t>
  </si>
  <si>
    <t>Lavender Blue - Light</t>
  </si>
  <si>
    <t>Beige Brown - Very Light</t>
  </si>
  <si>
    <t>Antique Violet - Very Light</t>
  </si>
  <si>
    <t>Golden Brown - Light</t>
  </si>
  <si>
    <t>Shell Pink - Very Light</t>
  </si>
  <si>
    <t>Blue Green - Very Light</t>
  </si>
  <si>
    <t>Olive Green - Light</t>
  </si>
  <si>
    <t>Blue Violet - Very Light</t>
  </si>
  <si>
    <t>Tan - Very Light</t>
  </si>
  <si>
    <t>Tan - Ultra Very Light</t>
  </si>
  <si>
    <t>Pistachio Green - Ultra Dark</t>
  </si>
  <si>
    <t>Antique Blue - Ultra Very Light</t>
  </si>
  <si>
    <t>Beige Brown - Ultra Very Light</t>
  </si>
  <si>
    <t>Mahogany - Ultra Very Light</t>
  </si>
  <si>
    <t>Terra Cotta - Ultra Very Light</t>
  </si>
  <si>
    <t>Topaz - Ultra Very Dark</t>
  </si>
  <si>
    <t>Beige Gray - Ultra Dark</t>
  </si>
  <si>
    <t>Mocha Brown - Ultra Very Light</t>
  </si>
  <si>
    <t>Turquoise - Ultra Very Dark</t>
  </si>
  <si>
    <t>Desert Sand - Ultra Very Dark</t>
  </si>
  <si>
    <t>Coffee Brown - Ultra Dark</t>
  </si>
  <si>
    <t>Dusty Rose - Ultra Dark</t>
  </si>
  <si>
    <t>Emerald Green - Ultra Very Dark</t>
  </si>
  <si>
    <t>Étoile - Pistachio Green - Ultra Dark</t>
  </si>
  <si>
    <t>Plum - Ultra Light</t>
  </si>
  <si>
    <t>Étoile - Coffee Brown - Ultra Dark</t>
  </si>
  <si>
    <t>Blue - Ultra Very Light</t>
  </si>
  <si>
    <t>Dusty Rose - Ultra Very Light</t>
  </si>
  <si>
    <t>Avocado Green - Ultra Light</t>
  </si>
  <si>
    <t>Lavender - Ultra Dark</t>
  </si>
  <si>
    <t>Beaver Gray - Ultra Dark</t>
  </si>
  <si>
    <t>Shell Pink - Ultra Very Light</t>
  </si>
  <si>
    <t>Red - Deep</t>
  </si>
  <si>
    <t>Blue - Deep</t>
  </si>
  <si>
    <t>Étoile - Canary - Deep</t>
  </si>
  <si>
    <t>Canary - Deep</t>
  </si>
  <si>
    <t>Driftwood</t>
  </si>
  <si>
    <t>Yellow Plum - Light</t>
  </si>
  <si>
    <t>Chartreuse - Light</t>
  </si>
  <si>
    <t>Nile Green - Medium Light</t>
  </si>
  <si>
    <t>Tender Green - Light</t>
  </si>
  <si>
    <t>Apple Green - Pale</t>
  </si>
  <si>
    <t>Yellow - Pale</t>
  </si>
  <si>
    <t>Yellow - Light Pale</t>
  </si>
  <si>
    <t>Delft Blue - Pale</t>
  </si>
  <si>
    <t>Yellow - Ultra Pale</t>
  </si>
  <si>
    <t>Pumpkin - Pale</t>
  </si>
  <si>
    <t>Geranium - Pale</t>
  </si>
  <si>
    <t>Golden Brown - Pale</t>
  </si>
  <si>
    <t>Baby Blue - Pale</t>
  </si>
  <si>
    <t>Fuchsia - Very Dark</t>
  </si>
  <si>
    <t>Fuchsia - Dark</t>
  </si>
  <si>
    <t>Blueberry - Dark</t>
  </si>
  <si>
    <t>Blueberry - Medium Light</t>
  </si>
  <si>
    <t>Eggplant - Medium Light</t>
  </si>
  <si>
    <t>Lavender - Pale</t>
  </si>
  <si>
    <t>Lavender - Ultra Light</t>
  </si>
  <si>
    <t>Alizarian - Light</t>
  </si>
  <si>
    <t>Autumn Gold - Medium Light</t>
  </si>
  <si>
    <t>Tender Green - Very Light</t>
  </si>
  <si>
    <t>Cocoa - Very Dark</t>
  </si>
  <si>
    <t>Driftwood - Dark</t>
  </si>
  <si>
    <t>Driftwood - Medium Light</t>
  </si>
  <si>
    <t>Driftwood - Light</t>
  </si>
  <si>
    <t>Tin - Dark</t>
  </si>
  <si>
    <t>Tin - Medium</t>
  </si>
  <si>
    <t>Discontinued Metallic - Green Emerald</t>
  </si>
  <si>
    <t>Discontinued Metallic - Dark Red Ruby</t>
  </si>
  <si>
    <t>Discontinued Metallic - White</t>
  </si>
  <si>
    <t>Discontinued Metallic - Copper</t>
  </si>
  <si>
    <t>Discontinued Metallic - Light Gold</t>
  </si>
  <si>
    <t>Discontinued Metallic - Silver</t>
  </si>
  <si>
    <t>Discontinued Metallic - Dark Gold</t>
  </si>
  <si>
    <t>Discontinued Metallic - Titanium</t>
  </si>
  <si>
    <t>Discontinued Metallic - Pink Amethyst</t>
  </si>
  <si>
    <t>Discontinued Metallic - Purple Ruby</t>
  </si>
  <si>
    <t>Discontinued Metallic - Light Blue Sapphire</t>
  </si>
  <si>
    <t>Discontinued Variegated - Burnt Orange</t>
  </si>
  <si>
    <t>Discontinued Variegated - Violet</t>
  </si>
  <si>
    <t>Discontinued Variegated - Steel Gray</t>
  </si>
  <si>
    <t>Discontinued Variegated - Red</t>
  </si>
  <si>
    <t>Discontinued Variegated - Baby Pink</t>
  </si>
  <si>
    <t>Discontinued Variegated - Terra Cotta</t>
  </si>
  <si>
    <t>Discontinued Variegated - Yellow</t>
  </si>
  <si>
    <t>Discontinued Variegated - Avocado</t>
  </si>
  <si>
    <t>Discontinued Variegated - Khaki Green</t>
  </si>
  <si>
    <t>Discontinued Variegated - Mauve</t>
  </si>
  <si>
    <t>Discontinued Variegated - Royal Blue</t>
  </si>
  <si>
    <t>Discontinued Variegated - Tan Brown</t>
  </si>
  <si>
    <t>Discontinued Variegated - Coral</t>
  </si>
  <si>
    <t>Discontinued Variegated - Carnation</t>
  </si>
  <si>
    <t>Discontinued Variegated - Mustard</t>
  </si>
  <si>
    <t>Discontinued Variegated - Garnet</t>
  </si>
  <si>
    <t>Discontinued Variegated - Delft Blue</t>
  </si>
  <si>
    <t>Discontinued Variegated - Seafoam Green</t>
  </si>
  <si>
    <t>Discontinued Variegated - Topaz</t>
  </si>
  <si>
    <t>Discontinued Variegated - Baby Blue</t>
  </si>
  <si>
    <t>Discontinued Variegated - Cranberry</t>
  </si>
  <si>
    <t>Discontinued Variegated - Turquoise</t>
  </si>
  <si>
    <t>Discontinued Variegated - Cornflower Blue</t>
  </si>
  <si>
    <t>Discontinued Variegated - Purple</t>
  </si>
  <si>
    <t>Discontinued Variegated - Spring Green</t>
  </si>
  <si>
    <t>Discontinued Variegated - Dark Violet</t>
  </si>
  <si>
    <t>Discontinued Variegated - Lemon</t>
  </si>
  <si>
    <t>Discontinued Variegated - Yellow Orange</t>
  </si>
  <si>
    <t>Discontinued Variegated - Salmon</t>
  </si>
  <si>
    <t>Discontinued Variegated - Wedgewood Blue</t>
  </si>
  <si>
    <t>Discontinued Variegated - Lime Green</t>
  </si>
  <si>
    <t>Discontinued Variegated - Cyclamen Pink</t>
  </si>
  <si>
    <t>Discontinued Variegated - Olive Green</t>
  </si>
  <si>
    <t>Discontinued Variegated - Teal</t>
  </si>
  <si>
    <t>Discontinued Variegated - Periwinkle</t>
  </si>
  <si>
    <t>Discontinued Variegated - Lavender</t>
  </si>
  <si>
    <t>Discontinued Variegated - Espresso</t>
  </si>
  <si>
    <t>Discontinued Variegated - Polar Ice</t>
  </si>
  <si>
    <t>Discontinued Variegated - Mediterranean Sea</t>
  </si>
  <si>
    <t>Discontinued Variegated - Very Merry</t>
  </si>
  <si>
    <t>Discontinued Variegated - Emerald Isle</t>
  </si>
  <si>
    <t>Discontinued Variegated - Amazon Moss</t>
  </si>
  <si>
    <t>Discontinued Variegated - Camouflage</t>
  </si>
  <si>
    <t>Discontinued Variegated - Margarita</t>
  </si>
  <si>
    <t>Discontinued Variegated - Toasted Almond</t>
  </si>
  <si>
    <t>Discontinued Variegated - Buttercup</t>
  </si>
  <si>
    <t>Discontinued Variegated - Cupcake</t>
  </si>
  <si>
    <t>Discontinued Variegated - Fall Harvest</t>
  </si>
  <si>
    <t>Discontinued Variegated - Peanut Brittle</t>
  </si>
  <si>
    <t>Discontinued Variegated - Caliente</t>
  </si>
  <si>
    <t>Discontinued Variegated - Azalea</t>
  </si>
  <si>
    <t>Discontinued Variegated - Mixed Berries</t>
  </si>
  <si>
    <t>Discontinued Variegated - Cotton Candy</t>
  </si>
  <si>
    <t>Discontinued Variegated - Laguna Blue</t>
  </si>
  <si>
    <t>Discontinued Variegated - Mystical Midnight</t>
  </si>
  <si>
    <t>Discontinued Variegated - Berry Parfait</t>
  </si>
  <si>
    <t>Discontinued Variegated - Orchid</t>
  </si>
  <si>
    <t>Discontinued Variegated - Enchanted</t>
  </si>
  <si>
    <t>Discontinued Variegated - Purple Pansy</t>
  </si>
  <si>
    <t>Discontinued Variegated - Winter Sky</t>
  </si>
  <si>
    <t>C603</t>
  </si>
  <si>
    <t>Étoile - Cranberry</t>
  </si>
  <si>
    <t>* Hard to find threads</t>
  </si>
  <si>
    <t>S211</t>
  </si>
  <si>
    <t>S307</t>
  </si>
  <si>
    <t>S310</t>
  </si>
  <si>
    <t>Satin - Lavender</t>
  </si>
  <si>
    <t>Satin - Lemon</t>
  </si>
  <si>
    <t>Satin - Black</t>
  </si>
  <si>
    <t>S321</t>
  </si>
  <si>
    <t>Satin - Red</t>
  </si>
  <si>
    <t>S326</t>
  </si>
  <si>
    <t>S351</t>
  </si>
  <si>
    <t>S352</t>
  </si>
  <si>
    <t>S3685</t>
  </si>
  <si>
    <t>S3820</t>
  </si>
  <si>
    <t>S415</t>
  </si>
  <si>
    <t>S471</t>
  </si>
  <si>
    <t>S472</t>
  </si>
  <si>
    <t>S504</t>
  </si>
  <si>
    <t>S5200</t>
  </si>
  <si>
    <t>Satin - Snow White</t>
  </si>
  <si>
    <t>S550</t>
  </si>
  <si>
    <t>S552</t>
  </si>
  <si>
    <t>S601</t>
  </si>
  <si>
    <t>S602</t>
  </si>
  <si>
    <t>S606</t>
  </si>
  <si>
    <t>S700</t>
  </si>
  <si>
    <t>S741</t>
  </si>
  <si>
    <t>S798</t>
  </si>
  <si>
    <t>S799</t>
  </si>
  <si>
    <t>S800</t>
  </si>
  <si>
    <t>S818</t>
  </si>
  <si>
    <t>S820</t>
  </si>
  <si>
    <t>S841</t>
  </si>
  <si>
    <t>S898</t>
  </si>
  <si>
    <t>S899</t>
  </si>
  <si>
    <t>S931</t>
  </si>
  <si>
    <t>S943</t>
  </si>
  <si>
    <t>S959</t>
  </si>
  <si>
    <t>S976</t>
  </si>
  <si>
    <t>S991</t>
  </si>
  <si>
    <t>S995</t>
  </si>
  <si>
    <t>Satin - Rose</t>
  </si>
  <si>
    <t>Satin - Coral</t>
  </si>
  <si>
    <t>Satin - Coral Light</t>
  </si>
  <si>
    <t>S367</t>
  </si>
  <si>
    <t>Satin - Pistachio Green</t>
  </si>
  <si>
    <t>Satin - Pearl Grey</t>
  </si>
  <si>
    <t>Satin - Blue Green</t>
  </si>
  <si>
    <t>Satin - Violet</t>
  </si>
  <si>
    <t>Satin - Violet Dark</t>
  </si>
  <si>
    <t>Satin - Cranberry Dark</t>
  </si>
  <si>
    <t>Satin - Cranberry</t>
  </si>
  <si>
    <t>Satin - Orange Red</t>
  </si>
  <si>
    <t>Satin - Green</t>
  </si>
  <si>
    <t>Satin - Tangerine</t>
  </si>
  <si>
    <t>Satin - Delft Blue</t>
  </si>
  <si>
    <t>Satin - Delft Blue Dark</t>
  </si>
  <si>
    <t>Satin - Delft Blue Pale</t>
  </si>
  <si>
    <t>Satin - Baby Pink</t>
  </si>
  <si>
    <t>Satin - Royal Blue</t>
  </si>
  <si>
    <t>Satin - Beige Brown</t>
  </si>
  <si>
    <t>Satin - Coffee Brown</t>
  </si>
  <si>
    <t>Satin - Antique Blue</t>
  </si>
  <si>
    <t>Satin - Aquamarine</t>
  </si>
  <si>
    <t>Satin - Seagreen</t>
  </si>
  <si>
    <t>Satin - Golden Brown</t>
  </si>
  <si>
    <t>Satin - Aquamarine Dark</t>
  </si>
  <si>
    <t>Satin - Electric Blue</t>
  </si>
  <si>
    <t>Satin - Mauve</t>
  </si>
  <si>
    <t>Satin - Straw</t>
  </si>
  <si>
    <t>Satin - Steel Grey</t>
  </si>
  <si>
    <t>S414*</t>
  </si>
  <si>
    <t>S762*</t>
  </si>
  <si>
    <t>S3371*</t>
  </si>
  <si>
    <t>Satin - Black Brown</t>
  </si>
  <si>
    <t>Variations - Winter Sky</t>
  </si>
  <si>
    <t>Satin - Emerald Green</t>
  </si>
  <si>
    <t>S336*</t>
  </si>
  <si>
    <t>S909*</t>
  </si>
  <si>
    <t>S434*</t>
  </si>
  <si>
    <t>S469*</t>
  </si>
  <si>
    <t>S501*</t>
  </si>
  <si>
    <t>S553*</t>
  </si>
  <si>
    <t>S666*</t>
  </si>
  <si>
    <t>S676*</t>
  </si>
  <si>
    <t>S702*</t>
  </si>
  <si>
    <t>S712*</t>
  </si>
  <si>
    <t>S726*</t>
  </si>
  <si>
    <t>S738*</t>
  </si>
  <si>
    <t>S739*</t>
  </si>
  <si>
    <t>S744*</t>
  </si>
  <si>
    <t>S745*</t>
  </si>
  <si>
    <t>S776*</t>
  </si>
  <si>
    <t>S797*</t>
  </si>
  <si>
    <t>S915*</t>
  </si>
  <si>
    <t>S932*</t>
  </si>
  <si>
    <t>S964*</t>
  </si>
  <si>
    <t>S3607*</t>
  </si>
  <si>
    <t>Satin - Blue</t>
  </si>
  <si>
    <t>Satin - Brown</t>
  </si>
  <si>
    <t>Satin - Avacado Green</t>
  </si>
  <si>
    <t>Satin - Avocado Green Very Light</t>
  </si>
  <si>
    <t>Satin - Avocado Green Ultra Light</t>
  </si>
  <si>
    <t>Satin - Blue Green Dark</t>
  </si>
  <si>
    <t>Satin - Violet Medium</t>
  </si>
  <si>
    <t>Satin - Red Bright</t>
  </si>
  <si>
    <t>Satin - Old Gold</t>
  </si>
  <si>
    <t>Satin - Plum</t>
  </si>
  <si>
    <t>Satin - Seagren Light</t>
  </si>
  <si>
    <t>Satin - Antique Blue Light</t>
  </si>
  <si>
    <t>Satin - Plum Dark</t>
  </si>
  <si>
    <t>Satin - Royal Blue Very Dark</t>
  </si>
  <si>
    <t>Satin - Pink</t>
  </si>
  <si>
    <t>Satin - Yellow</t>
  </si>
  <si>
    <t>Satin - Yellow Pale</t>
  </si>
  <si>
    <t>Satin - Tan</t>
  </si>
  <si>
    <t>Satin - Tan Dark</t>
  </si>
  <si>
    <t>Satin - Topaz</t>
  </si>
  <si>
    <t>Satin - Kelly Green</t>
  </si>
  <si>
    <t>Satin - Cream</t>
  </si>
  <si>
    <t>Discontinued Variegated - Dusty Rose</t>
  </si>
  <si>
    <t>E131*</t>
  </si>
  <si>
    <t>E133*</t>
  </si>
  <si>
    <t>Metallic - Holiday Sparkle</t>
  </si>
  <si>
    <t>Metallic - Midnight Madness</t>
  </si>
  <si>
    <t>E136*</t>
  </si>
  <si>
    <t>E138*</t>
  </si>
  <si>
    <t>E140*</t>
  </si>
  <si>
    <t>E141*</t>
  </si>
  <si>
    <t>E146*</t>
  </si>
  <si>
    <t>E144*</t>
  </si>
  <si>
    <t>E148*</t>
  </si>
  <si>
    <t>E150*</t>
  </si>
  <si>
    <t>E152*</t>
  </si>
  <si>
    <t>E154*</t>
  </si>
  <si>
    <t>Metallic - Emerald Isle</t>
  </si>
  <si>
    <t>Metallic - Caribbean Ripples</t>
  </si>
  <si>
    <t>Metallic - Carnival Fun</t>
  </si>
  <si>
    <t>Metallic - All that Jazz</t>
  </si>
  <si>
    <t>Metallic - Majestic Metals</t>
  </si>
  <si>
    <t>Metallic - Tropical Delight</t>
  </si>
  <si>
    <t>Metallic - Purple Essence</t>
  </si>
  <si>
    <t>Metallic - Deep Water Blue</t>
  </si>
  <si>
    <t>Metallic - Pink Shimmer</t>
  </si>
  <si>
    <t>Metallic - Opalescent Rays</t>
  </si>
  <si>
    <t>Neon - Neon Yellow</t>
  </si>
  <si>
    <t>Neon - Neon Green</t>
  </si>
  <si>
    <t>E1010*</t>
  </si>
  <si>
    <t>E1020*</t>
  </si>
  <si>
    <t>E1024*</t>
  </si>
  <si>
    <t>E1026*</t>
  </si>
  <si>
    <t>E1040*</t>
  </si>
  <si>
    <t>E1050*</t>
  </si>
  <si>
    <t>E1055*</t>
  </si>
  <si>
    <t>E985*</t>
  </si>
  <si>
    <t>E987*</t>
  </si>
  <si>
    <t>E995*</t>
  </si>
  <si>
    <t>Fluorescents - Lemon Zest</t>
  </si>
  <si>
    <t>Fluorescents - Key Lime Splash</t>
  </si>
  <si>
    <t>Fluorescents - Melon Blast</t>
  </si>
  <si>
    <t>Fluorescents - Tropical Pink</t>
  </si>
  <si>
    <t>Fluorescents - Bright Orange</t>
  </si>
  <si>
    <t>Fluorescents - Tangerine Zing</t>
  </si>
  <si>
    <t>Fluorescents - Blueberry Blast</t>
  </si>
  <si>
    <t>Fluorescents - Bright Blue</t>
  </si>
  <si>
    <t>Fluorescents - Luminous Lavender</t>
  </si>
  <si>
    <t>Fluorescents - Raspberry Rush</t>
  </si>
  <si>
    <t>White^</t>
  </si>
  <si>
    <t>Blanc^</t>
  </si>
  <si>
    <t>^ Depending on your country you may find either/both.</t>
  </si>
  <si>
    <t>Updated February 2021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</si>
  <si>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</si>
  <si>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</si>
  <si>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</si>
  <si>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</si>
  <si>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</si>
  <si>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</si>
  <si>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</si>
  <si>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</si>
  <si>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</si>
  <si>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</si>
  <si>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</si>
  <si>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</si>
  <si>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</si>
  <si>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</si>
  <si>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</si>
  <si>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</si>
  <si>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</si>
  <si>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</si>
  <si>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</si>
  <si>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</si>
  <si>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</si>
  <si>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</si>
  <si>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</si>
  <si>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</si>
  <si>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</si>
  <si>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</si>
  <si>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</t>
  </si>
  <si>
    <t>This list does not include:</t>
  </si>
  <si>
    <t>Discontinued Threads</t>
  </si>
  <si>
    <t>Threads Not On The International Color Card</t>
  </si>
  <si>
    <t>Coloris Threads</t>
  </si>
  <si>
    <t>Étoile Threads</t>
  </si>
  <si>
    <t>Satin Threads</t>
  </si>
  <si>
    <t>Fluorescent Threads</t>
  </si>
  <si>
    <t>Discontinued Metallic - Royal Blue</t>
  </si>
  <si>
    <t>SEARCH</t>
  </si>
  <si>
    <t>Blanc</t>
  </si>
  <si>
    <t>E1010</t>
  </si>
  <si>
    <t>E131</t>
  </si>
  <si>
    <t>E133</t>
  </si>
  <si>
    <t>E136</t>
  </si>
  <si>
    <t>E138</t>
  </si>
  <si>
    <t>E140</t>
  </si>
  <si>
    <t>E141</t>
  </si>
  <si>
    <t>E144</t>
  </si>
  <si>
    <t>E146</t>
  </si>
  <si>
    <t>E148</t>
  </si>
  <si>
    <t>E150</t>
  </si>
  <si>
    <t>E152</t>
  </si>
  <si>
    <t>E154</t>
  </si>
  <si>
    <t>E985</t>
  </si>
  <si>
    <t>E987</t>
  </si>
  <si>
    <t>E995</t>
  </si>
  <si>
    <t>E1020</t>
  </si>
  <si>
    <t>E1024</t>
  </si>
  <si>
    <t>E1026</t>
  </si>
  <si>
    <t>E1040</t>
  </si>
  <si>
    <t>E1050</t>
  </si>
  <si>
    <t>E1055</t>
  </si>
  <si>
    <t>S336</t>
  </si>
  <si>
    <t>S414</t>
  </si>
  <si>
    <t>S434</t>
  </si>
  <si>
    <t>S469</t>
  </si>
  <si>
    <t>S501</t>
  </si>
  <si>
    <t>S553</t>
  </si>
  <si>
    <t>S666</t>
  </si>
  <si>
    <t>S676</t>
  </si>
  <si>
    <t>S702</t>
  </si>
  <si>
    <t>S712</t>
  </si>
  <si>
    <t>S726</t>
  </si>
  <si>
    <t>S738</t>
  </si>
  <si>
    <t>S739</t>
  </si>
  <si>
    <t>S744</t>
  </si>
  <si>
    <t>S745</t>
  </si>
  <si>
    <t>S762</t>
  </si>
  <si>
    <t>S776</t>
  </si>
  <si>
    <t>S797</t>
  </si>
  <si>
    <t>S909</t>
  </si>
  <si>
    <t>S915</t>
  </si>
  <si>
    <t>S932</t>
  </si>
  <si>
    <t>S964</t>
  </si>
  <si>
    <t>S3371</t>
  </si>
  <si>
    <t>S3607</t>
  </si>
  <si>
    <t>Discontinued/Hard-To-Find Metallic Threads</t>
  </si>
  <si>
    <t>Discontinued/Hard-To-Find Variegated Threads</t>
  </si>
  <si>
    <t>Hard-To-Find Variegated - Espresso</t>
  </si>
  <si>
    <t>Hard-To-Find Variegated - Polar Ice</t>
  </si>
  <si>
    <t>Hard-To-Find Variegated - Mediterranean Sea</t>
  </si>
  <si>
    <t>Hard-To-Find Variegated - Very Merry</t>
  </si>
  <si>
    <t>Hard-To-Find Variegated - Emerald Isle</t>
  </si>
  <si>
    <t>Hard-To-Find Variegated - Amazon Moss</t>
  </si>
  <si>
    <t>Hard-To-Find Variegated - Camouflage</t>
  </si>
  <si>
    <t>Hard-To-Find Variegated - Margarita</t>
  </si>
  <si>
    <t>Hard-To-Find Variegated - Toasted Almond</t>
  </si>
  <si>
    <t>Hard-To-Find Variegated - Buttercup</t>
  </si>
  <si>
    <t>Hard-To-Find Variegated - Cupcake</t>
  </si>
  <si>
    <t>Hard-To-Find Variegated - Fall Harvest</t>
  </si>
  <si>
    <t>Hard-To-Find Variegated - Peanut Brittle</t>
  </si>
  <si>
    <t>Hard-To-Find Variegated - Terra Cotta</t>
  </si>
  <si>
    <t>Hard-To-Find Variegated - Caliente</t>
  </si>
  <si>
    <t>Hard-To-Find Variegated - Azalea</t>
  </si>
  <si>
    <t>Hard-To-Find Variegated - Mixed Berries</t>
  </si>
  <si>
    <t>Hard-To-Find Variegated - Cotton Candy</t>
  </si>
  <si>
    <t>Hard-To-Find Variegated - Laguna Blue</t>
  </si>
  <si>
    <t>Hard-To-Find Variegated - Mystical Midnight</t>
  </si>
  <si>
    <t>Hard-To-Find Variegated - Berry Parfait</t>
  </si>
  <si>
    <t>Hard-To-Find Variegated - Orchid</t>
  </si>
  <si>
    <t>Hard-To-Find Variegated - Enchanted</t>
  </si>
  <si>
    <t>Hard-To-Find Variegated - Purple Pansy</t>
  </si>
  <si>
    <t>Total Skeins Needed</t>
  </si>
  <si>
    <t>Thread Number</t>
  </si>
  <si>
    <t>Skeins in Collection</t>
  </si>
  <si>
    <t>Number Needed</t>
  </si>
  <si>
    <t>Need To Buy More?</t>
  </si>
  <si>
    <t>USE THIS TABLE IF YOU USE THE NUMBER ORDER CHART</t>
  </si>
  <si>
    <t>USE THIS TABLE IF YOU USE THE COLOR ORDER CHART</t>
  </si>
  <si>
    <t>Updated:</t>
  </si>
  <si>
    <t>Version:</t>
  </si>
  <si>
    <t>PERFECT SKIN TONES</t>
  </si>
  <si>
    <t>PERFECT HAIR TONES</t>
  </si>
  <si>
    <t>DMC</t>
  </si>
  <si>
    <t>Anchor</t>
  </si>
  <si>
    <t>Cosmo</t>
  </si>
  <si>
    <t>J&amp;P Coats</t>
  </si>
  <si>
    <t>Sullivans</t>
  </si>
  <si>
    <t>Presenica (Finca)</t>
  </si>
  <si>
    <t>Madeira</t>
  </si>
  <si>
    <t>Appletons</t>
  </si>
  <si>
    <t>Kreinik</t>
  </si>
  <si>
    <t>–</t>
  </si>
  <si>
    <t>Blanc/White</t>
  </si>
  <si>
    <t>991b</t>
  </si>
  <si>
    <t>990b</t>
  </si>
  <si>
    <t>031L</t>
  </si>
  <si>
    <t>003HL</t>
  </si>
  <si>
    <t>018HL</t>
  </si>
  <si>
    <t>018V</t>
  </si>
  <si>
    <t>153V</t>
  </si>
  <si>
    <t>011HL</t>
  </si>
  <si>
    <t>153A</t>
  </si>
  <si>
    <t>4010HL</t>
  </si>
  <si>
    <t>172A</t>
  </si>
  <si>
    <t>015L</t>
  </si>
  <si>
    <t>4011V</t>
  </si>
  <si>
    <t>316A</t>
  </si>
  <si>
    <t>154V</t>
  </si>
  <si>
    <t>010HL</t>
  </si>
  <si>
    <t>152A</t>
  </si>
  <si>
    <t>001L</t>
  </si>
  <si>
    <t>052HL</t>
  </si>
  <si>
    <t>028L</t>
  </si>
  <si>
    <t>251a</t>
  </si>
  <si>
    <t>054F</t>
  </si>
  <si>
    <t>630A</t>
  </si>
  <si>
    <t>088C</t>
  </si>
  <si>
    <t>006HL</t>
  </si>
  <si>
    <t>029L</t>
  </si>
  <si>
    <t>635A</t>
  </si>
  <si>
    <t>005L</t>
  </si>
  <si>
    <t>012HL</t>
  </si>
  <si>
    <t>008HL</t>
  </si>
  <si>
    <t>024L</t>
  </si>
  <si>
    <t>505A</t>
  </si>
  <si>
    <t>024HL</t>
  </si>
  <si>
    <t>002L</t>
  </si>
  <si>
    <t>008L</t>
  </si>
  <si>
    <t>053F</t>
  </si>
  <si>
    <t>002HL</t>
  </si>
  <si>
    <t>102HL</t>
  </si>
  <si>
    <t>144A</t>
  </si>
  <si>
    <t>321J</t>
  </si>
  <si>
    <t>002J</t>
  </si>
  <si>
    <t>021HL</t>
  </si>
  <si>
    <t>087C</t>
  </si>
  <si>
    <t>150V</t>
  </si>
  <si>
    <t>705A</t>
  </si>
  <si>
    <t>644A</t>
  </si>
  <si>
    <t>033L</t>
  </si>
  <si>
    <t>051HL</t>
  </si>
  <si>
    <t>014HL</t>
  </si>
  <si>
    <t>003V</t>
  </si>
  <si>
    <t>791a</t>
  </si>
  <si>
    <t>775A</t>
  </si>
  <si>
    <t>015HL</t>
  </si>
  <si>
    <t>055F</t>
  </si>
  <si>
    <t>022L</t>
  </si>
  <si>
    <t>325A</t>
  </si>
  <si>
    <t>152V</t>
  </si>
  <si>
    <t>027L</t>
  </si>
  <si>
    <t>086C</t>
  </si>
  <si>
    <t>981A</t>
  </si>
  <si>
    <t>201C</t>
  </si>
  <si>
    <t>202C</t>
  </si>
  <si>
    <t>102C</t>
  </si>
  <si>
    <t>052F</t>
  </si>
  <si>
    <t>007HL</t>
  </si>
  <si>
    <t>007L</t>
  </si>
  <si>
    <t>2536A</t>
  </si>
  <si>
    <t>017HL</t>
  </si>
  <si>
    <t>331a</t>
  </si>
  <si>
    <t>021L</t>
  </si>
  <si>
    <t>242HL</t>
  </si>
  <si>
    <t>202HL</t>
  </si>
  <si>
    <t>002V</t>
  </si>
  <si>
    <t>126A</t>
  </si>
  <si>
    <t>100HL</t>
  </si>
  <si>
    <t>291a</t>
  </si>
  <si>
    <t>I'm using:</t>
  </si>
  <si>
    <t>count fabric</t>
  </si>
  <si>
    <t>thread strands</t>
  </si>
  <si>
    <t>FLOSS USE ESTIMATOR</t>
  </si>
  <si>
    <t>Stitches</t>
  </si>
  <si>
    <t>Skeins Used</t>
  </si>
  <si>
    <t>Skeins Needed</t>
  </si>
  <si>
    <t>Count</t>
  </si>
  <si>
    <t>Average</t>
  </si>
  <si>
    <t>stitches wide</t>
  </si>
  <si>
    <t>Count:</t>
  </si>
  <si>
    <t>Fabric:</t>
  </si>
  <si>
    <t>FABRIC DIMENSIONS CALCULATOR</t>
  </si>
  <si>
    <t>Pattern dimensions:</t>
  </si>
  <si>
    <t>stitches high by</t>
  </si>
  <si>
    <t>Wide (cm)</t>
  </si>
  <si>
    <t>High (cm)</t>
  </si>
  <si>
    <t>High (inches)</t>
  </si>
  <si>
    <t>Wide (inches)</t>
  </si>
  <si>
    <t>11 Count</t>
  </si>
  <si>
    <t>14 Count</t>
  </si>
  <si>
    <t>20 Count</t>
  </si>
  <si>
    <t>18 Count</t>
  </si>
  <si>
    <t>22 Count</t>
  </si>
  <si>
    <t>24 Count</t>
  </si>
  <si>
    <t>Pattern:</t>
  </si>
  <si>
    <t>Needle Size</t>
  </si>
  <si>
    <t>Strands For Stitching</t>
  </si>
  <si>
    <t>Strands For Backstitch</t>
  </si>
  <si>
    <t>16 Count</t>
  </si>
  <si>
    <t>Suggestions:</t>
  </si>
  <si>
    <t>24 petite</t>
  </si>
  <si>
    <t>26 petite</t>
  </si>
  <si>
    <t>28 petite</t>
  </si>
  <si>
    <t>*</t>
  </si>
  <si>
    <t>An asterisk marks hard to find threads. These can be discontinued in some countries, or just not easy to get your hands on.</t>
  </si>
  <si>
    <t>Color Charts</t>
  </si>
  <si>
    <t>Tools</t>
  </si>
  <si>
    <t>DMC Thread Inventory Tracker</t>
  </si>
  <si>
    <t>Yellow cells are those you can edit in the calculators.</t>
  </si>
  <si>
    <t>QUICK ACCESS BUTTONS</t>
  </si>
  <si>
    <t>Core</t>
  </si>
  <si>
    <t>Names:</t>
  </si>
  <si>
    <t>E170</t>
  </si>
  <si>
    <t>E305</t>
  </si>
  <si>
    <t>E3868</t>
  </si>
  <si>
    <t>E3870</t>
  </si>
  <si>
    <t>Titanium</t>
  </si>
  <si>
    <t>Discontinued Metallic - Midnight Madness</t>
  </si>
  <si>
    <t>Discontinued Metallic - Majestic Metals</t>
  </si>
  <si>
    <t>Discontinued Metallic - Emerald Isle</t>
  </si>
  <si>
    <t>Discontinued Metallic - Purple Essence</t>
  </si>
  <si>
    <t>Discontinued Metallic - Deep Water Blue</t>
  </si>
  <si>
    <t>Discontinued Metallic - Pink Shimmer</t>
  </si>
  <si>
    <t>Discontinued Metallic - Tropical Delight</t>
  </si>
  <si>
    <t>Discontinued Metallic - Caribbean Ripples</t>
  </si>
  <si>
    <t>Discontinued Metallic - Opalescent Rays</t>
  </si>
  <si>
    <t>Discontinued Metallic - All That Jazz</t>
  </si>
  <si>
    <t>Discontinued Metallic - Holiday Sparkle</t>
  </si>
  <si>
    <t>Discontinued Metallic - Carnivale Fun</t>
  </si>
  <si>
    <t>Discontinued Metallic - White Silver</t>
  </si>
  <si>
    <t>Discontinued Metallic - Straw Gold</t>
  </si>
  <si>
    <t>Discontinued Metallic - Light Silver</t>
  </si>
  <si>
    <t>Discontinued Metallic - Bronze Gold</t>
  </si>
  <si>
    <t>Representative</t>
  </si>
  <si>
    <t>5269*</t>
  </si>
  <si>
    <t>5270*</t>
  </si>
  <si>
    <t>5272*</t>
  </si>
  <si>
    <t>5279*</t>
  </si>
  <si>
    <t>5282*</t>
  </si>
  <si>
    <t>5283*</t>
  </si>
  <si>
    <t>5284*</t>
  </si>
  <si>
    <t>5287*</t>
  </si>
  <si>
    <t>5288*</t>
  </si>
  <si>
    <t>5289*</t>
  </si>
  <si>
    <t>5290*</t>
  </si>
  <si>
    <t>E170*</t>
  </si>
  <si>
    <t>E305*</t>
  </si>
  <si>
    <t>E3821*</t>
  </si>
  <si>
    <t>E3868*</t>
  </si>
  <si>
    <t>E3870*</t>
  </si>
  <si>
    <t>48*</t>
  </si>
  <si>
    <t>51*</t>
  </si>
  <si>
    <t>52*</t>
  </si>
  <si>
    <t>53*</t>
  </si>
  <si>
    <t>57*</t>
  </si>
  <si>
    <t>61*</t>
  </si>
  <si>
    <t>62*</t>
  </si>
  <si>
    <t>67*</t>
  </si>
  <si>
    <t>69*</t>
  </si>
  <si>
    <t>75*</t>
  </si>
  <si>
    <t>90*</t>
  </si>
  <si>
    <t>91*</t>
  </si>
  <si>
    <t>92*</t>
  </si>
  <si>
    <t>93*</t>
  </si>
  <si>
    <t>94*</t>
  </si>
  <si>
    <t>95*</t>
  </si>
  <si>
    <t>99*</t>
  </si>
  <si>
    <t>101*</t>
  </si>
  <si>
    <t>102*</t>
  </si>
  <si>
    <t>103*</t>
  </si>
  <si>
    <t>104*</t>
  </si>
  <si>
    <t>105*</t>
  </si>
  <si>
    <t>106*</t>
  </si>
  <si>
    <t>107*</t>
  </si>
  <si>
    <t>108*</t>
  </si>
  <si>
    <t>111*</t>
  </si>
  <si>
    <t>112*</t>
  </si>
  <si>
    <t>113*</t>
  </si>
  <si>
    <t>114*</t>
  </si>
  <si>
    <t>115*</t>
  </si>
  <si>
    <t>116*</t>
  </si>
  <si>
    <t>121*</t>
  </si>
  <si>
    <t>122*</t>
  </si>
  <si>
    <t>123*</t>
  </si>
  <si>
    <t>124*</t>
  </si>
  <si>
    <t>125*</t>
  </si>
  <si>
    <t>126*</t>
  </si>
  <si>
    <t>4000*</t>
  </si>
  <si>
    <t>4017*</t>
  </si>
  <si>
    <t>4022*</t>
  </si>
  <si>
    <t>4042*</t>
  </si>
  <si>
    <t>4047*</t>
  </si>
  <si>
    <t>4066*</t>
  </si>
  <si>
    <t>4068*</t>
  </si>
  <si>
    <t>4069*</t>
  </si>
  <si>
    <t>4072*</t>
  </si>
  <si>
    <t>4073*</t>
  </si>
  <si>
    <t>4095*</t>
  </si>
  <si>
    <t>4122*</t>
  </si>
  <si>
    <t>4129*</t>
  </si>
  <si>
    <t>4135*</t>
  </si>
  <si>
    <t>4205*</t>
  </si>
  <si>
    <t>4211*</t>
  </si>
  <si>
    <t>4212*</t>
  </si>
  <si>
    <t>4214*</t>
  </si>
  <si>
    <t>4237*</t>
  </si>
  <si>
    <t>4245*</t>
  </si>
  <si>
    <t>4250*</t>
  </si>
  <si>
    <t>4255*</t>
  </si>
  <si>
    <t>4260*</t>
  </si>
  <si>
    <t>4265*</t>
  </si>
  <si>
    <t>Replacement</t>
  </si>
  <si>
    <t>Variegated</t>
  </si>
  <si>
    <t>Additional Information</t>
  </si>
  <si>
    <t>Metallics</t>
  </si>
  <si>
    <t>US-Only Threads</t>
  </si>
  <si>
    <t>More information: https://lordlibidan.com/whats-the-true-story-behind-the-us-only-dmc-threads/</t>
  </si>
  <si>
    <t>no replacement</t>
  </si>
  <si>
    <t>More information: https://lordlibidan.com/what-happened-to-dmc-light-effect-threads/</t>
  </si>
  <si>
    <t>Released: July 2013
Discontinued: July 2013
Reason: EU dye laws resulted in new threads being unsellable in most of the world.</t>
  </si>
  <si>
    <t xml:space="preserve">Released: 1999
Discontinued: 2013
Reason: Poor sales of new metallics packs. </t>
  </si>
  <si>
    <t>Green Emerald</t>
  </si>
  <si>
    <t>Dark Red Ruby</t>
  </si>
  <si>
    <t>Bright White</t>
  </si>
  <si>
    <t>Light Gold</t>
  </si>
  <si>
    <t>Silver</t>
  </si>
  <si>
    <t>Dark Gold</t>
  </si>
  <si>
    <t>Pink Amethyst</t>
  </si>
  <si>
    <t>Purple Ruby</t>
  </si>
  <si>
    <t>Light Blue Sapphire</t>
  </si>
  <si>
    <t>Released: 1990 onwards
Discontinued: 2000
Reason: Rereleased under new numbers only. Names kept.</t>
  </si>
  <si>
    <t>Released: 1991
Discontinued: 1996
Reason: Unknown - Likely to be manufacturing difficulties, or poor sales.</t>
  </si>
  <si>
    <t>Released: July 2013
Discontinued: 2013-2014
Reason: Unknown - Likely to be poor sales or manufacturing difficulties.</t>
  </si>
  <si>
    <t>Very Dark Topaz</t>
  </si>
  <si>
    <t>Dark Peacock Blue</t>
  </si>
  <si>
    <t>Dark Coffee Brown</t>
  </si>
  <si>
    <t>Dark Desert Sand</t>
  </si>
  <si>
    <t>Medium Shell Pink</t>
  </si>
  <si>
    <t>Light Orange Spice</t>
  </si>
  <si>
    <t>Dark Tin</t>
  </si>
  <si>
    <t>Very Dark Baby Blue</t>
  </si>
  <si>
    <t>Very Dark Fuchsia</t>
  </si>
  <si>
    <t>Ultra Dark Lavender</t>
  </si>
  <si>
    <t>Medium Antique Violet</t>
  </si>
  <si>
    <t>Light Lemon</t>
  </si>
  <si>
    <t>Light Bright Turquoise</t>
  </si>
  <si>
    <t>Dark Bright Turquoise</t>
  </si>
  <si>
    <t>Light Pumpkin</t>
  </si>
  <si>
    <t>Ultra Very Light Beige Brown</t>
  </si>
  <si>
    <t>Light Parrot Green</t>
  </si>
  <si>
    <t>Light Beaver Gray</t>
  </si>
  <si>
    <t>Variegated Espresso</t>
  </si>
  <si>
    <t>Variegated Polar Ice</t>
  </si>
  <si>
    <t>Variegated Mediterranean Sea</t>
  </si>
  <si>
    <t>Variegated Very Merry</t>
  </si>
  <si>
    <t>Variegated Emerald</t>
  </si>
  <si>
    <t>Variegated Amazon Moss</t>
  </si>
  <si>
    <t>Variegated Camouflage</t>
  </si>
  <si>
    <t>Variegated Margarita</t>
  </si>
  <si>
    <t>Variegated Toasted Almond</t>
  </si>
  <si>
    <t>Variegated Buttercup</t>
  </si>
  <si>
    <t>Variegated Cupcake</t>
  </si>
  <si>
    <t>Variegated Fall Harvest</t>
  </si>
  <si>
    <t>Variegated Peanut Brittle</t>
  </si>
  <si>
    <t>Variegated Terra Cotta</t>
  </si>
  <si>
    <t>Variegated Caliente</t>
  </si>
  <si>
    <t>Variegated Azalea</t>
  </si>
  <si>
    <t>Variegated Mixed Berries</t>
  </si>
  <si>
    <t>Variegated Cotton Candy</t>
  </si>
  <si>
    <t>Variegated Laguna Blue</t>
  </si>
  <si>
    <t>Variegated Mystical Midnight</t>
  </si>
  <si>
    <t>Variegated Berry Parfait</t>
  </si>
  <si>
    <t>Variegated Orchid</t>
  </si>
  <si>
    <t>Variegated Enchanted</t>
  </si>
  <si>
    <t>Variegated Purple Pansy</t>
  </si>
  <si>
    <t>Discontinued Secret Perfume - Lily Of The Valley</t>
  </si>
  <si>
    <t>Discontinued Secret Perfume - Strawberry</t>
  </si>
  <si>
    <t>Discontinued Secret Perfume - Lavender</t>
  </si>
  <si>
    <t>Discontinued Secret Perfume - Rose</t>
  </si>
  <si>
    <t>Discontinued Secret Perfume - Apple</t>
  </si>
  <si>
    <t>Discontinued Secret Perfume - Lemon</t>
  </si>
  <si>
    <t>Discontinued Secret Perfume - Almond</t>
  </si>
  <si>
    <t>Discontinued Secret Perfume - Orange</t>
  </si>
  <si>
    <t>Discontinued Secret Perfume - Honeysuckle</t>
  </si>
  <si>
    <t>Discontinued Secret Perfume - Chocolate</t>
  </si>
  <si>
    <t>Discontinued Secret Perfume - Toffee/Caramel</t>
  </si>
  <si>
    <t>Discontinued Secret Perfume - Vanilla</t>
  </si>
  <si>
    <t>SPBlanc*</t>
  </si>
  <si>
    <t>SP340*</t>
  </si>
  <si>
    <t>Variegated - Just Cross Stitch</t>
  </si>
  <si>
    <t>Discontinued Rayon - Very Dark Mahogany</t>
  </si>
  <si>
    <t>Discontinued Rayon - Medium Mahogany</t>
  </si>
  <si>
    <t>Discontinued Rayon - Lemon</t>
  </si>
  <si>
    <t>Discontinued Rayon - Black</t>
  </si>
  <si>
    <t>Discontinued Rayon - Very Dark Rose</t>
  </si>
  <si>
    <t>Discontinued Rayon - Navy Blue</t>
  </si>
  <si>
    <t>Discontinued Rayon - Coral</t>
  </si>
  <si>
    <t>Discontinued Rayon - Light Coral</t>
  </si>
  <si>
    <t>Discontinued Rayon - Light Brown</t>
  </si>
  <si>
    <t>Discontinued Rayon - Very Light Brown</t>
  </si>
  <si>
    <t>Discontinued Rayon - Avocado Green</t>
  </si>
  <si>
    <t>Discontinued Rayon - Dark Blue Green</t>
  </si>
  <si>
    <t>Discontinued Rayon - Medium Blue Green</t>
  </si>
  <si>
    <t>Discontinued Rayon - Light Blue Green</t>
  </si>
  <si>
    <t>Discontinued Rayon - Ultra Very Light Beige Brown</t>
  </si>
  <si>
    <t>Discontinued Rayon - Very Dark Violet</t>
  </si>
  <si>
    <t>Discontinued Rayon - Medium Violet</t>
  </si>
  <si>
    <t>Discontinued Rayon - Violet</t>
  </si>
  <si>
    <t>Discontinued Rayon - Light Violet</t>
  </si>
  <si>
    <t>Discontinued Rayon - Dark Moss Green</t>
  </si>
  <si>
    <t>Discontinued Rayon - Dark Cranberry</t>
  </si>
  <si>
    <t>Discontinued Rayon - Medium Cranberry</t>
  </si>
  <si>
    <t>Discontinued Rayon - Bright Orange Red</t>
  </si>
  <si>
    <t>Discontinued Rayon - Bright Red</t>
  </si>
  <si>
    <t>Discontinued Rayon - Light Old Gold</t>
  </si>
  <si>
    <t>Discontinued Rayon - Kelly Green</t>
  </si>
  <si>
    <t>Discontinued Rayon - Cream</t>
  </si>
  <si>
    <t>Discontinued Rayon - Light Topaz</t>
  </si>
  <si>
    <t>Discontinued Rayon - Light Tangerine</t>
  </si>
  <si>
    <t>Discontinued Rayon - Pale Yellow</t>
  </si>
  <si>
    <t>Discontinued Rayon - Royal Blue</t>
  </si>
  <si>
    <t>Discontinued Rayon - Dark Delft Blue</t>
  </si>
  <si>
    <t>Discontinued Rayon - Medium Delft Blue</t>
  </si>
  <si>
    <t>Discontinued Rayon - Light Blue</t>
  </si>
  <si>
    <t>Discontinued Rayon - Dark Garnet</t>
  </si>
  <si>
    <t>Discontinued Rayon - Baby Pink</t>
  </si>
  <si>
    <t>Discontinued Rayon - Very Dark Royal Blue</t>
  </si>
  <si>
    <t>Discontinued Rayon - Very Dark Blue</t>
  </si>
  <si>
    <t>Discontinued Rayon - Dark Beige Brown</t>
  </si>
  <si>
    <t>Discontinued Rayon - Light Beige Brown</t>
  </si>
  <si>
    <t>Discontinued Rayon - Very Dark Coffee Brown</t>
  </si>
  <si>
    <t>Discontinued Rayon - Medium Rose</t>
  </si>
  <si>
    <t>Discontinued Rayon - Very Dark Emerald Green</t>
  </si>
  <si>
    <t>Discontinued Rayon - Medium Emerald Green</t>
  </si>
  <si>
    <t>Discontinued Rayon - Medium Nile Green</t>
  </si>
  <si>
    <t>Discontinued Rayon - Dark Plum</t>
  </si>
  <si>
    <t>Discontinued Rayon - Medium Antique Blue</t>
  </si>
  <si>
    <t>Discontinued Rayon - Light Antique Blue</t>
  </si>
  <si>
    <t>Discontinued Rayon - Medium Aquamarine</t>
  </si>
  <si>
    <t>Discontinued Rayon - Light Nile Green</t>
  </si>
  <si>
    <t>Discontinued Rayon - Geranium</t>
  </si>
  <si>
    <t>Discontinued Rayon - Medium Seagreen</t>
  </si>
  <si>
    <t>Discontinued Rayon - Light Seagreen</t>
  </si>
  <si>
    <t>Discontinued Rayon - Bright Canary</t>
  </si>
  <si>
    <t>Discontinued Rayon - Medium Golden Brown</t>
  </si>
  <si>
    <t>Discontinued Rayon - Dark Aquamarine</t>
  </si>
  <si>
    <t>Discontinued Rayon - Light Aquamarine</t>
  </si>
  <si>
    <t>Discontinued Rayon - Dark Electric Blue</t>
  </si>
  <si>
    <t>Discontinued Rayon - Medium Electric Blue</t>
  </si>
  <si>
    <t>Discontinued Rayon - Light Baby Blue</t>
  </si>
  <si>
    <t>Discontinued Rayon - Ultra Dark Dusty Rose</t>
  </si>
  <si>
    <t>Discontinued Rayon - Black Brown</t>
  </si>
  <si>
    <t>Discontinued Rayon - Light Plum</t>
  </si>
  <si>
    <t>Discontinued Rayon - Very Light Plum</t>
  </si>
  <si>
    <t>Discontinued Rayon - Mauve</t>
  </si>
  <si>
    <t>Discontinued Rayon - Light Mauve</t>
  </si>
  <si>
    <t>Discontinued Rayon - Dusty Rose</t>
  </si>
  <si>
    <t>Discontinued Rayon - Aquamarine</t>
  </si>
  <si>
    <t>Discontinued Rayon - Pale Geranium</t>
  </si>
  <si>
    <t>Winnie The Pooh</t>
  </si>
  <si>
    <t>Winnie The Pooh Dark</t>
  </si>
  <si>
    <t>Released: 1996
Discontinued: July 2013
Reason: Replaced with the satin series. Some colors discontinued due to dye laws in the EU.</t>
  </si>
  <si>
    <t>Rayon</t>
  </si>
  <si>
    <t>Limited Edition</t>
  </si>
  <si>
    <t>Just Cross Stitch</t>
  </si>
  <si>
    <t>Released: February 2013
Discontinued: February 2013
Reason: Only included in the January/February 2013 issue of Just Cross Stitch for its 30th Anniversary Sampler.</t>
  </si>
  <si>
    <t>More information: https://lordlibidan.com/the-rarest-dmc-thread-dmc-724/</t>
  </si>
  <si>
    <t>Released: 1999
Discontinued: 2013
Reason: Both threads were copyrighted by Disney and only released in Designer Stitches UK Limited patterns for the exclusive use of Winnie The Pooh fur.</t>
  </si>
  <si>
    <t>Released: 2008
Discontinued: 2008
Reason: Scented theads did not catch on, and the test patterns did not sell. The whole series was abandoned.</t>
  </si>
  <si>
    <t>Secret Perfume</t>
  </si>
  <si>
    <t>Winnie The Pooh Gold</t>
  </si>
  <si>
    <t>Winnie The Pooh Gold 2</t>
  </si>
  <si>
    <t>3684*</t>
  </si>
  <si>
    <t>Garnet - Extremely Dark</t>
  </si>
  <si>
    <t>More information: https://lordlibidan.com/the-limited-edition-dmc-threads/</t>
  </si>
  <si>
    <t>Released: Pre-1950
Discontinued: 1954-1958
Reason: Internal DMC company shifts to sell outside of the French market.</t>
  </si>
  <si>
    <t>Variegated - Steel Gray</t>
  </si>
  <si>
    <t>Variegated - Red</t>
  </si>
  <si>
    <t>Variegated - Topaz</t>
  </si>
  <si>
    <t>Variegated - Dusty Rose</t>
  </si>
  <si>
    <t>Variegated - Cranberry</t>
  </si>
  <si>
    <t>Variegated - Turquoise</t>
  </si>
  <si>
    <t>Variegated - Cornflower Blue</t>
  </si>
  <si>
    <t>Variegated - Purple</t>
  </si>
  <si>
    <t>Variegated - Spring Green</t>
  </si>
  <si>
    <t>Variegated - Dark Violet</t>
  </si>
  <si>
    <t>Variegated - Royal Blue</t>
  </si>
  <si>
    <t>Variegated - Lemon</t>
  </si>
  <si>
    <t>Variegated - Tan Brown</t>
  </si>
  <si>
    <t>Variegated - Yellow Orange</t>
  </si>
  <si>
    <t>Variegated - Salmon</t>
  </si>
  <si>
    <t>Variegated - Wedgewood Blue</t>
  </si>
  <si>
    <t>Variegated - Lime Green</t>
  </si>
  <si>
    <t>Variegated - Cyclamen Pink</t>
  </si>
  <si>
    <t>Variegated - Olive Green</t>
  </si>
  <si>
    <t>Variegated - Teal</t>
  </si>
  <si>
    <t>Variegated - Periwinkle</t>
  </si>
  <si>
    <t>Variegated - Lavender</t>
  </si>
  <si>
    <t>SPBlanc</t>
  </si>
  <si>
    <t>SP340</t>
  </si>
  <si>
    <t>Secret Perfume - Lily Of The Valley</t>
  </si>
  <si>
    <t>Secret Perfume - Strawberry</t>
  </si>
  <si>
    <t>Secret Perfume - Lavender</t>
  </si>
  <si>
    <t>Secret Perfume - Rose</t>
  </si>
  <si>
    <t>Secret Perfume - Apple</t>
  </si>
  <si>
    <t>Secret Perfume - Lemon</t>
  </si>
  <si>
    <t>Secret Perfume - Almond</t>
  </si>
  <si>
    <t>Secret Perfume - Orange</t>
  </si>
  <si>
    <t>Secret Perfume - Honeysuckle</t>
  </si>
  <si>
    <t>Secret Perfume - Chocolate</t>
  </si>
  <si>
    <t>Secret Perfume - Toffee/Caramel</t>
  </si>
  <si>
    <t>Secret Perfume - Vanilla</t>
  </si>
  <si>
    <t>SP321</t>
  </si>
  <si>
    <t>SP603</t>
  </si>
  <si>
    <t>SP703</t>
  </si>
  <si>
    <t>SP726</t>
  </si>
  <si>
    <t>SP738</t>
  </si>
  <si>
    <t>SP741</t>
  </si>
  <si>
    <t>SP745</t>
  </si>
  <si>
    <t>SP801</t>
  </si>
  <si>
    <t>SP977</t>
  </si>
  <si>
    <t>SP3823</t>
  </si>
  <si>
    <t>SP321*</t>
  </si>
  <si>
    <t>SP603*</t>
  </si>
  <si>
    <t>SP703*</t>
  </si>
  <si>
    <t>SP726*</t>
  </si>
  <si>
    <t>SP738*</t>
  </si>
  <si>
    <t>SP741*</t>
  </si>
  <si>
    <t>SP745*</t>
  </si>
  <si>
    <t>SP801*</t>
  </si>
  <si>
    <t>SP977*</t>
  </si>
  <si>
    <t>SP3823*</t>
  </si>
  <si>
    <t>Rayon - Very Dark Mahogany</t>
  </si>
  <si>
    <t>Rayon - Medium Mahogany</t>
  </si>
  <si>
    <t>Rayon - Lemon</t>
  </si>
  <si>
    <t>Rayon - Black</t>
  </si>
  <si>
    <t>Rayon - Very Dark Rose</t>
  </si>
  <si>
    <t>Rayon - Navy Blue</t>
  </si>
  <si>
    <t>Rayon - Coral</t>
  </si>
  <si>
    <t>Rayon - Light Coral</t>
  </si>
  <si>
    <t>Rayon - Light Brown</t>
  </si>
  <si>
    <t>Rayon - Very Light Brown</t>
  </si>
  <si>
    <t>Rayon - Avocado Green</t>
  </si>
  <si>
    <t>Rayon - Dark Blue Green</t>
  </si>
  <si>
    <t>Rayon - Medium Blue Green</t>
  </si>
  <si>
    <t>Rayon - Light Blue Green</t>
  </si>
  <si>
    <t>Rayon - Ultra Very Light Beige Brown</t>
  </si>
  <si>
    <t>Rayon - Very Dark Violet</t>
  </si>
  <si>
    <t>Rayon - Medium Violet</t>
  </si>
  <si>
    <t>Rayon - Violet</t>
  </si>
  <si>
    <t>Rayon - Light Violet</t>
  </si>
  <si>
    <t>Rayon - Dark Moss Green</t>
  </si>
  <si>
    <t>Rayon - Dark Cranberry</t>
  </si>
  <si>
    <t>Rayon - Medium Cranberry</t>
  </si>
  <si>
    <t>Rayon - Bright Orange Red</t>
  </si>
  <si>
    <t>Rayon - Bright Red</t>
  </si>
  <si>
    <t>Rayon - Light Old Gold</t>
  </si>
  <si>
    <t>Rayon - Kelly Green</t>
  </si>
  <si>
    <t>Rayon - Cream</t>
  </si>
  <si>
    <t>Rayon - Light Topaz</t>
  </si>
  <si>
    <t>Rayon - Light Tangerine</t>
  </si>
  <si>
    <t>Rayon - Pale Yellow</t>
  </si>
  <si>
    <t>Rayon - Royal Blue</t>
  </si>
  <si>
    <t>Rayon - Dark Delft Blue</t>
  </si>
  <si>
    <t>Rayon - Medium Delft Blue</t>
  </si>
  <si>
    <t>Rayon - Light Blue</t>
  </si>
  <si>
    <t>Rayon - Dark Garnet</t>
  </si>
  <si>
    <t>Rayon - Baby Pink</t>
  </si>
  <si>
    <t>Rayon - Very Dark Royal Blue</t>
  </si>
  <si>
    <t>Rayon - Very Dark Blue</t>
  </si>
  <si>
    <t>Rayon - Dark Beige Brown</t>
  </si>
  <si>
    <t>Rayon - Light Beige Brown</t>
  </si>
  <si>
    <t>Rayon - Very Dark Coffee Brown</t>
  </si>
  <si>
    <t>Rayon - Medium Rose</t>
  </si>
  <si>
    <t>Rayon - Very Dark Emerald Green</t>
  </si>
  <si>
    <t>Rayon - Medium Emerald Green</t>
  </si>
  <si>
    <t>Rayon - Medium Nile Green</t>
  </si>
  <si>
    <t>Rayon - Dark Plum</t>
  </si>
  <si>
    <t>Rayon - Medium Antique Blue</t>
  </si>
  <si>
    <t>Rayon - Light Antique Blue</t>
  </si>
  <si>
    <t>Rayon - Medium Aquamarine</t>
  </si>
  <si>
    <t>Rayon - Light Nile Green</t>
  </si>
  <si>
    <t>Rayon - Geranium</t>
  </si>
  <si>
    <t>Rayon - Pale Geranium</t>
  </si>
  <si>
    <t>Rayon - Medium Seagreen</t>
  </si>
  <si>
    <t>Rayon - Light Seagreen</t>
  </si>
  <si>
    <t>Rayon - Bright Canary</t>
  </si>
  <si>
    <t>Rayon - Medium Golden Brown</t>
  </si>
  <si>
    <t>Rayon - Dark Aquamarine</t>
  </si>
  <si>
    <t>Rayon - Light Aquamarine</t>
  </si>
  <si>
    <t>Rayon - Dark Electric Blue</t>
  </si>
  <si>
    <t>Rayon - Medium Electric Blue</t>
  </si>
  <si>
    <t>Rayon - Light Baby Blue</t>
  </si>
  <si>
    <t>Rayon - Ultra Dark Dusty Rose</t>
  </si>
  <si>
    <t>Rayon - Black Brown</t>
  </si>
  <si>
    <t>Rayon - Light Plum</t>
  </si>
  <si>
    <t>Rayon - Very Light Plum</t>
  </si>
  <si>
    <t>Rayon - Mauve</t>
  </si>
  <si>
    <t>Rayon - Light Mauve</t>
  </si>
  <si>
    <t>Rayon - Dusty Rose</t>
  </si>
  <si>
    <t>Rayon - Aquamarine</t>
  </si>
  <si>
    <t>Metallic - Carnivale Fun</t>
  </si>
  <si>
    <t>Metallic - All That Jazz</t>
  </si>
  <si>
    <t>Metallic - White Silver</t>
  </si>
  <si>
    <t>Metallic - Straw Gold</t>
  </si>
  <si>
    <t>Metallic - Light Silver</t>
  </si>
  <si>
    <t>Metallic - Bronze Gold</t>
  </si>
  <si>
    <t>More information: https://lordlibidan.com/dmc-974-the-rarest-thread/</t>
  </si>
  <si>
    <t>More information: https://lordlibidan.com/dmc-secret-perfume-threads-a-forgotten-failure/</t>
  </si>
  <si>
    <t>Deep Royal Blue</t>
  </si>
  <si>
    <t>Drab Brown - Extreme Light</t>
  </si>
  <si>
    <t>Sunshine</t>
  </si>
  <si>
    <t>Partially Discontinued</t>
  </si>
  <si>
    <r>
      <rPr>
        <sz val="12"/>
        <rFont val="Calibri (Body)_x0000_"/>
      </rPr>
      <t>Released:</t>
    </r>
    <r>
      <rPr>
        <sz val="12"/>
        <rFont val="Calibri"/>
        <family val="2"/>
        <scheme val="minor"/>
      </rPr>
      <t xml:space="preserve"> Unknown
</t>
    </r>
    <r>
      <rPr>
        <sz val="12"/>
        <rFont val="Calibri (Body)_x0000_"/>
      </rPr>
      <t>Discontinued:</t>
    </r>
    <r>
      <rPr>
        <sz val="12"/>
        <rFont val="Calibri"/>
        <family val="2"/>
        <scheme val="minor"/>
      </rPr>
      <t xml:space="preserve"> Between 1924 and 1958
</t>
    </r>
    <r>
      <rPr>
        <sz val="12"/>
        <rFont val="Calibri (Body)_x0000_"/>
      </rPr>
      <t>Reason: Unknown. Some of these colors can still be purchased in other thread types still.</t>
    </r>
  </si>
  <si>
    <r>
      <rPr>
        <b/>
        <sz val="12"/>
        <color theme="1" tint="0.34998626667073579"/>
        <rFont val="Calibri"/>
        <family val="2"/>
        <scheme val="minor"/>
      </rPr>
      <t xml:space="preserve">Quick Start Guide:
</t>
    </r>
    <r>
      <rPr>
        <sz val="12"/>
        <color theme="1" tint="0.34998626667073579"/>
        <rFont val="Calibri"/>
        <family val="2"/>
        <scheme val="minor"/>
      </rPr>
      <t xml:space="preserve">Add your threads to the sheet "DMC Threads - By Number" and it will auto populate in the "By Color" sheet. You can use the search function on either sheet.
</t>
    </r>
    <r>
      <rPr>
        <b/>
        <sz val="12"/>
        <color theme="1" tint="0.34998626667073579"/>
        <rFont val="Calibri"/>
        <family val="2"/>
        <scheme val="minor"/>
      </rPr>
      <t>Want To Use "By Color" On Its Own?</t>
    </r>
    <r>
      <rPr>
        <sz val="12"/>
        <color theme="1" tint="0.34998626667073579"/>
        <rFont val="Calibri"/>
        <family val="2"/>
        <scheme val="minor"/>
      </rPr>
      <t xml:space="preserve">
Hide the sheet "DMC Threads - By Color" by right clicking and selecting "hide".
Then unhide "DMC Threads - By Color (2)".</t>
    </r>
  </si>
  <si>
    <r>
      <rPr>
        <b/>
        <sz val="12"/>
        <color theme="1" tint="0.34998626667073579"/>
        <rFont val="Calibri"/>
        <family val="2"/>
        <scheme val="minor"/>
      </rPr>
      <t>Want To Edit Sheets?</t>
    </r>
    <r>
      <rPr>
        <sz val="12"/>
        <color theme="1" tint="0.34998626667073579"/>
        <rFont val="Calibri"/>
        <family val="2"/>
        <scheme val="minor"/>
      </rPr>
      <t xml:space="preserve">
That’s OK. If you see a password protected cell, or sheet, use the password "1234" to unlock them.</t>
    </r>
  </si>
  <si>
    <t>17.1.2</t>
  </si>
  <si>
    <t>Version</t>
  </si>
  <si>
    <t>Release Date</t>
  </si>
  <si>
    <t>Additions/Corrections</t>
  </si>
  <si>
    <t>Added official Luca-S to conversion chart</t>
  </si>
  <si>
    <t>Added 1920s to 1950s discontinued threads to discontinued sheet</t>
  </si>
  <si>
    <t>Added functionality to copy "Order by Number" to "Order by Color" sheets</t>
  </si>
  <si>
    <t>Added instructions for editing sheets</t>
  </si>
  <si>
    <t>Added locking functions to cells often broken and hidden sheets</t>
  </si>
  <si>
    <t>Added release notes to published version</t>
  </si>
  <si>
    <t>16.0.5</t>
  </si>
  <si>
    <t>15.5.6</t>
  </si>
  <si>
    <t>14.4.5</t>
  </si>
  <si>
    <t>16.0.2</t>
  </si>
  <si>
    <t>Luca-S</t>
  </si>
  <si>
    <t>Added more 1920s to 1950s discontinued threads to discontinued sheet</t>
  </si>
  <si>
    <t>Added links to more information on discontinued &amp; hard-to-find sheet</t>
  </si>
  <si>
    <t>Added sheet for Discontinued &amp; Hard-To-Find Threads including replacement threads</t>
  </si>
  <si>
    <t>Added partially discontinued threads to discontinued &amp; hard-to-find sheet</t>
  </si>
  <si>
    <t>Added new copyright traps</t>
  </si>
  <si>
    <t>Replaced Main Color Chart image to higher quality</t>
  </si>
  <si>
    <t>Redesigned sheet with multiple tabs</t>
  </si>
  <si>
    <t>Added availability checker</t>
  </si>
  <si>
    <t>Added dimensions calculator</t>
  </si>
  <si>
    <t>Added floss use estimator</t>
  </si>
  <si>
    <t>Added thread conversion chart</t>
  </si>
  <si>
    <t xml:space="preserve">Bug: Fixed issue with errant selection on </t>
  </si>
  <si>
    <t>15.5.5</t>
  </si>
  <si>
    <t>Added note on naming conventions</t>
  </si>
  <si>
    <t>Added quick start guide and link to video on summary sheet</t>
  </si>
  <si>
    <t>Updated naming conventions block to offer 'official' DMC names where requested</t>
  </si>
  <si>
    <t>16.0.7</t>
  </si>
  <si>
    <t>Updated copyright tags to 2025</t>
  </si>
  <si>
    <t>Updated copyright tags to 2024</t>
  </si>
  <si>
    <t>Bug fix: Floss use estimator confused on line 27, doubling required skeins</t>
  </si>
  <si>
    <t>Bug fix: Fixed issue with availability checker not working past row 30</t>
  </si>
  <si>
    <t>Bug fix: Fixed issue with thread name look up formula missing</t>
  </si>
  <si>
    <t>Updated January 2025</t>
  </si>
  <si>
    <t>Updated updated tags to 2025</t>
  </si>
  <si>
    <t>Added "Representive" tag to some metalic colors</t>
  </si>
  <si>
    <t>Names</t>
  </si>
  <si>
    <t>Started creating "official" names sheet following update of DMC website. Incomplete due to issues on the DMC website.</t>
  </si>
  <si>
    <t>15.9.2</t>
  </si>
  <si>
    <t>14.4.2</t>
  </si>
  <si>
    <t>Added search functionality to Order by Color sheet</t>
  </si>
  <si>
    <t>Added search functionality on Order By Name sheet</t>
  </si>
  <si>
    <t>Removed: Function to copy thread counts from "Order by Number" to "Order by Color" and visa-versa removed due to repeated virus messages on older Windows computers</t>
  </si>
  <si>
    <t>Added color examples to sheet</t>
  </si>
  <si>
    <t>Added "Order by Color" to sheet</t>
  </si>
  <si>
    <t>Added color examples for Discontinued Variegated and Metallic Threads</t>
  </si>
  <si>
    <t>Updated naming conventions to use full words instead of abreviations</t>
  </si>
  <si>
    <t>Added Column Look Up sheet</t>
  </si>
  <si>
    <t>Bug fix: Corrected some incorrect metallic thread color examples</t>
  </si>
  <si>
    <t>Bug fix: Corrected incorrect metallic thread color examples hiding behind correct ones</t>
  </si>
  <si>
    <t>PDF</t>
  </si>
  <si>
    <t>Updated naming conventions to structure names differently</t>
  </si>
  <si>
    <t>Added "new" 35 DMC colors</t>
  </si>
  <si>
    <t>Older naming conventions marked as "Old"</t>
  </si>
  <si>
    <t>Old</t>
  </si>
  <si>
    <t>Added copyright traps</t>
  </si>
  <si>
    <t>13.6.4</t>
  </si>
  <si>
    <t>14.4.4</t>
  </si>
  <si>
    <t>Added new official color card image</t>
  </si>
  <si>
    <t>Official</t>
  </si>
  <si>
    <t>New DMC</t>
  </si>
  <si>
    <t>Created a PDF version of the document</t>
  </si>
  <si>
    <t>Future updates to this document on a different release notes log</t>
  </si>
  <si>
    <t>Assisted the DMC company in creating a copyright free list of names for their threads</t>
  </si>
  <si>
    <t>Updated "old official" names list link due to original hosting being removed</t>
  </si>
  <si>
    <r>
      <rPr>
        <b/>
        <sz val="12"/>
        <color theme="1" tint="0.34998626667073579"/>
        <rFont val="Calibri"/>
        <family val="2"/>
        <scheme val="minor"/>
      </rPr>
      <t xml:space="preserve">Naming conventions:
</t>
    </r>
    <r>
      <rPr>
        <sz val="12"/>
        <color theme="1" tint="0.34998626667073579"/>
        <rFont val="Calibri"/>
        <family val="2"/>
        <scheme val="minor"/>
      </rPr>
      <t>The DMC company have never officially supplied a list of names for embroidery threads (other than the 'new' 35'). This list has been complied using the most used names across retailers, resellers, designers and pattern &amp; kit makers.
If you would like a copy of the names used on the DMC website, or on a 2021 issued PDF, please contact us and we'll be able to supply!</t>
    </r>
  </si>
  <si>
    <t>Updated "old official" names list link and replaced with wording</t>
  </si>
  <si>
    <t>Updated sheet name</t>
  </si>
  <si>
    <t>Added copyright messages</t>
  </si>
  <si>
    <t>Updated file name</t>
  </si>
  <si>
    <t>Bug fix: Updated duplicate name for thread 666</t>
  </si>
  <si>
    <t>Bug fix: Corrected fonts use across document being different</t>
  </si>
  <si>
    <t>Added discontinued threads</t>
  </si>
  <si>
    <t>Updated color examples of 43 threads</t>
  </si>
  <si>
    <t>Bug fix: Corrected some metalic color examples not fully covering the cells</t>
  </si>
  <si>
    <t>Added ^ notation for hard to find threads</t>
  </si>
  <si>
    <t>Added notes for hard to find threads under each column featuring them</t>
  </si>
  <si>
    <t>Added more copyright notices</t>
  </si>
  <si>
    <t>Added rudamentry search function</t>
  </si>
  <si>
    <t>Added rudamentry inventory location</t>
  </si>
  <si>
    <t>Reverted to version 14.4.2</t>
  </si>
  <si>
    <t>14.4.6</t>
  </si>
  <si>
    <t>Pre-release</t>
  </si>
  <si>
    <t>Created document</t>
  </si>
  <si>
    <t>First publicaly avaliable version created</t>
  </si>
  <si>
    <t>Bug fix: Removed hard-to-find notation from 4010</t>
  </si>
  <si>
    <t>Bug fix: Removed a second instance of 4010 under discontinued column</t>
  </si>
  <si>
    <t>Added a "Hard-to-Find" column to specify some discontinued threads can still be found even if not produced any more.</t>
  </si>
  <si>
    <t>Added "US only" threads</t>
  </si>
  <si>
    <t>Added a test variant with a double lookup feature</t>
  </si>
  <si>
    <t>Bug fix: Corrected an issue with many users needing to "calculate all" on regular basis</t>
  </si>
  <si>
    <t>Added linen threads</t>
  </si>
  <si>
    <t>PDF-1</t>
  </si>
  <si>
    <t>18.1.7</t>
  </si>
  <si>
    <t>Added Coloris Threads</t>
  </si>
  <si>
    <t>Added Etoile Threads</t>
  </si>
  <si>
    <t>Added Satin Threads</t>
  </si>
  <si>
    <t>Bug fix: Corrected column header titles</t>
  </si>
  <si>
    <t>Functionality on version 12 (Sept 2021) removed</t>
  </si>
  <si>
    <t>Created new Summary page</t>
  </si>
  <si>
    <t>Added some additional known discontinued threads</t>
  </si>
  <si>
    <t>Optimised file for use in Google Sheets and Open Office as well as Microsoft Excel</t>
  </si>
  <si>
    <t>Reduced file version to .xlm to allow for use on older Microsoft Excel versions</t>
  </si>
  <si>
    <t>Mahogany</t>
  </si>
  <si>
    <t>Added Limited Edition and Winnie The Pooh Threads</t>
  </si>
  <si>
    <t>Added discontinued Rayon threads</t>
  </si>
  <si>
    <t>Bug fix: Corrected alignment on tables in "Order by Color"</t>
  </si>
  <si>
    <t>Updated March 2025</t>
  </si>
  <si>
    <t>Bug fix: Corrected fonts on both "Order by Color" sheets</t>
  </si>
  <si>
    <t>Copyright covers both the excel sheet, color previews and naming conventions</t>
  </si>
  <si>
    <t>18.1.9</t>
  </si>
  <si>
    <t>Bug fix: Corrected issue with 792 on new sheet not looking up correctly</t>
  </si>
  <si>
    <t>N/A</t>
  </si>
  <si>
    <t>Added column lookup to By Color sheets</t>
  </si>
  <si>
    <t>Bug fix: Added lock feature to hidden By Color sheet</t>
  </si>
  <si>
    <t>18.2.2</t>
  </si>
  <si>
    <t>Minor updates in Availability Checker sheet</t>
  </si>
  <si>
    <t>Bug fix: A few colours were bleeding over their cells</t>
  </si>
  <si>
    <t>Notes</t>
  </si>
  <si>
    <t>Added printable sheet for By Number</t>
  </si>
  <si>
    <r>
      <rPr>
        <b/>
        <sz val="12"/>
        <color theme="1" tint="0.34998626667073579"/>
        <rFont val="Calibri"/>
        <family val="2"/>
        <scheme val="minor"/>
      </rPr>
      <t>Want To Print Sheets?</t>
    </r>
    <r>
      <rPr>
        <sz val="12"/>
        <color theme="1" tint="0.34998626667073579"/>
        <rFont val="Calibri"/>
        <family val="2"/>
        <scheme val="minor"/>
      </rPr>
      <t xml:space="preserve">
Simply print "Print - By Number" and it will automatically update with the threads you own.
To print blank sheets; unhide "Print - By Number - Blank"</t>
    </r>
  </si>
  <si>
    <t>Bug fix: Corrected three colors pulling in from wrong cell in printable sheets</t>
  </si>
  <si>
    <t>Shell Pink</t>
  </si>
  <si>
    <t>Solid Colors</t>
  </si>
  <si>
    <t>Bug fix: Corrected order of some discontinued threads</t>
  </si>
  <si>
    <t>Small visual improvements</t>
  </si>
  <si>
    <t>49*</t>
  </si>
  <si>
    <t>Discontinued Variegated - Burnt Sage</t>
  </si>
  <si>
    <t>Variegated - Burnt Sage</t>
  </si>
  <si>
    <t>Added 222 and 49 to discontinued</t>
  </si>
  <si>
    <t>Avocado Green - Very Ultra Light</t>
  </si>
  <si>
    <t>Deep Blue - Dark</t>
  </si>
  <si>
    <t>Deep Blue - Very Dark</t>
  </si>
  <si>
    <t>Deep Blue - Medium</t>
  </si>
  <si>
    <t>Deep Blue - Very Light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</si>
  <si>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</si>
  <si>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</si>
  <si>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</si>
  <si>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</si>
  <si>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</si>
  <si>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</si>
  <si>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</si>
  <si>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</si>
  <si>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</si>
  <si>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</si>
  <si>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</si>
  <si>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</si>
  <si>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</si>
  <si>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</si>
  <si>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</si>
  <si>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</si>
  <si>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</si>
  <si>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</si>
  <si>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</si>
  <si>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</si>
  <si>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</si>
  <si>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</si>
  <si>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</si>
  <si>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</si>
  <si>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</si>
  <si>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</si>
  <si>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</si>
  <si>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</si>
  <si>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</si>
  <si>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</si>
  <si>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</si>
  <si>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</si>
  <si>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</si>
  <si>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</si>
  <si>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</si>
  <si>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Added 01 to 35 on thread conversion sheet</t>
  </si>
  <si>
    <t>Red - Medium Dark</t>
  </si>
  <si>
    <t>Teal Blue - Very Dark</t>
  </si>
  <si>
    <t>Bright Antique Blue</t>
  </si>
  <si>
    <t>Deep Blue - Ultra Dark</t>
  </si>
  <si>
    <t>Deep Blue - Light</t>
  </si>
  <si>
    <t>Released: Pre-1990
Discontinued: 1996
Reason: Unknown - Likely to be poor sales.</t>
  </si>
  <si>
    <t>Pre-1960 Discontinued (Known Discontinued Only)</t>
  </si>
  <si>
    <t>Variegated - Apricot Coral</t>
  </si>
  <si>
    <t>Updated December 2025</t>
  </si>
  <si>
    <t>Medium Pink</t>
  </si>
  <si>
    <t>Teal Blue - Dark</t>
  </si>
  <si>
    <t>Rose Orange - Medium</t>
  </si>
  <si>
    <t>18.5.4</t>
  </si>
  <si>
    <t>Steel Grey</t>
  </si>
  <si>
    <t>Yellow</t>
  </si>
  <si>
    <t>Avocado</t>
  </si>
  <si>
    <t>Blue Haze</t>
  </si>
  <si>
    <t>Khaki Green</t>
  </si>
  <si>
    <t>Tan/Brown</t>
  </si>
  <si>
    <t>Carnation</t>
  </si>
  <si>
    <t>Seafoam Green</t>
  </si>
  <si>
    <t>COLORIS THREADS</t>
  </si>
  <si>
    <t>Columbine Gardens</t>
  </si>
  <si>
    <t>Wildflowers</t>
  </si>
  <si>
    <t>Camelia</t>
  </si>
  <si>
    <t>Wisteria</t>
  </si>
  <si>
    <t>Hydrangea</t>
  </si>
  <si>
    <t>Heather</t>
  </si>
  <si>
    <t>Spring</t>
  </si>
  <si>
    <t>Bouginvillea</t>
  </si>
  <si>
    <t>Frosted Countryside</t>
  </si>
  <si>
    <t>Granite Coast</t>
  </si>
  <si>
    <t>Maple</t>
  </si>
  <si>
    <t>Indian Summer</t>
  </si>
  <si>
    <t>States</t>
  </si>
  <si>
    <t>London</t>
  </si>
  <si>
    <t>Venice</t>
  </si>
  <si>
    <t>Paris</t>
  </si>
  <si>
    <t>Black Forest</t>
  </si>
  <si>
    <t>Elves</t>
  </si>
  <si>
    <t>Cottage</t>
  </si>
  <si>
    <t>Jingle Bells</t>
  </si>
  <si>
    <t>Christmas Story</t>
  </si>
  <si>
    <t>Wide Open Spaces</t>
  </si>
  <si>
    <t>Canadian Night</t>
  </si>
  <si>
    <t>North Wind</t>
  </si>
  <si>
    <t>VARIEGATED THREADS</t>
  </si>
  <si>
    <t>VARIATIONS THREADS</t>
  </si>
  <si>
    <t>DISCONTINUED THREADS</t>
  </si>
  <si>
    <t>Winter Sky</t>
  </si>
  <si>
    <t>Stormy Skies</t>
  </si>
  <si>
    <t>Tropical Waters</t>
  </si>
  <si>
    <t>Caribbean Bay</t>
  </si>
  <si>
    <t>Monet's Garden</t>
  </si>
  <si>
    <t>Water Lillies</t>
  </si>
  <si>
    <t>Evergreen Forest</t>
  </si>
  <si>
    <t>Roaming Pastures</t>
  </si>
  <si>
    <t>Weeping Willow</t>
  </si>
  <si>
    <t>Morning Meadow</t>
  </si>
  <si>
    <t>Autumn Leaves</t>
  </si>
  <si>
    <t>Wheat Fields</t>
  </si>
  <si>
    <t>Morning Sunshine</t>
  </si>
  <si>
    <t>Daffodil Fields</t>
  </si>
  <si>
    <t>Golden Oasis</t>
  </si>
  <si>
    <t>Summer Breeze</t>
  </si>
  <si>
    <t>Sunrise</t>
  </si>
  <si>
    <t>Tropical Sunset</t>
  </si>
  <si>
    <t>Espresso</t>
  </si>
  <si>
    <t>Polar Ice</t>
  </si>
  <si>
    <t>Mediterranean Sea</t>
  </si>
  <si>
    <t>Very Merry</t>
  </si>
  <si>
    <t>Emerald Isle</t>
  </si>
  <si>
    <t>Fresh Cut Grass</t>
  </si>
  <si>
    <t>Camouflage</t>
  </si>
  <si>
    <t>Margarita</t>
  </si>
  <si>
    <t>Toasted Almond</t>
  </si>
  <si>
    <t>Buttercup</t>
  </si>
  <si>
    <t>Cupcake</t>
  </si>
  <si>
    <t>Fall Harvest</t>
  </si>
  <si>
    <t>Peanut Brittle</t>
  </si>
  <si>
    <t>Caliente</t>
  </si>
  <si>
    <t>Azalea</t>
  </si>
  <si>
    <t>Mixed Berries</t>
  </si>
  <si>
    <t>Cotton Candy</t>
  </si>
  <si>
    <t>Laguna Blue</t>
  </si>
  <si>
    <t>Mystical Midnight</t>
  </si>
  <si>
    <t>Berry Parfait</t>
  </si>
  <si>
    <t>Orchid</t>
  </si>
  <si>
    <t>Enchanted</t>
  </si>
  <si>
    <t>Purple Pansy</t>
  </si>
  <si>
    <t>sdghfgh</t>
  </si>
  <si>
    <t>18.4.3</t>
  </si>
  <si>
    <t>Added color breakout sheet for Coloris, Variation and Variegated threads</t>
  </si>
  <si>
    <t>Added colors to discontinued threads sheet</t>
  </si>
  <si>
    <t>© Lord Libidan 2017 - 2026</t>
  </si>
  <si>
    <t>Heath - Medium</t>
  </si>
  <si>
    <t>Heath - Light</t>
  </si>
  <si>
    <t>18.5.5</t>
  </si>
  <si>
    <t>Bug fix: Fixed missing cells in DMC Threads - By Color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</si>
</sst>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 (Body)_x0000_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FF0000"/>
      <name val="Arial"/>
      <family val="2"/>
    </font>
    <font>
      <u/>
      <sz val="12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Calibri (Body)_x0000_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2"/>
      <color rgb="FF000000"/>
      <name val="Calibri"/>
      <family val="2"/>
      <scheme val="minor"/>
    </font>
  </fonts>
  <fills count="107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5C30"/>
        <bgColor indexed="64"/>
      </patternFill>
    </fill>
    <fill>
      <patternFill patternType="solid">
        <fgColor rgb="FFFFF7E7"/>
        <bgColor indexed="64"/>
      </patternFill>
    </fill>
    <fill>
      <patternFill patternType="solid">
        <fgColor rgb="FF7D4246"/>
        <bgColor indexed="64"/>
      </patternFill>
    </fill>
    <fill>
      <patternFill patternType="solid">
        <fgColor rgb="FFBC757F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6D6469"/>
        <bgColor indexed="64"/>
      </patternFill>
    </fill>
    <fill>
      <patternFill patternType="solid">
        <fgColor rgb="FF999B9D"/>
        <bgColor indexed="64"/>
      </patternFill>
    </fill>
    <fill>
      <patternFill patternType="solid">
        <fgColor rgb="FFCF0053"/>
        <bgColor indexed="64"/>
      </patternFill>
    </fill>
    <fill>
      <patternFill patternType="solid">
        <fgColor rgb="FF3A553B"/>
        <bgColor indexed="64"/>
      </patternFill>
    </fill>
    <fill>
      <patternFill patternType="solid">
        <fgColor rgb="FFFFCBD7"/>
        <bgColor indexed="64"/>
      </patternFill>
    </fill>
    <fill>
      <patternFill patternType="solid">
        <fgColor rgb="FF608C59"/>
        <bgColor indexed="64"/>
      </patternFill>
    </fill>
    <fill>
      <patternFill patternType="solid">
        <fgColor rgb="FFE1A1A1"/>
        <bgColor indexed="64"/>
      </patternFill>
    </fill>
    <fill>
      <patternFill patternType="solid">
        <fgColor rgb="FFBD1136"/>
        <bgColor indexed="64"/>
      </patternFill>
    </fill>
    <fill>
      <patternFill patternType="solid">
        <fgColor rgb="FFEAC5EB"/>
        <bgColor indexed="64"/>
      </patternFill>
    </fill>
    <fill>
      <patternFill patternType="solid">
        <fgColor rgb="FF3A609D"/>
        <bgColor indexed="64"/>
      </patternFill>
    </fill>
    <fill>
      <patternFill patternType="solid">
        <fgColor rgb="FF4B233A"/>
        <bgColor indexed="64"/>
      </patternFill>
    </fill>
    <fill>
      <patternFill patternType="solid">
        <fgColor rgb="FFAC1C37"/>
        <bgColor indexed="64"/>
      </patternFill>
    </fill>
    <fill>
      <patternFill patternType="solid">
        <fgColor rgb="FF9774B6"/>
        <bgColor indexed="64"/>
      </patternFill>
    </fill>
    <fill>
      <patternFill patternType="solid">
        <fgColor rgb="FF5E0F77"/>
        <bgColor indexed="64"/>
      </patternFill>
    </fill>
    <fill>
      <patternFill patternType="solid">
        <fgColor rgb="FF8577B4"/>
        <bgColor indexed="64"/>
      </patternFill>
    </fill>
    <fill>
      <patternFill patternType="solid">
        <fgColor rgb="FF6E2E9B"/>
        <bgColor indexed="64"/>
      </patternFill>
    </fill>
    <fill>
      <patternFill patternType="solid">
        <fgColor rgb="FFB5B8EA"/>
        <bgColor indexed="64"/>
      </patternFill>
    </fill>
    <fill>
      <patternFill patternType="solid">
        <fgColor rgb="FF6085B8"/>
        <bgColor indexed="64"/>
      </patternFill>
    </fill>
    <fill>
      <patternFill patternType="solid">
        <fgColor rgb="FF393068"/>
        <bgColor indexed="64"/>
      </patternFill>
    </fill>
    <fill>
      <patternFill patternType="solid">
        <fgColor rgb="FFD63D57"/>
        <bgColor indexed="64"/>
      </patternFill>
    </fill>
    <fill>
      <patternFill patternType="solid">
        <fgColor rgb="FFBCB5DE"/>
        <bgColor indexed="64"/>
      </patternFill>
    </fill>
    <fill>
      <patternFill patternType="solid">
        <fgColor rgb="FF0C275E"/>
        <bgColor indexed="64"/>
      </patternFill>
    </fill>
    <fill>
      <patternFill patternType="solid">
        <fgColor rgb="FF8178A9"/>
        <bgColor indexed="64"/>
      </patternFill>
    </fill>
    <fill>
      <patternFill patternType="solid">
        <fgColor rgb="FF996DC3"/>
        <bgColor indexed="64"/>
      </patternFill>
    </fill>
    <fill>
      <patternFill patternType="solid">
        <fgColor rgb="FF60568B"/>
        <bgColor indexed="64"/>
      </patternFill>
    </fill>
    <fill>
      <patternFill patternType="solid">
        <fgColor rgb="FFA39AD7"/>
        <bgColor indexed="64"/>
      </patternFill>
    </fill>
    <fill>
      <patternFill patternType="solid">
        <fgColor rgb="FFCAE7F0"/>
        <bgColor indexed="64"/>
      </patternFill>
    </fill>
    <fill>
      <patternFill patternType="solid">
        <fgColor rgb="FFAB1B33"/>
        <bgColor indexed="64"/>
      </patternFill>
    </fill>
    <fill>
      <patternFill patternType="solid">
        <fgColor rgb="FF557A60"/>
        <bgColor indexed="64"/>
      </patternFill>
    </fill>
    <fill>
      <patternFill patternType="solid">
        <fgColor rgb="FFC62C38"/>
        <bgColor indexed="64"/>
      </patternFill>
    </fill>
    <fill>
      <patternFill patternType="solid">
        <fgColor rgb="FFBAE4B6"/>
        <bgColor indexed="64"/>
      </patternFill>
    </fill>
    <fill>
      <patternFill patternType="solid">
        <fgColor rgb="FFDE3F40"/>
        <bgColor indexed="64"/>
      </patternFill>
    </fill>
    <fill>
      <patternFill patternType="solid">
        <fgColor rgb="FFE1F477"/>
        <bgColor indexed="64"/>
      </patternFill>
    </fill>
    <fill>
      <patternFill patternType="solid">
        <fgColor rgb="FFED625B"/>
        <bgColor indexed="64"/>
      </patternFill>
    </fill>
    <fill>
      <patternFill patternType="solid">
        <fgColor rgb="FFADC238"/>
        <bgColor indexed="64"/>
      </patternFill>
    </fill>
    <fill>
      <patternFill patternType="solid">
        <fgColor rgb="FFF78372"/>
        <bgColor indexed="64"/>
      </patternFill>
    </fill>
    <fill>
      <patternFill patternType="solid">
        <fgColor rgb="FF855D31"/>
        <bgColor indexed="64"/>
      </patternFill>
    </fill>
    <fill>
      <patternFill patternType="solid">
        <fgColor rgb="FFFDB4A1"/>
        <bgColor indexed="64"/>
      </patternFill>
    </fill>
    <fill>
      <patternFill patternType="solid">
        <fgColor rgb="FFB1AEB7"/>
        <bgColor indexed="64"/>
      </patternFill>
    </fill>
    <fill>
      <patternFill patternType="solid">
        <fgColor rgb="FF97382B"/>
        <bgColor indexed="64"/>
      </patternFill>
    </fill>
    <fill>
      <patternFill patternType="solid">
        <fgColor rgb="FF827D7D"/>
        <bgColor indexed="64"/>
      </patternFill>
    </fill>
    <fill>
      <patternFill patternType="solid">
        <fgColor rgb="FFBE5C4B"/>
        <bgColor indexed="64"/>
      </patternFill>
    </fill>
    <fill>
      <patternFill patternType="solid">
        <fgColor rgb="FF9442A7"/>
        <bgColor indexed="64"/>
      </patternFill>
    </fill>
    <fill>
      <patternFill patternType="solid">
        <fgColor rgb="FF446B45"/>
        <bgColor indexed="64"/>
      </patternFill>
    </fill>
    <fill>
      <patternFill patternType="solid">
        <fgColor rgb="FFBA72C6"/>
        <bgColor indexed="64"/>
      </patternFill>
    </fill>
    <fill>
      <patternFill patternType="solid">
        <fgColor rgb="FF7FC66D"/>
        <bgColor indexed="64"/>
      </patternFill>
    </fill>
    <fill>
      <patternFill patternType="solid">
        <fgColor rgb="FFD49FE1"/>
        <bgColor indexed="64"/>
      </patternFill>
    </fill>
    <fill>
      <patternFill patternType="solid">
        <fgColor rgb="FFCDEFA6"/>
        <bgColor indexed="64"/>
      </patternFill>
    </fill>
    <fill>
      <patternFill patternType="solid">
        <fgColor rgb="FFE5BDED"/>
        <bgColor indexed="64"/>
      </patternFill>
    </fill>
    <fill>
      <patternFill patternType="solid">
        <fgColor rgb="FF917245"/>
        <bgColor indexed="64"/>
      </patternFill>
    </fill>
    <fill>
      <patternFill patternType="solid">
        <fgColor rgb="FF792631"/>
        <bgColor indexed="64"/>
      </patternFill>
    </fill>
    <fill>
      <patternFill patternType="solid">
        <fgColor rgb="FF9F8352"/>
        <bgColor indexed="64"/>
      </patternFill>
    </fill>
    <fill>
      <patternFill patternType="solid">
        <fgColor rgb="FFBB6864"/>
        <bgColor indexed="64"/>
      </patternFill>
    </fill>
    <fill>
      <patternFill patternType="solid">
        <fgColor rgb="FFAD9564"/>
        <bgColor indexed="64"/>
      </patternFill>
    </fill>
    <fill>
      <patternFill patternType="solid">
        <fgColor rgb="FFE2A598"/>
        <bgColor indexed="64"/>
      </patternFill>
    </fill>
    <fill>
      <patternFill patternType="solid">
        <fgColor rgb="FF813718"/>
        <bgColor indexed="64"/>
      </patternFill>
    </fill>
    <fill>
      <patternFill patternType="solid">
        <fgColor rgb="FFF8D9CD"/>
        <bgColor indexed="64"/>
      </patternFill>
    </fill>
    <fill>
      <patternFill patternType="solid">
        <fgColor rgb="FFEF9E74"/>
        <bgColor indexed="64"/>
      </patternFill>
    </fill>
    <fill>
      <patternFill patternType="solid">
        <fgColor rgb="FF6C3116"/>
        <bgColor indexed="64"/>
      </patternFill>
    </fill>
    <fill>
      <patternFill patternType="solid">
        <fgColor rgb="FFB77159"/>
        <bgColor indexed="64"/>
      </patternFill>
    </fill>
    <fill>
      <patternFill patternType="solid">
        <fgColor rgb="FFAA5237"/>
        <bgColor indexed="64"/>
      </patternFill>
    </fill>
    <fill>
      <patternFill patternType="solid">
        <fgColor rgb="FF4A4749"/>
        <bgColor indexed="64"/>
      </patternFill>
    </fill>
    <fill>
      <patternFill patternType="solid">
        <fgColor rgb="FFA10C39"/>
        <bgColor indexed="64"/>
      </patternFill>
    </fill>
    <fill>
      <patternFill patternType="solid">
        <fgColor rgb="FF766E72"/>
        <bgColor indexed="64"/>
      </patternFill>
    </fill>
    <fill>
      <patternFill patternType="solid">
        <fgColor rgb="FFFDE949"/>
        <bgColor indexed="64"/>
      </patternFill>
    </fill>
    <fill>
      <patternFill patternType="solid">
        <fgColor rgb="FFB8B9BD"/>
        <bgColor indexed="64"/>
      </patternFill>
    </fill>
    <fill>
      <patternFill patternType="solid">
        <fgColor rgb="FFBA2044"/>
        <bgColor indexed="64"/>
      </patternFill>
    </fill>
    <fill>
      <patternFill patternType="solid">
        <fgColor rgb="FF855A30"/>
        <bgColor indexed="64"/>
      </patternFill>
    </fill>
    <fill>
      <patternFill patternType="solid">
        <fgColor rgb="FFC99A67"/>
        <bgColor indexed="64"/>
      </patternFill>
    </fill>
    <fill>
      <patternFill patternType="solid">
        <fgColor rgb="FF002A64"/>
        <bgColor indexed="64"/>
      </patternFill>
    </fill>
    <fill>
      <patternFill patternType="solid">
        <fgColor rgb="FF73421E"/>
        <bgColor indexed="64"/>
      </patternFill>
    </fill>
    <fill>
      <patternFill patternType="solid">
        <fgColor rgb="FF1F3279"/>
        <bgColor indexed="64"/>
      </patternFill>
    </fill>
    <fill>
      <patternFill patternType="solid">
        <fgColor rgb="FF8F5332"/>
        <bgColor indexed="64"/>
      </patternFill>
    </fill>
    <fill>
      <patternFill patternType="solid">
        <fgColor rgb="FFA96538"/>
        <bgColor indexed="64"/>
      </patternFill>
    </fill>
    <fill>
      <patternFill patternType="solid">
        <fgColor rgb="FFBF1C48"/>
        <bgColor indexed="64"/>
      </patternFill>
    </fill>
    <fill>
      <patternFill patternType="solid">
        <fgColor rgb="FFC78559"/>
        <bgColor indexed="64"/>
      </patternFill>
    </fill>
    <fill>
      <patternFill patternType="solid">
        <fgColor rgb="FFC62A53"/>
        <bgColor indexed="64"/>
      </patternFill>
    </fill>
    <fill>
      <patternFill patternType="solid">
        <fgColor rgb="FFDAA26F"/>
        <bgColor indexed="64"/>
      </patternFill>
    </fill>
    <fill>
      <patternFill patternType="solid">
        <fgColor rgb="FFD63F68"/>
        <bgColor indexed="64"/>
      </patternFill>
    </fill>
    <fill>
      <patternFill patternType="solid">
        <fgColor rgb="FFF5BC13"/>
        <bgColor indexed="64"/>
      </patternFill>
    </fill>
    <fill>
      <patternFill patternType="solid">
        <fgColor rgb="FFFCF999"/>
        <bgColor indexed="64"/>
      </patternFill>
    </fill>
    <fill>
      <patternFill patternType="solid">
        <fgColor rgb="FFF793B2"/>
        <bgColor indexed="64"/>
      </patternFill>
    </fill>
    <fill>
      <patternFill patternType="solid">
        <fgColor rgb="FF887773"/>
        <bgColor indexed="64"/>
      </patternFill>
    </fill>
    <fill>
      <patternFill patternType="solid">
        <fgColor rgb="FFFBACC4"/>
        <bgColor indexed="64"/>
      </patternFill>
    </fill>
    <fill>
      <patternFill patternType="solid">
        <fgColor rgb="FFAD9994"/>
        <bgColor indexed="64"/>
      </patternFill>
    </fill>
    <fill>
      <patternFill patternType="solid">
        <fgColor rgb="FFF70F00"/>
        <bgColor indexed="64"/>
      </patternFill>
    </fill>
    <fill>
      <patternFill patternType="solid">
        <fgColor rgb="FFCCB8AA"/>
        <bgColor indexed="64"/>
      </patternFill>
    </fill>
    <fill>
      <patternFill patternType="solid">
        <fgColor rgb="FFFD480C"/>
        <bgColor indexed="64"/>
      </patternFill>
    </fill>
    <fill>
      <patternFill patternType="solid">
        <fgColor rgb="FF5B6533"/>
        <bgColor indexed="64"/>
      </patternFill>
    </fill>
    <fill>
      <patternFill patternType="solid">
        <fgColor rgb="FF6B5039"/>
        <bgColor indexed="64"/>
      </patternFill>
    </fill>
    <fill>
      <patternFill patternType="solid">
        <fgColor rgb="FF72813E"/>
        <bgColor indexed="64"/>
      </patternFill>
    </fill>
    <fill>
      <patternFill patternType="solid">
        <fgColor rgb="FF7C5F46"/>
        <bgColor indexed="64"/>
      </patternFill>
    </fill>
    <fill>
      <patternFill patternType="solid">
        <fgColor rgb="FF9EB357"/>
        <bgColor indexed="64"/>
      </patternFill>
    </fill>
    <fill>
      <patternFill patternType="solid">
        <fgColor rgb="FFA6885E"/>
        <bgColor indexed="64"/>
      </patternFill>
    </fill>
    <fill>
      <patternFill patternType="solid">
        <fgColor rgb="FFD1DE75"/>
        <bgColor indexed="64"/>
      </patternFill>
    </fill>
    <fill>
      <patternFill patternType="solid">
        <fgColor rgb="FFB99F72"/>
        <bgColor indexed="64"/>
      </patternFill>
    </fill>
    <fill>
      <patternFill patternType="solid">
        <fgColor rgb="FF970B2C"/>
        <bgColor indexed="64"/>
      </patternFill>
    </fill>
    <fill>
      <patternFill patternType="solid">
        <fgColor rgb="FF7F4232"/>
        <bgColor indexed="64"/>
      </patternFill>
    </fill>
    <fill>
      <patternFill patternType="solid">
        <fgColor rgb="FF1D362A"/>
        <bgColor indexed="64"/>
      </patternFill>
    </fill>
    <fill>
      <patternFill patternType="solid">
        <fgColor rgb="FF817868"/>
        <bgColor indexed="64"/>
      </patternFill>
    </fill>
    <fill>
      <patternFill patternType="solid">
        <fgColor rgb="FF2F5446"/>
        <bgColor indexed="64"/>
      </patternFill>
    </fill>
    <fill>
      <patternFill patternType="solid">
        <fgColor rgb="FF958D79"/>
        <bgColor indexed="64"/>
      </patternFill>
    </fill>
    <fill>
      <patternFill patternType="solid">
        <fgColor rgb="FF57826E"/>
        <bgColor indexed="64"/>
      </patternFill>
    </fill>
    <fill>
      <patternFill patternType="solid">
        <fgColor rgb="FFC4BEA6"/>
        <bgColor indexed="64"/>
      </patternFill>
    </fill>
    <fill>
      <patternFill patternType="solid">
        <fgColor rgb="FF89B89F"/>
        <bgColor indexed="64"/>
      </patternFill>
    </fill>
    <fill>
      <patternFill patternType="solid">
        <fgColor rgb="FF5D5D54"/>
        <bgColor indexed="64"/>
      </patternFill>
    </fill>
    <fill>
      <patternFill patternType="solid">
        <fgColor rgb="FFACDAC1"/>
        <bgColor indexed="64"/>
      </patternFill>
    </fill>
    <fill>
      <patternFill patternType="solid">
        <fgColor rgb="FF6B6860"/>
        <bgColor indexed="64"/>
      </patternFill>
    </fill>
    <fill>
      <patternFill patternType="solid">
        <fgColor rgb="FF908E85"/>
        <bgColor indexed="64"/>
      </patternFill>
    </fill>
    <fill>
      <patternFill patternType="solid">
        <fgColor rgb="FF216285"/>
        <bgColor indexed="64"/>
      </patternFill>
    </fill>
    <fill>
      <patternFill patternType="solid">
        <fgColor rgb="FFA7A69F"/>
        <bgColor indexed="64"/>
      </patternFill>
    </fill>
    <fill>
      <patternFill patternType="solid">
        <fgColor rgb="FF50819C"/>
        <bgColor indexed="64"/>
      </patternFill>
    </fill>
    <fill>
      <patternFill patternType="solid">
        <fgColor rgb="FFCE1B33"/>
        <bgColor indexed="64"/>
      </patternFill>
    </fill>
    <fill>
      <patternFill patternType="solid">
        <fgColor rgb="FF94B7CB"/>
        <bgColor indexed="64"/>
      </patternFill>
    </fill>
    <fill>
      <patternFill patternType="solid">
        <fgColor rgb="FFECBF7D"/>
        <bgColor indexed="64"/>
      </patternFill>
    </fill>
    <fill>
      <patternFill patternType="solid">
        <fgColor rgb="FF384526"/>
        <bgColor indexed="64"/>
      </patternFill>
    </fill>
    <fill>
      <patternFill patternType="solid">
        <fgColor rgb="FFF2DC9F"/>
        <bgColor indexed="64"/>
      </patternFill>
    </fill>
    <fill>
      <patternFill patternType="solid">
        <fgColor rgb="FF808B6E"/>
        <bgColor indexed="64"/>
      </patternFill>
    </fill>
    <fill>
      <patternFill patternType="solid">
        <fgColor rgb="FFB07B46"/>
        <bgColor indexed="64"/>
      </patternFill>
    </fill>
    <fill>
      <patternFill patternType="solid">
        <fgColor rgb="FF959F7A"/>
        <bgColor indexed="64"/>
      </patternFill>
    </fill>
    <fill>
      <patternFill patternType="solid">
        <fgColor rgb="FF075B26"/>
        <bgColor indexed="64"/>
      </patternFill>
    </fill>
    <fill>
      <patternFill patternType="solid">
        <fgColor rgb="FFAEA78E"/>
        <bgColor indexed="64"/>
      </patternFill>
    </fill>
    <fill>
      <patternFill patternType="solid">
        <fgColor rgb="FF076C34"/>
        <bgColor indexed="64"/>
      </patternFill>
    </fill>
    <fill>
      <patternFill patternType="solid">
        <fgColor rgb="FF4B4B49"/>
        <bgColor indexed="64"/>
      </patternFill>
    </fill>
    <fill>
      <patternFill patternType="solid">
        <fgColor rgb="FF217C36"/>
        <bgColor indexed="64"/>
      </patternFill>
    </fill>
    <fill>
      <patternFill patternType="solid">
        <fgColor rgb="FFEAD0B5"/>
        <bgColor indexed="64"/>
      </patternFill>
    </fill>
    <fill>
      <patternFill patternType="solid">
        <fgColor rgb="FF379130"/>
        <bgColor indexed="64"/>
      </patternFill>
    </fill>
    <fill>
      <patternFill patternType="solid">
        <fgColor rgb="FF580E5C"/>
        <bgColor indexed="64"/>
      </patternFill>
    </fill>
    <fill>
      <patternFill patternType="solid">
        <fgColor rgb="FF63B330"/>
        <bgColor indexed="64"/>
      </patternFill>
    </fill>
    <fill>
      <patternFill patternType="solid">
        <fgColor rgb="FF902F99"/>
        <bgColor indexed="64"/>
      </patternFill>
    </fill>
    <fill>
      <patternFill patternType="solid">
        <fgColor rgb="FF88C53A"/>
        <bgColor indexed="64"/>
      </patternFill>
    </fill>
    <fill>
      <patternFill patternType="solid">
        <fgColor rgb="FFA449AC"/>
        <bgColor indexed="64"/>
      </patternFill>
    </fill>
    <fill>
      <patternFill patternType="solid">
        <fgColor rgb="FFF6EFDA"/>
        <bgColor indexed="64"/>
      </patternFill>
    </fill>
    <fill>
      <patternFill patternType="solid">
        <fgColor rgb="FFDC9CDE"/>
        <bgColor indexed="64"/>
      </patternFill>
    </fill>
    <fill>
      <patternFill patternType="solid">
        <fgColor rgb="FFCB2089"/>
        <bgColor indexed="64"/>
      </patternFill>
    </fill>
    <fill>
      <patternFill patternType="solid">
        <fgColor rgb="FF285E48"/>
        <bgColor indexed="64"/>
      </patternFill>
    </fill>
    <fill>
      <patternFill patternType="solid">
        <fgColor rgb="FFC83A24"/>
        <bgColor indexed="64"/>
      </patternFill>
    </fill>
    <fill>
      <patternFill patternType="solid">
        <fgColor rgb="FF3B8C5A"/>
        <bgColor indexed="64"/>
      </patternFill>
    </fill>
    <fill>
      <patternFill patternType="solid">
        <fgColor rgb="FFF46440"/>
        <bgColor indexed="64"/>
      </patternFill>
    </fill>
    <fill>
      <patternFill patternType="solid">
        <fgColor rgb="FF6ED39A"/>
        <bgColor indexed="64"/>
      </patternFill>
    </fill>
    <fill>
      <patternFill patternType="solid">
        <fgColor rgb="FFF98756"/>
        <bgColor indexed="64"/>
      </patternFill>
    </fill>
    <fill>
      <patternFill patternType="solid">
        <fgColor rgb="FF95E4AF"/>
        <bgColor indexed="64"/>
      </patternFill>
    </fill>
    <fill>
      <patternFill patternType="solid">
        <fgColor rgb="FFF9C15B"/>
        <bgColor indexed="64"/>
      </patternFill>
    </fill>
    <fill>
      <patternFill patternType="solid">
        <fgColor rgb="FF355F0B"/>
        <bgColor indexed="64"/>
      </patternFill>
    </fill>
    <fill>
      <patternFill patternType="solid">
        <fgColor rgb="FFFDDB63"/>
        <bgColor indexed="64"/>
      </patternFill>
    </fill>
    <fill>
      <patternFill patternType="solid">
        <fgColor rgb="FF838A29"/>
        <bgColor indexed="64"/>
      </patternFill>
    </fill>
    <fill>
      <patternFill patternType="solid">
        <fgColor rgb="FFFDE98B"/>
        <bgColor indexed="64"/>
      </patternFill>
    </fill>
    <fill>
      <patternFill patternType="solid">
        <fgColor rgb="FF52ADAB"/>
        <bgColor indexed="64"/>
      </patternFill>
    </fill>
    <fill>
      <patternFill patternType="solid">
        <fgColor rgb="FFF2AE3F"/>
        <bgColor indexed="64"/>
      </patternFill>
    </fill>
    <fill>
      <patternFill patternType="solid">
        <fgColor rgb="FF97D8D3"/>
        <bgColor indexed="64"/>
      </patternFill>
    </fill>
    <fill>
      <patternFill patternType="solid">
        <fgColor rgb="FFCE9657"/>
        <bgColor indexed="64"/>
      </patternFill>
    </fill>
    <fill>
      <patternFill patternType="solid">
        <fgColor rgb="FF63520B"/>
        <bgColor indexed="64"/>
      </patternFill>
    </fill>
    <fill>
      <patternFill patternType="solid">
        <fgColor rgb="FF202754"/>
        <bgColor indexed="64"/>
      </patternFill>
    </fill>
    <fill>
      <patternFill patternType="solid">
        <fgColor rgb="FF6B580B"/>
        <bgColor indexed="64"/>
      </patternFill>
    </fill>
    <fill>
      <patternFill patternType="solid">
        <fgColor rgb="FF1D6C87"/>
        <bgColor indexed="64"/>
      </patternFill>
    </fill>
    <fill>
      <patternFill patternType="solid">
        <fgColor rgb="FF725C0C"/>
        <bgColor indexed="64"/>
      </patternFill>
    </fill>
    <fill>
      <patternFill patternType="solid">
        <fgColor rgb="FF558B9E"/>
        <bgColor indexed="64"/>
      </patternFill>
    </fill>
    <fill>
      <patternFill patternType="solid">
        <fgColor rgb="FFA78A44"/>
        <bgColor indexed="64"/>
      </patternFill>
    </fill>
    <fill>
      <patternFill patternType="solid">
        <fgColor rgb="FF919FD5"/>
        <bgColor indexed="64"/>
      </patternFill>
    </fill>
    <fill>
      <patternFill patternType="solid">
        <fgColor rgb="FFBB9C54"/>
        <bgColor indexed="64"/>
      </patternFill>
    </fill>
    <fill>
      <patternFill patternType="solid">
        <fgColor rgb="FF7FA0C6"/>
        <bgColor indexed="64"/>
      </patternFill>
    </fill>
    <fill>
      <patternFill patternType="solid">
        <fgColor rgb="FFE2B783"/>
        <bgColor indexed="64"/>
      </patternFill>
    </fill>
    <fill>
      <patternFill patternType="solid">
        <fgColor rgb="FF711033"/>
        <bgColor indexed="64"/>
      </patternFill>
    </fill>
    <fill>
      <patternFill patternType="solid">
        <fgColor rgb="FFF2DEB9"/>
        <bgColor indexed="64"/>
      </patternFill>
    </fill>
    <fill>
      <patternFill patternType="solid">
        <fgColor rgb="FF800B34"/>
        <bgColor indexed="64"/>
      </patternFill>
    </fill>
    <fill>
      <patternFill patternType="solid">
        <fgColor rgb="FFFD6F1A"/>
        <bgColor indexed="64"/>
      </patternFill>
    </fill>
    <fill>
      <patternFill patternType="solid">
        <fgColor rgb="FF921238"/>
        <bgColor indexed="64"/>
      </patternFill>
    </fill>
    <fill>
      <patternFill patternType="solid">
        <fgColor rgb="FFFC8B10"/>
        <bgColor indexed="64"/>
      </patternFill>
    </fill>
    <fill>
      <patternFill patternType="solid">
        <fgColor rgb="FFBB1630"/>
        <bgColor indexed="64"/>
      </patternFill>
    </fill>
    <fill>
      <patternFill patternType="solid">
        <fgColor rgb="FFFDAE3C"/>
        <bgColor indexed="64"/>
      </patternFill>
    </fill>
    <fill>
      <patternFill patternType="solid">
        <fgColor rgb="FFFEDEDD"/>
        <bgColor indexed="64"/>
      </patternFill>
    </fill>
    <fill>
      <patternFill patternType="solid">
        <fgColor rgb="FFFDD769"/>
        <bgColor indexed="64"/>
      </patternFill>
    </fill>
    <fill>
      <patternFill patternType="solid">
        <fgColor rgb="FFFCEBDE"/>
        <bgColor indexed="64"/>
      </patternFill>
    </fill>
    <fill>
      <patternFill patternType="solid">
        <fgColor rgb="FFFEE88D"/>
        <bgColor indexed="64"/>
      </patternFill>
    </fill>
    <fill>
      <patternFill patternType="solid">
        <fgColor rgb="FF151264"/>
        <bgColor indexed="64"/>
      </patternFill>
    </fill>
    <fill>
      <patternFill patternType="solid">
        <fgColor rgb="FFFEEBA5"/>
        <bgColor indexed="64"/>
      </patternFill>
    </fill>
    <fill>
      <patternFill patternType="solid">
        <fgColor rgb="FFE8DFC7"/>
        <bgColor indexed="64"/>
      </patternFill>
    </fill>
    <fill>
      <patternFill patternType="solid">
        <fgColor rgb="FFFAF2D5"/>
        <bgColor indexed="64"/>
      </patternFill>
    </fill>
    <fill>
      <patternFill patternType="solid">
        <fgColor rgb="FF000B44"/>
        <bgColor indexed="64"/>
      </patternFill>
    </fill>
    <fill>
      <patternFill patternType="solid">
        <fgColor rgb="FFCEE9EA"/>
        <bgColor indexed="64"/>
      </patternFill>
    </fill>
    <fill>
      <patternFill patternType="solid">
        <fgColor rgb="FF284779"/>
        <bgColor indexed="64"/>
      </patternFill>
    </fill>
    <fill>
      <patternFill patternType="solid">
        <fgColor rgb="FFF7C9B0"/>
        <bgColor indexed="64"/>
      </patternFill>
    </fill>
    <fill>
      <patternFill patternType="solid">
        <fgColor rgb="FF34588F"/>
        <bgColor indexed="64"/>
      </patternFill>
    </fill>
    <fill>
      <patternFill patternType="solid">
        <fgColor rgb="FFE99F83"/>
        <bgColor indexed="64"/>
      </patternFill>
    </fill>
    <fill>
      <patternFill patternType="solid">
        <fgColor rgb="FF5075A7"/>
        <bgColor indexed="64"/>
      </patternFill>
    </fill>
    <fill>
      <patternFill patternType="solid">
        <fgColor rgb="FFEC8880"/>
        <bgColor indexed="64"/>
      </patternFill>
    </fill>
    <fill>
      <patternFill patternType="solid">
        <fgColor rgb="FFA4C1DE"/>
        <bgColor indexed="64"/>
      </patternFill>
    </fill>
    <fill>
      <patternFill patternType="solid">
        <fgColor rgb="FFF8B4AD"/>
        <bgColor indexed="64"/>
      </patternFill>
    </fill>
    <fill>
      <patternFill patternType="solid">
        <fgColor rgb="FFC3D7E6"/>
        <bgColor indexed="64"/>
      </patternFill>
    </fill>
    <fill>
      <patternFill patternType="solid">
        <fgColor rgb="FFD1D0D2"/>
        <bgColor indexed="64"/>
      </patternFill>
    </fill>
    <fill>
      <patternFill patternType="solid">
        <fgColor rgb="FF64480C"/>
        <bgColor indexed="64"/>
      </patternFill>
    </fill>
    <fill>
      <patternFill patternType="solid">
        <fgColor rgb="FFD7EFA7"/>
        <bgColor indexed="64"/>
      </patternFill>
    </fill>
    <fill>
      <patternFill patternType="solid">
        <fgColor rgb="FF6E501D"/>
        <bgColor indexed="64"/>
      </patternFill>
    </fill>
    <fill>
      <patternFill patternType="solid">
        <fgColor rgb="FFD4E3EF"/>
        <bgColor indexed="64"/>
      </patternFill>
    </fill>
    <fill>
      <patternFill patternType="solid">
        <fgColor rgb="FF7C5F20"/>
        <bgColor indexed="64"/>
      </patternFill>
    </fill>
    <fill>
      <patternFill patternType="solid">
        <fgColor rgb="FFFCA8AD"/>
        <bgColor indexed="64"/>
      </patternFill>
    </fill>
    <fill>
      <patternFill patternType="solid">
        <fgColor rgb="FF9C7230"/>
        <bgColor indexed="64"/>
      </patternFill>
    </fill>
    <fill>
      <patternFill patternType="solid">
        <fgColor rgb="FF9B0042"/>
        <bgColor indexed="64"/>
      </patternFill>
    </fill>
    <fill>
      <patternFill patternType="solid">
        <fgColor rgb="FFB99956"/>
        <bgColor indexed="64"/>
      </patternFill>
    </fill>
    <fill>
      <patternFill patternType="solid">
        <fgColor rgb="FFDCA6A4"/>
        <bgColor indexed="64"/>
      </patternFill>
    </fill>
    <fill>
      <patternFill patternType="solid">
        <fgColor rgb="FFD2B468"/>
        <bgColor indexed="64"/>
      </patternFill>
    </fill>
    <fill>
      <patternFill patternType="solid">
        <fgColor rgb="FF53332D"/>
        <bgColor indexed="64"/>
      </patternFill>
    </fill>
    <fill>
      <patternFill patternType="solid">
        <fgColor rgb="FF4A3021"/>
        <bgColor indexed="64"/>
      </patternFill>
    </fill>
    <fill>
      <patternFill patternType="solid">
        <fgColor rgb="FF945026"/>
        <bgColor indexed="64"/>
      </patternFill>
    </fill>
    <fill>
      <patternFill patternType="solid">
        <fgColor rgb="FF5A3C2D"/>
        <bgColor indexed="64"/>
      </patternFill>
    </fill>
    <fill>
      <patternFill patternType="solid">
        <fgColor rgb="FFA25F1F"/>
        <bgColor indexed="64"/>
      </patternFill>
    </fill>
    <fill>
      <patternFill patternType="solid">
        <fgColor rgb="FF7A5939"/>
        <bgColor indexed="64"/>
      </patternFill>
    </fill>
    <fill>
      <patternFill patternType="solid">
        <fgColor rgb="FFB26923"/>
        <bgColor indexed="64"/>
      </patternFill>
    </fill>
    <fill>
      <patternFill patternType="solid">
        <fgColor rgb="FFA37D64"/>
        <bgColor indexed="64"/>
      </patternFill>
    </fill>
    <fill>
      <patternFill patternType="solid">
        <fgColor rgb="FFD0883D"/>
        <bgColor indexed="64"/>
      </patternFill>
    </fill>
    <fill>
      <patternFill patternType="solid">
        <fgColor rgb="FFCBB094"/>
        <bgColor indexed="64"/>
      </patternFill>
    </fill>
    <fill>
      <patternFill patternType="solid">
        <fgColor rgb="FF2D2068"/>
        <bgColor indexed="64"/>
      </patternFill>
    </fill>
    <fill>
      <patternFill patternType="solid">
        <fgColor rgb="FF494842"/>
        <bgColor indexed="64"/>
      </patternFill>
    </fill>
    <fill>
      <patternFill patternType="solid">
        <fgColor rgb="FF454B8B"/>
        <bgColor indexed="64"/>
      </patternFill>
    </fill>
    <fill>
      <patternFill patternType="solid">
        <fgColor rgb="FF7C82B5"/>
        <bgColor indexed="64"/>
      </patternFill>
    </fill>
    <fill>
      <patternFill patternType="solid">
        <fgColor rgb="FF784C28"/>
        <bgColor indexed="64"/>
      </patternFill>
    </fill>
    <fill>
      <patternFill patternType="solid">
        <fgColor rgb="FFA0B2D7"/>
        <bgColor indexed="64"/>
      </patternFill>
    </fill>
    <fill>
      <patternFill patternType="solid">
        <fgColor rgb="FF324233"/>
        <bgColor indexed="64"/>
      </patternFill>
    </fill>
    <fill>
      <patternFill patternType="solid">
        <fgColor rgb="FF272276"/>
        <bgColor indexed="64"/>
      </patternFill>
    </fill>
    <fill>
      <patternFill patternType="solid">
        <fgColor rgb="FFEE3246"/>
        <bgColor indexed="64"/>
      </patternFill>
    </fill>
    <fill>
      <patternFill patternType="solid">
        <fgColor rgb="FF2B3288"/>
        <bgColor indexed="64"/>
      </patternFill>
    </fill>
    <fill>
      <patternFill patternType="solid">
        <fgColor rgb="FFF44753"/>
        <bgColor indexed="64"/>
      </patternFill>
    </fill>
    <fill>
      <patternFill patternType="solid">
        <fgColor rgb="FF4E5CA7"/>
        <bgColor indexed="64"/>
      </patternFill>
    </fill>
    <fill>
      <patternFill patternType="solid">
        <fgColor rgb="FFF66879"/>
        <bgColor indexed="64"/>
      </patternFill>
    </fill>
    <fill>
      <patternFill patternType="solid">
        <fgColor rgb="FF6B7FC0"/>
        <bgColor indexed="64"/>
      </patternFill>
    </fill>
    <fill>
      <patternFill patternType="solid">
        <fgColor rgb="FFFD95A3"/>
        <bgColor indexed="64"/>
      </patternFill>
    </fill>
    <fill>
      <patternFill patternType="solid">
        <fgColor rgb="FFB5C7E9"/>
        <bgColor indexed="64"/>
      </patternFill>
    </fill>
    <fill>
      <patternFill patternType="solid">
        <fgColor rgb="FF344B2E"/>
        <bgColor indexed="64"/>
      </patternFill>
    </fill>
    <fill>
      <patternFill patternType="solid">
        <fgColor rgb="FF60391D"/>
        <bgColor indexed="64"/>
      </patternFill>
    </fill>
    <fill>
      <patternFill patternType="solid">
        <fgColor rgb="FF532F1B"/>
        <bgColor indexed="64"/>
      </patternFill>
    </fill>
    <fill>
      <patternFill patternType="solid">
        <fgColor rgb="FFEA6B78"/>
        <bgColor indexed="64"/>
      </patternFill>
    </fill>
    <fill>
      <patternFill patternType="solid">
        <fgColor rgb="FFA8EBAD"/>
        <bgColor indexed="64"/>
      </patternFill>
    </fill>
    <fill>
      <patternFill patternType="solid">
        <fgColor rgb="FFC63117"/>
        <bgColor indexed="64"/>
      </patternFill>
    </fill>
    <fill>
      <patternFill patternType="solid">
        <fgColor rgb="FFF7566D"/>
        <bgColor indexed="64"/>
      </patternFill>
    </fill>
    <fill>
      <patternFill patternType="solid">
        <fgColor rgb="FF651329"/>
        <bgColor indexed="64"/>
      </patternFill>
    </fill>
    <fill>
      <patternFill patternType="solid">
        <fgColor rgb="FFFD99AF"/>
        <bgColor indexed="64"/>
      </patternFill>
    </fill>
    <fill>
      <patternFill patternType="solid">
        <fgColor rgb="FF386324"/>
        <bgColor indexed="64"/>
      </patternFill>
    </fill>
    <fill>
      <patternFill patternType="solid">
        <fgColor rgb="FF0DB294"/>
        <bgColor indexed="64"/>
      </patternFill>
    </fill>
    <fill>
      <patternFill patternType="solid">
        <fgColor rgb="FF467924"/>
        <bgColor indexed="64"/>
      </patternFill>
    </fill>
    <fill>
      <patternFill patternType="solid">
        <fgColor rgb="FF72D0B7"/>
        <bgColor indexed="64"/>
      </patternFill>
    </fill>
    <fill>
      <patternFill patternType="solid">
        <fgColor rgb="FF6C9E29"/>
        <bgColor indexed="64"/>
      </patternFill>
    </fill>
    <fill>
      <patternFill patternType="solid">
        <fgColor rgb="FFDE586C"/>
        <bgColor indexed="64"/>
      </patternFill>
    </fill>
    <fill>
      <patternFill patternType="solid">
        <fgColor rgb="FF9DC72D"/>
        <bgColor indexed="64"/>
      </patternFill>
    </fill>
    <fill>
      <patternFill patternType="solid">
        <fgColor rgb="FFEB7183"/>
        <bgColor indexed="64"/>
      </patternFill>
    </fill>
    <fill>
      <patternFill patternType="solid">
        <fgColor rgb="FF106B43"/>
        <bgColor indexed="64"/>
      </patternFill>
    </fill>
    <fill>
      <patternFill patternType="solid">
        <fgColor rgb="FFFDCCD1"/>
        <bgColor indexed="64"/>
      </patternFill>
    </fill>
    <fill>
      <patternFill patternType="solid">
        <fgColor rgb="FF10814E"/>
        <bgColor indexed="64"/>
      </patternFill>
    </fill>
    <fill>
      <patternFill patternType="solid">
        <fgColor rgb="FFA5E4D4"/>
        <bgColor indexed="64"/>
      </patternFill>
    </fill>
    <fill>
      <patternFill patternType="solid">
        <fgColor rgb="FF109256"/>
        <bgColor indexed="64"/>
      </patternFill>
    </fill>
    <fill>
      <patternFill patternType="solid">
        <fgColor rgb="FF94D28A"/>
        <bgColor indexed="64"/>
      </patternFill>
    </fill>
    <fill>
      <patternFill patternType="solid">
        <fgColor rgb="FF36B26B"/>
        <bgColor indexed="64"/>
      </patternFill>
    </fill>
    <fill>
      <patternFill patternType="solid">
        <fgColor rgb="FFFFC2AC"/>
        <bgColor indexed="64"/>
      </patternFill>
    </fill>
    <fill>
      <patternFill patternType="solid">
        <fgColor rgb="FF55CA7D"/>
        <bgColor indexed="64"/>
      </patternFill>
    </fill>
    <fill>
      <patternFill patternType="solid">
        <fgColor rgb="FFFB6721"/>
        <bgColor indexed="64"/>
      </patternFill>
    </fill>
    <fill>
      <patternFill patternType="solid">
        <fgColor rgb="FF95085A"/>
        <bgColor indexed="64"/>
      </patternFill>
    </fill>
    <fill>
      <patternFill patternType="solid">
        <fgColor rgb="FFFC670D"/>
        <bgColor indexed="64"/>
      </patternFill>
    </fill>
    <fill>
      <patternFill patternType="solid">
        <fgColor rgb="FFAC1071"/>
        <bgColor indexed="64"/>
      </patternFill>
    </fill>
    <fill>
      <patternFill patternType="solid">
        <fgColor rgb="FFFB9F11"/>
        <bgColor indexed="64"/>
      </patternFill>
    </fill>
    <fill>
      <patternFill patternType="solid">
        <fgColor rgb="FF883630"/>
        <bgColor indexed="64"/>
      </patternFill>
    </fill>
    <fill>
      <patternFill patternType="solid">
        <fgColor rgb="FFFCCD2D"/>
        <bgColor indexed="64"/>
      </patternFill>
    </fill>
    <fill>
      <patternFill patternType="solid">
        <fgColor rgb="FF9B371B"/>
        <bgColor indexed="64"/>
      </patternFill>
    </fill>
    <fill>
      <patternFill patternType="solid">
        <fgColor rgb="FF813C11"/>
        <bgColor indexed="64"/>
      </patternFill>
    </fill>
    <fill>
      <patternFill patternType="solid">
        <fgColor rgb="FFAB4836"/>
        <bgColor indexed="64"/>
      </patternFill>
    </fill>
    <fill>
      <patternFill patternType="solid">
        <fgColor rgb="FFCF7532"/>
        <bgColor indexed="64"/>
      </patternFill>
    </fill>
    <fill>
      <patternFill patternType="solid">
        <fgColor rgb="FFC0573D"/>
        <bgColor indexed="64"/>
      </patternFill>
    </fill>
    <fill>
      <patternFill patternType="solid">
        <fgColor rgb="FFEC8F43"/>
        <bgColor indexed="64"/>
      </patternFill>
    </fill>
    <fill>
      <patternFill patternType="solid">
        <fgColor rgb="FFDD6E4C"/>
        <bgColor indexed="64"/>
      </patternFill>
    </fill>
    <fill>
      <patternFill patternType="solid">
        <fgColor rgb="FF2E5230"/>
        <bgColor indexed="64"/>
      </patternFill>
    </fill>
    <fill>
      <patternFill patternType="solid">
        <fgColor rgb="FF384A4A"/>
        <bgColor indexed="64"/>
      </patternFill>
    </fill>
    <fill>
      <patternFill patternType="solid">
        <fgColor rgb="FF436838"/>
        <bgColor indexed="64"/>
      </patternFill>
    </fill>
    <fill>
      <patternFill patternType="solid">
        <fgColor rgb="FF617674"/>
        <bgColor indexed="64"/>
      </patternFill>
    </fill>
    <fill>
      <patternFill patternType="solid">
        <fgColor rgb="FF66924A"/>
        <bgColor indexed="64"/>
      </patternFill>
    </fill>
    <fill>
      <patternFill patternType="solid">
        <fgColor rgb="FF9FA8A5"/>
        <bgColor indexed="64"/>
      </patternFill>
    </fill>
    <fill>
      <patternFill patternType="solid">
        <fgColor rgb="FF71A74E"/>
        <bgColor indexed="64"/>
      </patternFill>
    </fill>
    <fill>
      <patternFill patternType="solid">
        <fgColor rgb="FFC0C6C0"/>
        <bgColor indexed="64"/>
      </patternFill>
    </fill>
    <fill>
      <patternFill patternType="solid">
        <fgColor rgb="FF135F55"/>
        <bgColor indexed="64"/>
      </patternFill>
    </fill>
    <fill>
      <patternFill patternType="solid">
        <fgColor rgb="FF495C6B"/>
        <bgColor indexed="64"/>
      </patternFill>
    </fill>
    <fill>
      <patternFill patternType="solid">
        <fgColor rgb="FF42B59E"/>
        <bgColor indexed="64"/>
      </patternFill>
    </fill>
    <fill>
      <patternFill patternType="solid">
        <fgColor rgb="FF667684"/>
        <bgColor indexed="64"/>
      </patternFill>
    </fill>
    <fill>
      <patternFill patternType="solid">
        <fgColor rgb="FF62D8B6"/>
        <bgColor indexed="64"/>
      </patternFill>
    </fill>
    <fill>
      <patternFill patternType="solid">
        <fgColor rgb="FF93A0AF"/>
        <bgColor indexed="64"/>
      </patternFill>
    </fill>
    <fill>
      <patternFill patternType="solid">
        <fgColor rgb="FF0061B0"/>
        <bgColor indexed="64"/>
      </patternFill>
    </fill>
    <fill>
      <patternFill patternType="solid">
        <fgColor rgb="FF323324"/>
        <bgColor indexed="64"/>
      </patternFill>
    </fill>
    <fill>
      <patternFill patternType="solid">
        <fgColor rgb="FF49A8EB"/>
        <bgColor indexed="64"/>
      </patternFill>
    </fill>
    <fill>
      <patternFill patternType="solid">
        <fgColor rgb="FF383A2A"/>
        <bgColor indexed="64"/>
      </patternFill>
    </fill>
    <fill>
      <patternFill patternType="solid">
        <fgColor rgb="FF655935"/>
        <bgColor indexed="64"/>
      </patternFill>
    </fill>
    <fill>
      <patternFill patternType="solid">
        <fgColor rgb="FF3F4227"/>
        <bgColor indexed="64"/>
      </patternFill>
    </fill>
    <fill>
      <patternFill patternType="solid">
        <fgColor rgb="FF8B7B4E"/>
        <bgColor indexed="64"/>
      </patternFill>
    </fill>
    <fill>
      <patternFill patternType="solid">
        <fgColor rgb="FF434F2C"/>
        <bgColor indexed="64"/>
      </patternFill>
    </fill>
    <fill>
      <patternFill patternType="solid">
        <fgColor rgb="FFAFA97B"/>
        <bgColor indexed="64"/>
      </patternFill>
    </fill>
    <fill>
      <patternFill patternType="solid">
        <fgColor rgb="FF45271A"/>
        <bgColor indexed="64"/>
      </patternFill>
    </fill>
    <fill>
      <patternFill patternType="solid">
        <fgColor rgb="FF50403B"/>
        <bgColor indexed="64"/>
      </patternFill>
    </fill>
    <fill>
      <patternFill patternType="solid">
        <fgColor rgb="FF09092F"/>
        <bgColor indexed="64"/>
      </patternFill>
    </fill>
    <fill>
      <patternFill patternType="solid">
        <fgColor rgb="FF848274"/>
        <bgColor indexed="64"/>
      </patternFill>
    </fill>
    <fill>
      <patternFill patternType="solid">
        <fgColor rgb="FF009A77"/>
        <bgColor indexed="64"/>
      </patternFill>
    </fill>
    <fill>
      <patternFill patternType="solid">
        <fgColor rgb="FFA29B86"/>
        <bgColor indexed="64"/>
      </patternFill>
    </fill>
    <fill>
      <patternFill patternType="solid">
        <fgColor rgb="FFF6C19A"/>
        <bgColor indexed="64"/>
      </patternFill>
    </fill>
    <fill>
      <patternFill patternType="solid">
        <fgColor rgb="FFBEB8AC"/>
        <bgColor indexed="64"/>
      </patternFill>
    </fill>
    <fill>
      <patternFill patternType="solid">
        <fgColor rgb="FFED4115"/>
        <bgColor indexed="64"/>
      </patternFill>
    </fill>
    <fill>
      <patternFill patternType="solid">
        <fgColor rgb="FF423014"/>
        <bgColor indexed="64"/>
      </patternFill>
    </fill>
    <fill>
      <patternFill patternType="solid">
        <fgColor rgb="FFFC4F16"/>
        <bgColor indexed="64"/>
      </patternFill>
    </fill>
    <fill>
      <patternFill patternType="solid">
        <fgColor rgb="FF9D8868"/>
        <bgColor indexed="64"/>
      </patternFill>
    </fill>
    <fill>
      <patternFill patternType="solid">
        <fgColor rgb="FFFDE6D3"/>
        <bgColor indexed="64"/>
      </patternFill>
    </fill>
    <fill>
      <patternFill patternType="solid">
        <fgColor rgb="FFDBC7AD"/>
        <bgColor indexed="64"/>
      </patternFill>
    </fill>
    <fill>
      <patternFill patternType="solid">
        <fgColor rgb="FFE5AC8D"/>
        <bgColor indexed="64"/>
      </patternFill>
    </fill>
    <fill>
      <patternFill patternType="solid">
        <fgColor rgb="FF866A76"/>
        <bgColor indexed="64"/>
      </patternFill>
    </fill>
    <fill>
      <patternFill patternType="solid">
        <fgColor rgb="FFFADDB6"/>
        <bgColor indexed="64"/>
      </patternFill>
    </fill>
    <fill>
      <patternFill patternType="solid">
        <fgColor rgb="FFAF98A0"/>
        <bgColor indexed="64"/>
      </patternFill>
    </fill>
    <fill>
      <patternFill patternType="solid">
        <fgColor rgb="FF6FDA8A"/>
        <bgColor indexed="64"/>
      </patternFill>
    </fill>
    <fill>
      <patternFill patternType="solid">
        <fgColor rgb="FFAF8152"/>
        <bgColor indexed="64"/>
      </patternFill>
    </fill>
    <fill>
      <patternFill patternType="solid">
        <fgColor rgb="FFCEB074"/>
        <bgColor indexed="64"/>
      </patternFill>
    </fill>
    <fill>
      <patternFill patternType="solid">
        <fgColor rgb="FFC34C5C"/>
        <bgColor indexed="64"/>
      </patternFill>
    </fill>
    <fill>
      <patternFill patternType="solid">
        <fgColor rgb="FFEAD8AB"/>
        <bgColor indexed="64"/>
      </patternFill>
    </fill>
    <fill>
      <patternFill patternType="solid">
        <fgColor rgb="FFEA7E86"/>
        <bgColor indexed="64"/>
      </patternFill>
    </fill>
    <fill>
      <patternFill patternType="solid">
        <fgColor rgb="FF4C4C1E"/>
        <bgColor indexed="64"/>
      </patternFill>
    </fill>
    <fill>
      <patternFill patternType="solid">
        <fgColor rgb="FF71535D"/>
        <bgColor indexed="64"/>
      </patternFill>
    </fill>
    <fill>
      <patternFill patternType="solid">
        <fgColor rgb="FF787E5C"/>
        <bgColor indexed="64"/>
      </patternFill>
    </fill>
    <fill>
      <patternFill patternType="solid">
        <fgColor rgb="FFCFC2C9"/>
        <bgColor indexed="64"/>
      </patternFill>
    </fill>
    <fill>
      <patternFill patternType="solid">
        <fgColor rgb="FF999D75"/>
        <bgColor indexed="64"/>
      </patternFill>
    </fill>
    <fill>
      <patternFill patternType="solid">
        <fgColor rgb="FF844AB5"/>
        <bgColor indexed="64"/>
      </patternFill>
    </fill>
    <fill>
      <patternFill patternType="solid">
        <fgColor rgb="FFBA7056"/>
        <bgColor indexed="64"/>
      </patternFill>
    </fill>
    <fill>
      <patternFill patternType="solid">
        <fgColor rgb="FFD0C5EC"/>
        <bgColor indexed="64"/>
      </patternFill>
    </fill>
    <fill>
      <patternFill patternType="solid">
        <fgColor rgb="FFD2D2CA"/>
        <bgColor indexed="64"/>
      </patternFill>
    </fill>
    <fill>
      <patternFill patternType="solid">
        <fgColor rgb="FF1D4552"/>
        <bgColor indexed="64"/>
      </patternFill>
    </fill>
    <fill>
      <patternFill patternType="solid">
        <fgColor rgb="FFFCF6B6"/>
        <bgColor indexed="64"/>
      </patternFill>
    </fill>
    <fill>
      <patternFill patternType="solid">
        <fgColor rgb="FFBAC9CC"/>
        <bgColor indexed="64"/>
      </patternFill>
    </fill>
    <fill>
      <patternFill patternType="solid">
        <fgColor rgb="FFADCDE7"/>
        <bgColor indexed="64"/>
      </patternFill>
    </fill>
    <fill>
      <patternFill patternType="solid">
        <fgColor rgb="FFD9E6EC"/>
        <bgColor indexed="64"/>
      </patternFill>
    </fill>
    <fill>
      <patternFill patternType="solid">
        <fgColor rgb="FFF9979C"/>
        <bgColor indexed="64"/>
      </patternFill>
    </fill>
    <fill>
      <patternFill patternType="solid">
        <fgColor rgb="FF81A5D8"/>
        <bgColor indexed="64"/>
      </patternFill>
    </fill>
    <fill>
      <patternFill patternType="solid">
        <fgColor rgb="FFBE444A"/>
        <bgColor indexed="64"/>
      </patternFill>
    </fill>
    <fill>
      <patternFill patternType="solid">
        <fgColor rgb="FFE9F4FA"/>
        <bgColor indexed="64"/>
      </patternFill>
    </fill>
    <fill>
      <patternFill patternType="solid">
        <fgColor rgb="FFFD6B4F"/>
        <bgColor indexed="64"/>
      </patternFill>
    </fill>
    <fill>
      <patternFill patternType="solid">
        <fgColor rgb="FF467293"/>
        <bgColor indexed="64"/>
      </patternFill>
    </fill>
    <fill>
      <patternFill patternType="solid">
        <fgColor rgb="FFFD8E78"/>
        <bgColor indexed="64"/>
      </patternFill>
    </fill>
    <fill>
      <patternFill patternType="solid">
        <fgColor rgb="FFB1D0DF"/>
        <bgColor indexed="64"/>
      </patternFill>
    </fill>
    <fill>
      <patternFill patternType="solid">
        <fgColor rgb="FF40552E"/>
        <bgColor indexed="64"/>
      </patternFill>
    </fill>
    <fill>
      <patternFill patternType="solid">
        <fgColor rgb="FF175E78"/>
        <bgColor indexed="64"/>
      </patternFill>
    </fill>
    <fill>
      <patternFill patternType="solid">
        <fgColor rgb="FF56743B"/>
        <bgColor indexed="64"/>
      </patternFill>
    </fill>
    <fill>
      <patternFill patternType="solid">
        <fgColor rgb="FF4B8AA1"/>
        <bgColor indexed="64"/>
      </patternFill>
    </fill>
    <fill>
      <patternFill patternType="solid">
        <fgColor rgb="FF6D9646"/>
        <bgColor indexed="64"/>
      </patternFill>
    </fill>
    <fill>
      <patternFill patternType="solid">
        <fgColor rgb="FF4C605F"/>
        <bgColor indexed="64"/>
      </patternFill>
    </fill>
    <fill>
      <patternFill patternType="solid">
        <fgColor rgb="FFBEDF74"/>
        <bgColor indexed="64"/>
      </patternFill>
    </fill>
    <fill>
      <patternFill patternType="solid">
        <fgColor rgb="FFFEF1D8"/>
        <bgColor indexed="64"/>
      </patternFill>
    </fill>
    <fill>
      <patternFill patternType="solid">
        <fgColor rgb="FFAA3949"/>
        <bgColor indexed="64"/>
      </patternFill>
    </fill>
    <fill>
      <patternFill patternType="solid">
        <fgColor rgb="FFE8AC9B"/>
        <bgColor indexed="64"/>
      </patternFill>
    </fill>
    <fill>
      <patternFill patternType="solid">
        <fgColor rgb="FFEFA5AC"/>
        <bgColor indexed="64"/>
      </patternFill>
    </fill>
    <fill>
      <patternFill patternType="solid">
        <fgColor rgb="FF995744"/>
        <bgColor indexed="64"/>
      </patternFill>
    </fill>
    <fill>
      <patternFill patternType="solid">
        <fgColor rgb="FF49523C"/>
        <bgColor indexed="64"/>
      </patternFill>
    </fill>
    <fill>
      <patternFill patternType="solid">
        <fgColor rgb="FFCF866D"/>
        <bgColor indexed="64"/>
      </patternFill>
    </fill>
    <fill>
      <patternFill patternType="solid">
        <fgColor rgb="FF617451"/>
        <bgColor indexed="64"/>
      </patternFill>
    </fill>
    <fill>
      <patternFill patternType="solid">
        <fgColor rgb="FFF3CFB4"/>
        <bgColor indexed="64"/>
      </patternFill>
    </fill>
    <fill>
      <patternFill patternType="solid">
        <fgColor rgb="FF8E9B6D"/>
        <bgColor indexed="64"/>
      </patternFill>
    </fill>
    <fill>
      <patternFill patternType="solid">
        <fgColor rgb="FFC96444"/>
        <bgColor indexed="64"/>
      </patternFill>
    </fill>
    <fill>
      <patternFill patternType="solid">
        <fgColor rgb="FF36220E"/>
        <bgColor indexed="64"/>
      </patternFill>
    </fill>
    <fill>
      <patternFill patternType="solid">
        <fgColor rgb="FF922F25"/>
        <bgColor indexed="64"/>
      </patternFill>
    </fill>
    <fill>
      <patternFill patternType="solid">
        <fgColor rgb="FFD94C9D"/>
        <bgColor indexed="64"/>
      </patternFill>
    </fill>
    <fill>
      <patternFill patternType="solid">
        <fgColor rgb="FFD2705C"/>
        <bgColor indexed="64"/>
      </patternFill>
    </fill>
    <fill>
      <patternFill patternType="solid">
        <fgColor rgb="FFEC81BE"/>
        <bgColor indexed="64"/>
      </patternFill>
    </fill>
    <fill>
      <patternFill patternType="solid">
        <fgColor rgb="FFF2AB95"/>
        <bgColor indexed="64"/>
      </patternFill>
    </fill>
    <fill>
      <patternFill patternType="solid">
        <fgColor rgb="FFF6B0DF"/>
        <bgColor indexed="64"/>
      </patternFill>
    </fill>
    <fill>
      <patternFill patternType="solid">
        <fgColor rgb="FF593F2B"/>
        <bgColor indexed="64"/>
      </patternFill>
    </fill>
    <fill>
      <patternFill patternType="solid">
        <fgColor rgb="FF79263B"/>
        <bgColor indexed="64"/>
      </patternFill>
    </fill>
    <fill>
      <patternFill patternType="solid">
        <fgColor rgb="FFB69D80"/>
        <bgColor indexed="64"/>
      </patternFill>
    </fill>
    <fill>
      <patternFill patternType="solid">
        <fgColor rgb="FFB5455D"/>
        <bgColor indexed="64"/>
      </patternFill>
    </fill>
    <fill>
      <patternFill patternType="solid">
        <fgColor rgb="FF62524C"/>
        <bgColor indexed="64"/>
      </patternFill>
    </fill>
    <fill>
      <patternFill patternType="solid">
        <fgColor rgb="FFDC7C86"/>
        <bgColor indexed="64"/>
      </patternFill>
    </fill>
    <fill>
      <patternFill patternType="solid">
        <fgColor rgb="FF6D5A4B"/>
        <bgColor indexed="64"/>
      </patternFill>
    </fill>
    <fill>
      <patternFill patternType="solid">
        <fgColor rgb="FFF8BBC8"/>
        <bgColor indexed="64"/>
      </patternFill>
    </fill>
    <fill>
      <patternFill patternType="solid">
        <fgColor rgb="FF39393D"/>
        <bgColor indexed="64"/>
      </patternFill>
    </fill>
    <fill>
      <patternFill patternType="solid">
        <fgColor rgb="FFF2494F"/>
        <bgColor indexed="64"/>
      </patternFill>
    </fill>
    <fill>
      <patternFill patternType="solid">
        <fgColor rgb="FFE4353D"/>
        <bgColor indexed="64"/>
      </patternFill>
    </fill>
    <fill>
      <patternFill patternType="solid">
        <fgColor rgb="FFFD6E70"/>
        <bgColor indexed="64"/>
      </patternFill>
    </fill>
    <fill>
      <patternFill patternType="solid">
        <fgColor rgb="FF672A33"/>
        <bgColor indexed="64"/>
      </patternFill>
    </fill>
    <fill>
      <patternFill patternType="solid">
        <fgColor rgb="FFFDA0AE"/>
        <bgColor indexed="64"/>
      </patternFill>
    </fill>
    <fill>
      <patternFill patternType="solid">
        <fgColor rgb="FF872A43"/>
        <bgColor indexed="64"/>
      </patternFill>
    </fill>
    <fill>
      <patternFill patternType="solid">
        <fgColor rgb="FFD95D5D"/>
        <bgColor indexed="64"/>
      </patternFill>
    </fill>
    <fill>
      <patternFill patternType="solid">
        <fgColor rgb="FFCE2B63"/>
        <bgColor indexed="64"/>
      </patternFill>
    </fill>
    <fill>
      <patternFill patternType="solid">
        <fgColor rgb="FFFDD5D0"/>
        <bgColor indexed="64"/>
      </patternFill>
    </fill>
    <fill>
      <patternFill patternType="solid">
        <fgColor rgb="FFDF3C73"/>
        <bgColor indexed="64"/>
      </patternFill>
    </fill>
    <fill>
      <patternFill patternType="solid">
        <fgColor rgb="FFFCAFB9"/>
        <bgColor indexed="64"/>
      </patternFill>
    </fill>
    <fill>
      <patternFill patternType="solid">
        <fgColor rgb="FFF15A91"/>
        <bgColor indexed="64"/>
      </patternFill>
    </fill>
    <fill>
      <patternFill patternType="solid">
        <fgColor rgb="FF933B3D"/>
        <bgColor indexed="64"/>
      </patternFill>
    </fill>
    <fill>
      <patternFill patternType="solid">
        <fgColor rgb="FF4B599E"/>
        <bgColor indexed="64"/>
      </patternFill>
    </fill>
    <fill>
      <patternFill patternType="solid">
        <fgColor rgb="FFA04B4C"/>
        <bgColor indexed="64"/>
      </patternFill>
    </fill>
    <fill>
      <patternFill patternType="solid">
        <fgColor rgb="FF03535C"/>
        <bgColor indexed="64"/>
      </patternFill>
    </fill>
    <fill>
      <patternFill patternType="solid">
        <fgColor rgb="FF95565C"/>
        <bgColor indexed="64"/>
      </patternFill>
    </fill>
    <fill>
      <patternFill patternType="solid">
        <fgColor rgb="FF136A75"/>
        <bgColor indexed="64"/>
      </patternFill>
    </fill>
    <fill>
      <patternFill patternType="solid">
        <fgColor rgb="FFDA9EA6"/>
        <bgColor indexed="64"/>
      </patternFill>
    </fill>
    <fill>
      <patternFill patternType="solid">
        <fgColor rgb="FF2D8D98"/>
        <bgColor indexed="64"/>
      </patternFill>
    </fill>
    <fill>
      <patternFill patternType="solid">
        <fgColor rgb="FFA8E2E5"/>
        <bgColor indexed="64"/>
      </patternFill>
    </fill>
    <fill>
      <patternFill patternType="solid">
        <fgColor rgb="FF7A7EC5"/>
        <bgColor indexed="64"/>
      </patternFill>
    </fill>
    <fill>
      <patternFill patternType="solid">
        <fgColor rgb="FF07A184"/>
        <bgColor indexed="64"/>
      </patternFill>
    </fill>
    <fill>
      <patternFill patternType="solid">
        <fgColor rgb="FFB2BDEA"/>
        <bgColor indexed="64"/>
      </patternFill>
    </fill>
    <fill>
      <patternFill patternType="solid">
        <fgColor rgb="FF86C3AB"/>
        <bgColor indexed="64"/>
      </patternFill>
    </fill>
    <fill>
      <patternFill patternType="solid">
        <fgColor rgb="FFD9EAF2"/>
        <bgColor indexed="64"/>
      </patternFill>
    </fill>
    <fill>
      <patternFill patternType="solid">
        <fgColor rgb="FF0B8673"/>
        <bgColor indexed="64"/>
      </patternFill>
    </fill>
    <fill>
      <patternFill patternType="solid">
        <fgColor rgb="FF06506A"/>
        <bgColor indexed="64"/>
      </patternFill>
    </fill>
    <fill>
      <patternFill patternType="solid">
        <fgColor rgb="FF437259"/>
        <bgColor indexed="64"/>
      </patternFill>
    </fill>
    <fill>
      <patternFill patternType="solid">
        <fgColor rgb="FF28A3DE"/>
        <bgColor indexed="64"/>
      </patternFill>
    </fill>
    <fill>
      <patternFill patternType="solid">
        <fgColor rgb="FF60937A"/>
        <bgColor indexed="64"/>
      </patternFill>
    </fill>
    <fill>
      <patternFill patternType="solid">
        <fgColor rgb="FF1F7FA0"/>
        <bgColor indexed="64"/>
      </patternFill>
    </fill>
    <fill>
      <patternFill patternType="solid">
        <fgColor rgb="FF81C6A4"/>
        <bgColor indexed="64"/>
      </patternFill>
    </fill>
    <fill>
      <patternFill patternType="solid">
        <fgColor rgb="FF2BADD1"/>
        <bgColor indexed="64"/>
      </patternFill>
    </fill>
    <fill>
      <patternFill patternType="solid">
        <fgColor rgb="FF005D2E"/>
        <bgColor indexed="64"/>
      </patternFill>
    </fill>
    <fill>
      <patternFill patternType="solid">
        <fgColor rgb="FF5ECCEC"/>
        <bgColor indexed="64"/>
      </patternFill>
    </fill>
    <fill>
      <patternFill patternType="solid">
        <fgColor rgb="FFCCC959"/>
        <bgColor indexed="64"/>
      </patternFill>
    </fill>
    <fill>
      <patternFill patternType="solid">
        <fgColor rgb="FF186358"/>
        <bgColor indexed="64"/>
      </patternFill>
    </fill>
    <fill>
      <patternFill patternType="solid">
        <fgColor rgb="FFDBA53E"/>
        <bgColor indexed="64"/>
      </patternFill>
    </fill>
    <fill>
      <patternFill patternType="solid">
        <fgColor rgb="FF207E72"/>
        <bgColor indexed="64"/>
      </patternFill>
    </fill>
    <fill>
      <patternFill patternType="solid">
        <fgColor rgb="FFEBBB52"/>
        <bgColor indexed="64"/>
      </patternFill>
    </fill>
    <fill>
      <patternFill patternType="solid">
        <fgColor rgb="FF35B193"/>
        <bgColor indexed="64"/>
      </patternFill>
    </fill>
    <fill>
      <patternFill patternType="solid">
        <fgColor rgb="FFF7D169"/>
        <bgColor indexed="64"/>
      </patternFill>
    </fill>
    <fill>
      <patternFill patternType="solid">
        <fgColor rgb="FF208B46"/>
        <bgColor indexed="64"/>
      </patternFill>
    </fill>
    <fill>
      <patternFill patternType="solid">
        <fgColor rgb="FFFEF5CD"/>
        <bgColor indexed="64"/>
      </patternFill>
    </fill>
    <fill>
      <patternFill patternType="solid">
        <fgColor rgb="FF61BB84"/>
        <bgColor indexed="64"/>
      </patternFill>
    </fill>
    <fill>
      <patternFill patternType="solid">
        <fgColor rgb="FFFCAE99"/>
        <bgColor indexed="64"/>
      </patternFill>
    </fill>
    <fill>
      <patternFill patternType="solid">
        <fgColor rgb="FFE3A730"/>
        <bgColor indexed="64"/>
      </patternFill>
    </fill>
    <fill>
      <patternFill patternType="solid">
        <fgColor rgb="FFFEA370"/>
        <bgColor indexed="64"/>
      </patternFill>
    </fill>
    <fill>
      <patternFill patternType="solid">
        <fgColor rgb="FFEF8125"/>
        <bgColor indexed="64"/>
      </patternFill>
    </fill>
    <fill>
      <patternFill patternType="solid">
        <fgColor rgb="FFB16633"/>
        <bgColor indexed="64"/>
      </patternFill>
    </fill>
    <fill>
      <patternFill patternType="solid">
        <fgColor rgb="FFFBAC56"/>
        <bgColor indexed="64"/>
      </patternFill>
    </fill>
    <fill>
      <patternFill patternType="solid">
        <fgColor rgb="FFEAA664"/>
        <bgColor indexed="64"/>
      </patternFill>
    </fill>
    <fill>
      <patternFill patternType="solid">
        <fgColor rgb="FFFDDFA0"/>
        <bgColor indexed="64"/>
      </patternFill>
    </fill>
    <fill>
      <patternFill patternType="solid">
        <fgColor rgb="FFAA7C43"/>
        <bgColor indexed="64"/>
      </patternFill>
    </fill>
    <fill>
      <patternFill patternType="solid">
        <fgColor rgb="FFFDBE8E"/>
        <bgColor indexed="64"/>
      </patternFill>
    </fill>
    <fill>
      <patternFill patternType="solid">
        <fgColor rgb="FFA7671D"/>
        <bgColor indexed="64"/>
      </patternFill>
    </fill>
    <fill>
      <patternFill patternType="solid">
        <fgColor rgb="FF6A2F26"/>
        <bgColor indexed="64"/>
      </patternFill>
    </fill>
    <fill>
      <patternFill patternType="solid">
        <fgColor rgb="FFA94138"/>
        <bgColor indexed="64"/>
      </patternFill>
    </fill>
    <fill>
      <patternFill patternType="solid">
        <fgColor rgb="FF803A32"/>
        <bgColor indexed="64"/>
      </patternFill>
    </fill>
    <fill>
      <patternFill patternType="solid">
        <fgColor rgb="FFC12B52"/>
        <bgColor indexed="64"/>
      </patternFill>
    </fill>
    <fill>
      <patternFill patternType="solid">
        <fgColor rgb="FFBA7A6C"/>
        <bgColor indexed="64"/>
      </patternFill>
    </fill>
    <fill>
      <patternFill patternType="solid">
        <fgColor rgb="FFE36370"/>
        <bgColor indexed="64"/>
      </patternFill>
    </fill>
    <fill>
      <patternFill patternType="solid">
        <fgColor rgb="FF896362"/>
        <bgColor indexed="64"/>
      </patternFill>
    </fill>
    <fill>
      <patternFill patternType="solid">
        <fgColor rgb="FFEA8B96"/>
        <bgColor indexed="64"/>
      </patternFill>
    </fill>
    <fill>
      <patternFill patternType="solid">
        <fgColor rgb="FFAC8583"/>
        <bgColor indexed="64"/>
      </patternFill>
    </fill>
    <fill>
      <patternFill patternType="solid">
        <fgColor rgb="FF6A2258"/>
        <bgColor indexed="64"/>
      </patternFill>
    </fill>
    <fill>
      <patternFill patternType="solid">
        <fgColor rgb="FF6E492A"/>
        <bgColor indexed="64"/>
      </patternFill>
    </fill>
    <fill>
      <patternFill patternType="solid">
        <fgColor rgb="FF924D78"/>
        <bgColor indexed="64"/>
      </patternFill>
    </fill>
    <fill>
      <patternFill patternType="solid">
        <fgColor rgb="FF94725D"/>
        <bgColor indexed="64"/>
      </patternFill>
    </fill>
    <fill>
      <patternFill patternType="solid">
        <fgColor rgb="FFC597B9"/>
        <bgColor indexed="64"/>
      </patternFill>
    </fill>
    <fill>
      <patternFill patternType="solid">
        <fgColor rgb="FFC9AA92"/>
        <bgColor indexed="64"/>
      </patternFill>
    </fill>
    <fill>
      <patternFill patternType="solid">
        <fgColor rgb="FF8A2A8F"/>
        <bgColor indexed="64"/>
      </patternFill>
    </fill>
    <fill>
      <patternFill patternType="solid">
        <fgColor rgb="FFFFFDF9"/>
        <bgColor indexed="64"/>
      </patternFill>
    </fill>
    <fill>
      <patternFill patternType="solid">
        <fgColor rgb="FF606BAD"/>
        <bgColor indexed="64"/>
      </patternFill>
    </fill>
    <fill>
      <patternFill patternType="solid">
        <fgColor rgb="FFF0E6D7"/>
        <bgColor indexed="64"/>
      </patternFill>
    </fill>
    <fill>
      <patternFill patternType="solid">
        <fgColor rgb="FFEFEEF0"/>
        <bgColor indexed="64"/>
      </patternFill>
    </fill>
    <fill>
      <patternFill patternType="solid">
        <fgColor rgb="FFC5C4C9"/>
        <bgColor indexed="64"/>
      </patternFill>
    </fill>
    <fill>
      <patternFill patternType="solid">
        <fgColor rgb="FFB0B0B5"/>
        <bgColor indexed="64"/>
      </patternFill>
    </fill>
    <fill>
      <patternFill patternType="solid">
        <fgColor rgb="FF9C9B9D"/>
        <bgColor indexed="64"/>
      </patternFill>
    </fill>
    <fill>
      <patternFill patternType="solid">
        <fgColor rgb="FFE3CCBE"/>
        <bgColor indexed="64"/>
      </patternFill>
    </fill>
    <fill>
      <patternFill patternType="solid">
        <fgColor rgb="FFDCC6B8"/>
        <bgColor indexed="64"/>
      </patternFill>
    </fill>
    <fill>
      <patternFill patternType="solid">
        <fgColor rgb="FF9D7D71"/>
        <bgColor indexed="64"/>
      </patternFill>
    </fill>
    <fill>
      <patternFill patternType="solid">
        <fgColor rgb="FF552014"/>
        <bgColor indexed="64"/>
      </patternFill>
    </fill>
    <fill>
      <patternFill patternType="solid">
        <fgColor rgb="FFEDFED9"/>
        <bgColor indexed="64"/>
      </patternFill>
    </fill>
    <fill>
      <patternFill patternType="solid">
        <fgColor rgb="FFE2EDB5"/>
        <bgColor indexed="64"/>
      </patternFill>
    </fill>
    <fill>
      <patternFill patternType="solid">
        <fgColor rgb="FFCDD99A"/>
        <bgColor indexed="64"/>
      </patternFill>
    </fill>
    <fill>
      <patternFill patternType="solid">
        <fgColor rgb="FFBFF6E0"/>
        <bgColor indexed="64"/>
      </patternFill>
    </fill>
    <fill>
      <patternFill patternType="solid">
        <fgColor rgb="FFD0FBB2"/>
        <bgColor indexed="64"/>
      </patternFill>
    </fill>
    <fill>
      <patternFill patternType="solid">
        <fgColor rgb="FFD1EDA4"/>
        <bgColor indexed="64"/>
      </patternFill>
    </fill>
    <fill>
      <patternFill patternType="solid">
        <fgColor rgb="FFA4D67C"/>
        <bgColor indexed="64"/>
      </patternFill>
    </fill>
    <fill>
      <patternFill patternType="solid">
        <fgColor rgb="FFE5E272"/>
        <bgColor indexed="64"/>
      </patternFill>
    </fill>
    <fill>
      <patternFill patternType="solid">
        <fgColor rgb="FFD9D56D"/>
        <bgColor indexed="64"/>
      </patternFill>
    </fill>
    <fill>
      <patternFill patternType="solid">
        <fgColor rgb="FFF7C95F"/>
        <bgColor indexed="64"/>
      </patternFill>
    </fill>
    <fill>
      <patternFill patternType="solid">
        <fgColor rgb="FFF7AF93"/>
        <bgColor indexed="64"/>
      </patternFill>
    </fill>
    <fill>
      <patternFill patternType="solid">
        <fgColor rgb="FFD79982"/>
        <bgColor indexed="64"/>
      </patternFill>
    </fill>
    <fill>
      <patternFill patternType="solid">
        <fgColor rgb="FFBC604E"/>
        <bgColor indexed="64"/>
      </patternFill>
    </fill>
    <fill>
      <patternFill patternType="solid">
        <fgColor rgb="FFEDE2ED"/>
        <bgColor indexed="64"/>
      </patternFill>
    </fill>
    <fill>
      <patternFill patternType="solid">
        <fgColor rgb="FFE0D7EE"/>
        <bgColor indexed="64"/>
      </patternFill>
    </fill>
    <fill>
      <patternFill patternType="solid">
        <fgColor rgb="FFDAD2E9"/>
        <bgColor indexed="64"/>
      </patternFill>
    </fill>
    <fill>
      <patternFill patternType="solid">
        <fgColor rgb="FFCFC8DE"/>
        <bgColor indexed="64"/>
      </patternFill>
    </fill>
    <fill>
      <patternFill patternType="solid">
        <fgColor rgb="FFE9ECFC"/>
        <bgColor indexed="64"/>
      </patternFill>
    </fill>
    <fill>
      <patternFill patternType="solid">
        <fgColor rgb="FF7D4E92"/>
        <bgColor indexed="64"/>
      </patternFill>
    </fill>
    <fill>
      <patternFill patternType="solid">
        <fgColor rgb="FF674076"/>
        <bgColor indexed="64"/>
      </patternFill>
    </fill>
    <fill>
      <patternFill patternType="solid">
        <fgColor rgb="FF6D54D3"/>
        <bgColor indexed="64"/>
      </patternFill>
    </fill>
    <fill>
      <patternFill patternType="solid">
        <fgColor rgb="FF5834A3"/>
        <bgColor indexed="64"/>
      </patternFill>
    </fill>
    <fill>
      <patternFill patternType="solid">
        <fgColor rgb="FF4D2E8A"/>
        <bgColor indexed="64"/>
      </patternFill>
    </fill>
    <fill>
      <patternFill patternType="solid">
        <fgColor rgb="FFD9539F"/>
        <bgColor indexed="64"/>
      </patternFill>
    </fill>
    <fill>
      <patternFill patternType="solid">
        <fgColor rgb="FFAE4280"/>
        <bgColor indexed="64"/>
      </patternFill>
    </fill>
    <fill>
      <patternFill patternType="solid">
        <fgColor rgb="FF732B55"/>
        <bgColor indexed="64"/>
      </patternFill>
    </fill>
    <fill>
      <patternFill patternType="solid">
        <fgColor rgb="FFFB4B7C"/>
        <bgColor indexed="64"/>
      </patternFill>
    </fill>
    <fill>
      <patternFill patternType="solid">
        <fgColor rgb="FF338362"/>
        <bgColor indexed="64"/>
      </patternFill>
    </fill>
    <fill>
      <patternFill patternType="solid">
        <fgColor rgb="FF06EC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EABD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A500"/>
        <bgColor indexed="64"/>
      </patternFill>
    </fill>
    <fill>
      <patternFill patternType="solid">
        <fgColor rgb="FFE4446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16B44"/>
        <bgColor indexed="64"/>
      </patternFill>
    </fill>
    <fill>
      <patternFill patternType="solid">
        <fgColor rgb="FF0D275D"/>
        <bgColor indexed="64"/>
      </patternFill>
    </fill>
    <fill>
      <patternFill patternType="solid">
        <fgColor rgb="FF8E5231"/>
        <bgColor indexed="64"/>
      </patternFill>
    </fill>
    <fill>
      <patternFill patternType="solid">
        <fgColor rgb="FF5A6631"/>
        <bgColor indexed="64"/>
      </patternFill>
    </fill>
    <fill>
      <patternFill patternType="solid">
        <fgColor rgb="FF2E5447"/>
        <bgColor indexed="64"/>
      </patternFill>
    </fill>
    <fill>
      <patternFill patternType="solid">
        <fgColor rgb="FFA348AC"/>
        <bgColor indexed="64"/>
      </patternFill>
    </fill>
    <fill>
      <patternFill patternType="solid">
        <fgColor rgb="FFCF1B32"/>
        <bgColor indexed="64"/>
      </patternFill>
    </fill>
    <fill>
      <patternFill patternType="solid">
        <fgColor rgb="FFEDBF7E"/>
        <bgColor indexed="64"/>
      </patternFill>
    </fill>
    <fill>
      <patternFill patternType="solid">
        <fgColor rgb="FFDB4B9E"/>
        <bgColor indexed="64"/>
      </patternFill>
    </fill>
    <fill>
      <patternFill patternType="solid">
        <fgColor rgb="FFA6E4D5"/>
        <bgColor indexed="64"/>
      </patternFill>
    </fill>
    <fill>
      <patternFill patternType="solid">
        <fgColor rgb="FF92A0AF"/>
        <bgColor indexed="64"/>
      </patternFill>
    </fill>
    <fill>
      <patternFill patternType="solid">
        <fgColor rgb="FF95085B"/>
        <bgColor indexed="64"/>
      </patternFill>
    </fill>
    <fill>
      <patternFill patternType="solid">
        <fgColor rgb="FFF3DEB9"/>
        <bgColor indexed="64"/>
      </patternFill>
    </fill>
    <fill>
      <patternFill patternType="solid">
        <fgColor rgb="FFE1B883"/>
        <bgColor indexed="64"/>
      </patternFill>
    </fill>
    <fill>
      <patternFill patternType="solid">
        <fgColor rgb="FFD00153"/>
        <bgColor indexed="64"/>
      </patternFill>
    </fill>
    <fill>
      <patternFill patternType="solid">
        <fgColor rgb="FFF0FF00"/>
        <bgColor indexed="64"/>
      </patternFill>
    </fill>
    <fill>
      <patternFill patternType="solid">
        <fgColor rgb="FF00F1B0"/>
        <bgColor indexed="64"/>
      </patternFill>
    </fill>
    <fill>
      <patternFill patternType="solid">
        <fgColor rgb="FFFF3667"/>
        <bgColor indexed="64"/>
      </patternFill>
    </fill>
    <fill>
      <patternFill patternType="solid">
        <fgColor rgb="FFBC23A2"/>
        <bgColor indexed="64"/>
      </patternFill>
    </fill>
    <fill>
      <patternFill patternType="solid">
        <fgColor rgb="FF5E59B9"/>
        <bgColor indexed="64"/>
      </patternFill>
    </fill>
    <fill>
      <patternFill patternType="solid">
        <fgColor rgb="FFFF8F5F"/>
        <bgColor indexed="64"/>
      </patternFill>
    </fill>
    <fill>
      <patternFill patternType="solid">
        <fgColor rgb="FFFF3697"/>
        <bgColor indexed="64"/>
      </patternFill>
    </fill>
    <fill>
      <patternFill patternType="solid">
        <fgColor rgb="FFFF5E00"/>
        <bgColor indexed="64"/>
      </patternFill>
    </fill>
    <fill>
      <patternFill patternType="solid">
        <fgColor rgb="FF32CFFF"/>
        <bgColor indexed="64"/>
      </patternFill>
    </fill>
    <fill>
      <patternFill patternType="solid">
        <fgColor rgb="FF9256A2"/>
        <bgColor indexed="64"/>
      </patternFill>
    </fill>
    <fill>
      <patternFill patternType="solid">
        <fgColor rgb="FFFDD5D0"/>
        <bgColor rgb="FFFDD5D0"/>
      </patternFill>
    </fill>
    <fill>
      <patternFill patternType="solid">
        <fgColor rgb="FFFD95A3"/>
        <bgColor rgb="FFFD95A3"/>
      </patternFill>
    </fill>
    <fill>
      <patternFill patternType="solid">
        <fgColor rgb="FFEDE2ED"/>
        <bgColor rgb="FFEDE2ED"/>
      </patternFill>
    </fill>
    <fill>
      <patternFill patternType="solid">
        <fgColor rgb="FFDCA6A4"/>
        <bgColor rgb="FFDCA6A4"/>
      </patternFill>
    </fill>
    <fill>
      <patternFill patternType="solid">
        <fgColor rgb="FFCFC2C9"/>
        <bgColor rgb="FFCFC2C9"/>
      </patternFill>
    </fill>
    <fill>
      <patternFill patternType="solid">
        <fgColor rgb="FFB2BDEA"/>
        <bgColor rgb="FFB2BDEA"/>
      </patternFill>
    </fill>
    <fill>
      <patternFill patternType="solid">
        <fgColor rgb="FFBCB5DE"/>
        <bgColor rgb="FFBCB5DE"/>
      </patternFill>
    </fill>
    <fill>
      <patternFill patternType="solid">
        <fgColor rgb="FFC3D7E6"/>
        <bgColor rgb="FFC3D7E6"/>
      </patternFill>
    </fill>
    <fill>
      <patternFill patternType="solid">
        <fgColor rgb="FFA5E4D4"/>
        <bgColor rgb="FFA5E4D4"/>
      </patternFill>
    </fill>
    <fill>
      <patternFill patternType="solid">
        <fgColor rgb="FFA8EBAD"/>
        <bgColor rgb="FFA8EBAD"/>
      </patternFill>
    </fill>
    <fill>
      <patternFill patternType="solid">
        <fgColor rgb="FFD0FBB2"/>
        <bgColor rgb="FFD0FBB2"/>
      </patternFill>
    </fill>
    <fill>
      <patternFill patternType="solid">
        <fgColor rgb="FFEDFED9"/>
        <bgColor rgb="FFEDFED9"/>
      </patternFill>
    </fill>
    <fill>
      <patternFill patternType="solid">
        <fgColor rgb="FFE5E272"/>
        <bgColor rgb="FFE5E272"/>
      </patternFill>
    </fill>
    <fill>
      <patternFill patternType="solid">
        <fgColor rgb="FFECBF7D"/>
        <bgColor rgb="FFECBF7D"/>
      </patternFill>
    </fill>
    <fill>
      <patternFill patternType="solid">
        <fgColor rgb="FFFCF999"/>
        <bgColor rgb="FFFCF999"/>
      </patternFill>
    </fill>
    <fill>
      <patternFill patternType="solid">
        <fgColor rgb="FFFADDB6"/>
        <bgColor rgb="FFFADDB6"/>
      </patternFill>
    </fill>
    <fill>
      <patternFill patternType="solid">
        <fgColor rgb="FFFDE6D3"/>
        <bgColor rgb="FFFDE6D3"/>
      </patternFill>
    </fill>
    <fill>
      <patternFill patternType="solid">
        <fgColor rgb="FFCCB8AA"/>
        <bgColor rgb="FFCCB8AA"/>
      </patternFill>
    </fill>
    <fill>
      <patternFill patternType="solid">
        <fgColor rgb="FFFFFDF9"/>
        <bgColor rgb="FFFFFDF9"/>
      </patternFill>
    </fill>
    <fill>
      <patternFill patternType="solid">
        <fgColor rgb="FFD2D2CA"/>
        <bgColor rgb="FFD2D2CA"/>
      </patternFill>
    </fill>
    <fill>
      <patternFill patternType="solid">
        <fgColor rgb="FFF8B4AD"/>
        <bgColor rgb="FFF8B4AD"/>
      </patternFill>
    </fill>
    <fill>
      <patternFill patternType="solid">
        <fgColor rgb="FFF66879"/>
        <bgColor rgb="FFF66879"/>
      </patternFill>
    </fill>
    <fill>
      <patternFill patternType="solid">
        <fgColor rgb="FFF8BBC8"/>
        <bgColor rgb="FFF8BBC8"/>
      </patternFill>
    </fill>
    <fill>
      <patternFill patternType="solid">
        <fgColor rgb="FFDA9EA6"/>
        <bgColor rgb="FFDA9EA6"/>
      </patternFill>
    </fill>
    <fill>
      <patternFill patternType="solid">
        <fgColor rgb="FFAF98A0"/>
        <bgColor rgb="FFAF98A0"/>
      </patternFill>
    </fill>
    <fill>
      <patternFill patternType="solid">
        <fgColor rgb="FF7A7EC5"/>
        <bgColor rgb="FF7A7EC5"/>
      </patternFill>
    </fill>
    <fill>
      <patternFill patternType="solid">
        <fgColor rgb="FF8178A9"/>
        <bgColor rgb="FF8178A9"/>
      </patternFill>
    </fill>
    <fill>
      <patternFill patternType="solid">
        <fgColor rgb="FFB1D0DF"/>
        <bgColor rgb="FFB1D0DF"/>
      </patternFill>
    </fill>
    <fill>
      <patternFill patternType="solid">
        <fgColor rgb="FF72D0B7"/>
        <bgColor rgb="FF72D0B7"/>
      </patternFill>
    </fill>
    <fill>
      <patternFill patternType="solid">
        <fgColor rgb="FFBFF6E0"/>
        <bgColor rgb="FFBFF6E0"/>
      </patternFill>
    </fill>
    <fill>
      <patternFill patternType="solid">
        <fgColor rgb="FFD1EDA4"/>
        <bgColor rgb="FFD1EDA4"/>
      </patternFill>
    </fill>
    <fill>
      <patternFill patternType="solid">
        <fgColor rgb="FFE2EDB5"/>
        <bgColor rgb="FFE2EDB5"/>
      </patternFill>
    </fill>
    <fill>
      <patternFill patternType="solid">
        <fgColor rgb="FFD9D56D"/>
        <bgColor rgb="FFD9D56D"/>
      </patternFill>
    </fill>
    <fill>
      <patternFill patternType="solid">
        <fgColor rgb="FFCE9657"/>
        <bgColor rgb="FFCE9657"/>
      </patternFill>
    </fill>
    <fill>
      <patternFill patternType="solid">
        <fgColor rgb="FFFDE949"/>
        <bgColor rgb="FFFDE949"/>
      </patternFill>
    </fill>
    <fill>
      <patternFill patternType="solid">
        <fgColor rgb="FFFDBE8E"/>
        <bgColor rgb="FFFDBE8E"/>
      </patternFill>
    </fill>
    <fill>
      <patternFill patternType="solid">
        <fgColor rgb="FFF7C9B0"/>
        <bgColor rgb="FFF7C9B0"/>
      </patternFill>
    </fill>
    <fill>
      <patternFill patternType="solid">
        <fgColor rgb="FFAD9994"/>
        <bgColor rgb="FFAD9994"/>
      </patternFill>
    </fill>
    <fill>
      <patternFill patternType="solid">
        <fgColor rgb="FFFFF7E7"/>
        <bgColor rgb="FFFFF7E7"/>
      </patternFill>
    </fill>
    <fill>
      <patternFill patternType="solid">
        <fgColor rgb="FF908E85"/>
        <bgColor rgb="FF908E85"/>
      </patternFill>
    </fill>
    <fill>
      <patternFill patternType="solid">
        <fgColor rgb="FFEC8880"/>
        <bgColor rgb="FFEC8880"/>
      </patternFill>
    </fill>
    <fill>
      <patternFill patternType="solid">
        <fgColor rgb="FFF44753"/>
        <bgColor rgb="FFF44753"/>
      </patternFill>
    </fill>
    <fill>
      <patternFill patternType="solid">
        <fgColor rgb="FFDC7C86"/>
        <bgColor rgb="FFDC7C86"/>
      </patternFill>
    </fill>
    <fill>
      <patternFill patternType="solid">
        <fgColor rgb="FFBC757F"/>
        <bgColor rgb="FFBC757F"/>
      </patternFill>
    </fill>
    <fill>
      <patternFill patternType="solid">
        <fgColor rgb="FF866A76"/>
        <bgColor rgb="FF866A76"/>
      </patternFill>
    </fill>
    <fill>
      <patternFill patternType="solid">
        <fgColor rgb="FF606BAD"/>
        <bgColor rgb="FF606BAD"/>
      </patternFill>
    </fill>
    <fill>
      <patternFill patternType="solid">
        <fgColor rgb="FF60568B"/>
        <bgColor rgb="FF60568B"/>
      </patternFill>
    </fill>
    <fill>
      <patternFill patternType="solid">
        <fgColor rgb="FF94B7CB"/>
        <bgColor rgb="FF94B7CB"/>
      </patternFill>
    </fill>
    <fill>
      <patternFill patternType="solid">
        <fgColor rgb="FF0DB294"/>
        <bgColor rgb="FF0DB294"/>
      </patternFill>
    </fill>
    <fill>
      <patternFill patternType="solid">
        <fgColor rgb="FF6FDA8A"/>
        <bgColor rgb="FF6FDA8A"/>
      </patternFill>
    </fill>
    <fill>
      <patternFill patternType="solid">
        <fgColor rgb="FFA4D67C"/>
        <bgColor rgb="FFA4D67C"/>
      </patternFill>
    </fill>
    <fill>
      <patternFill patternType="solid">
        <fgColor rgb="FFCDD99A"/>
        <bgColor rgb="FFCDD99A"/>
      </patternFill>
    </fill>
    <fill>
      <patternFill patternType="solid">
        <fgColor rgb="FFD2B468"/>
        <bgColor rgb="FFD2B468"/>
      </patternFill>
    </fill>
    <fill>
      <patternFill patternType="solid">
        <fgColor rgb="FFB07B46"/>
        <bgColor rgb="FFB07B46"/>
      </patternFill>
    </fill>
    <fill>
      <patternFill patternType="solid">
        <fgColor rgb="FFFCCD2D"/>
        <bgColor rgb="FFFCCD2D"/>
      </patternFill>
    </fill>
    <fill>
      <patternFill patternType="solid">
        <fgColor rgb="FFF98756"/>
        <bgColor rgb="FFF98756"/>
      </patternFill>
    </fill>
    <fill>
      <patternFill patternType="solid">
        <fgColor rgb="FFE8AC9B"/>
        <bgColor rgb="FFE8AC9B"/>
      </patternFill>
    </fill>
    <fill>
      <patternFill patternType="solid">
        <fgColor rgb="FF887773"/>
        <bgColor rgb="FF887773"/>
      </patternFill>
    </fill>
    <fill>
      <patternFill patternType="solid">
        <fgColor rgb="FFE8DFC7"/>
        <bgColor rgb="FFE8DFC7"/>
      </patternFill>
    </fill>
    <fill>
      <patternFill patternType="solid">
        <fgColor rgb="FFA29B86"/>
        <bgColor rgb="FFA29B86"/>
      </patternFill>
    </fill>
    <fill>
      <patternFill patternType="solid">
        <fgColor rgb="FFD95D5D"/>
        <bgColor rgb="FFD95D5D"/>
      </patternFill>
    </fill>
    <fill>
      <patternFill patternType="solid">
        <fgColor rgb="FFEE3246"/>
        <bgColor rgb="FFEE3246"/>
      </patternFill>
    </fill>
    <fill>
      <patternFill patternType="solid">
        <fgColor rgb="FFB5455D"/>
        <bgColor rgb="FFB5455D"/>
      </patternFill>
    </fill>
    <fill>
      <patternFill patternType="solid">
        <fgColor rgb="FF95565C"/>
        <bgColor rgb="FF95565C"/>
      </patternFill>
    </fill>
    <fill>
      <patternFill patternType="solid">
        <fgColor rgb="FF71535D"/>
        <bgColor rgb="FF71535D"/>
      </patternFill>
    </fill>
    <fill>
      <patternFill patternType="solid">
        <fgColor rgb="FFB5C7E9"/>
        <bgColor rgb="FFB5C7E9"/>
      </patternFill>
    </fill>
    <fill>
      <patternFill patternType="solid">
        <fgColor rgb="FFE9F4FA"/>
        <bgColor rgb="FFE9F4FA"/>
      </patternFill>
    </fill>
    <fill>
      <patternFill patternType="solid">
        <fgColor rgb="FF50819C"/>
        <bgColor rgb="FF50819C"/>
      </patternFill>
    </fill>
    <fill>
      <patternFill patternType="solid">
        <fgColor rgb="FF07A184"/>
        <bgColor rgb="FF07A184"/>
      </patternFill>
    </fill>
    <fill>
      <patternFill patternType="solid">
        <fgColor rgb="FF55CA7D"/>
        <bgColor rgb="FF55CA7D"/>
      </patternFill>
    </fill>
    <fill>
      <patternFill patternType="solid">
        <fgColor rgb="FF88C53A"/>
        <bgColor rgb="FF88C53A"/>
      </patternFill>
    </fill>
    <fill>
      <patternFill patternType="solid">
        <fgColor rgb="FFE1F477"/>
        <bgColor rgb="FFE1F477"/>
      </patternFill>
    </fill>
    <fill>
      <patternFill patternType="solid">
        <fgColor rgb="FFB99956"/>
        <bgColor rgb="FFB99956"/>
      </patternFill>
    </fill>
    <fill>
      <patternFill patternType="solid">
        <fgColor rgb="FFA7671D"/>
        <bgColor rgb="FFA7671D"/>
      </patternFill>
    </fill>
    <fill>
      <patternFill patternType="solid">
        <fgColor rgb="FFF5BC13"/>
        <bgColor rgb="FFF5BC13"/>
      </patternFill>
    </fill>
    <fill>
      <patternFill patternType="solid">
        <fgColor rgb="FFF46440"/>
        <bgColor rgb="FFF46440"/>
      </patternFill>
    </fill>
    <fill>
      <patternFill patternType="solid">
        <fgColor rgb="FFE99F83"/>
        <bgColor rgb="FFE99F83"/>
      </patternFill>
    </fill>
    <fill>
      <patternFill patternType="solid">
        <fgColor rgb="FFAC8583"/>
        <bgColor rgb="FFAC8583"/>
      </patternFill>
    </fill>
    <fill>
      <patternFill patternType="solid">
        <fgColor rgb="FFC4BEA6"/>
        <bgColor rgb="FFC4BEA6"/>
      </patternFill>
    </fill>
    <fill>
      <patternFill patternType="solid">
        <fgColor rgb="FF848274"/>
        <bgColor rgb="FF848274"/>
      </patternFill>
    </fill>
    <fill>
      <patternFill patternType="solid">
        <fgColor rgb="FFBE444A"/>
        <bgColor rgb="FFBE444A"/>
      </patternFill>
    </fill>
    <fill>
      <patternFill patternType="solid">
        <fgColor rgb="FFFEDEDD"/>
        <bgColor rgb="FFFEDEDD"/>
      </patternFill>
    </fill>
    <fill>
      <patternFill patternType="solid">
        <fgColor rgb="FF872A43"/>
        <bgColor rgb="FF872A43"/>
      </patternFill>
    </fill>
    <fill>
      <patternFill patternType="solid">
        <fgColor rgb="FF7D4246"/>
        <bgColor rgb="FF7D4246"/>
      </patternFill>
    </fill>
    <fill>
      <patternFill patternType="solid">
        <fgColor rgb="FFE9ECFC"/>
        <bgColor rgb="FFE9ECFC"/>
      </patternFill>
    </fill>
    <fill>
      <patternFill patternType="solid">
        <fgColor rgb="FF919FD5"/>
        <bgColor rgb="FF919FD5"/>
      </patternFill>
    </fill>
    <fill>
      <patternFill patternType="solid">
        <fgColor rgb="FFD4E3EF"/>
        <bgColor rgb="FFD4E3EF"/>
      </patternFill>
    </fill>
    <fill>
      <patternFill patternType="solid">
        <fgColor rgb="FF467293"/>
        <bgColor rgb="FF467293"/>
      </patternFill>
    </fill>
    <fill>
      <patternFill patternType="solid">
        <fgColor rgb="FF61BB84"/>
        <bgColor rgb="FF61BB84"/>
      </patternFill>
    </fill>
    <fill>
      <patternFill patternType="solid">
        <fgColor rgb="FF36B26B"/>
        <bgColor rgb="FF36B26B"/>
      </patternFill>
    </fill>
    <fill>
      <patternFill patternType="solid">
        <fgColor rgb="FF63B330"/>
        <bgColor rgb="FF63B330"/>
      </patternFill>
    </fill>
    <fill>
      <patternFill patternType="solid">
        <fgColor rgb="FFCCC959"/>
        <bgColor rgb="FFCCC959"/>
      </patternFill>
    </fill>
    <fill>
      <patternFill patternType="solid">
        <fgColor rgb="FF9C7230"/>
        <bgColor rgb="FF9C7230"/>
      </patternFill>
    </fill>
    <fill>
      <patternFill patternType="solid">
        <fgColor rgb="FFF7D169"/>
        <bgColor rgb="FFF7D169"/>
      </patternFill>
    </fill>
    <fill>
      <patternFill patternType="solid">
        <fgColor rgb="FFFCF6B6"/>
        <bgColor rgb="FFFCF6B6"/>
      </patternFill>
    </fill>
    <fill>
      <patternFill patternType="solid">
        <fgColor rgb="FFC83A24"/>
        <bgColor rgb="FFC83A24"/>
      </patternFill>
    </fill>
    <fill>
      <patternFill patternType="solid">
        <fgColor rgb="FFD2705C"/>
        <bgColor rgb="FFD2705C"/>
      </patternFill>
    </fill>
    <fill>
      <patternFill patternType="solid">
        <fgColor rgb="FF896362"/>
        <bgColor rgb="FF896362"/>
      </patternFill>
    </fill>
    <fill>
      <patternFill patternType="solid">
        <fgColor rgb="FF958D79"/>
        <bgColor rgb="FF958D79"/>
      </patternFill>
    </fill>
    <fill>
      <patternFill patternType="solid">
        <fgColor rgb="FFBEB8AC"/>
        <bgColor rgb="FFBEB8AC"/>
      </patternFill>
    </fill>
    <fill>
      <patternFill patternType="solid">
        <fgColor rgb="FFAB1B33"/>
        <bgColor rgb="FFAB1B33"/>
      </patternFill>
    </fill>
    <fill>
      <patternFill patternType="solid">
        <fgColor rgb="FFFD99AF"/>
        <bgColor rgb="FFFD99AF"/>
      </patternFill>
    </fill>
    <fill>
      <patternFill patternType="solid">
        <fgColor rgb="FF79263B"/>
        <bgColor rgb="FF79263B"/>
      </patternFill>
    </fill>
    <fill>
      <patternFill patternType="solid">
        <fgColor rgb="FF672A33"/>
        <bgColor rgb="FF672A33"/>
      </patternFill>
    </fill>
    <fill>
      <patternFill patternType="solid">
        <fgColor rgb="FF7D4E92"/>
        <bgColor rgb="FF7D4E92"/>
      </patternFill>
    </fill>
    <fill>
      <patternFill patternType="solid">
        <fgColor rgb="FF6B7FC0"/>
        <bgColor rgb="FF6B7FC0"/>
      </patternFill>
    </fill>
    <fill>
      <patternFill patternType="solid">
        <fgColor rgb="FFD9EAF2"/>
        <bgColor rgb="FFD9EAF2"/>
      </patternFill>
    </fill>
    <fill>
      <patternFill patternType="solid">
        <fgColor rgb="FF216285"/>
        <bgColor rgb="FF216285"/>
      </patternFill>
    </fill>
    <fill>
      <patternFill patternType="solid">
        <fgColor rgb="FF009A77"/>
        <bgColor rgb="FF009A77"/>
      </patternFill>
    </fill>
    <fill>
      <patternFill patternType="solid">
        <fgColor rgb="FF109256"/>
        <bgColor rgb="FF109256"/>
      </patternFill>
    </fill>
    <fill>
      <patternFill patternType="solid">
        <fgColor rgb="FF379130"/>
        <bgColor rgb="FF379130"/>
      </patternFill>
    </fill>
    <fill>
      <patternFill patternType="solid">
        <fgColor rgb="FFADC238"/>
        <bgColor rgb="FFADC238"/>
      </patternFill>
    </fill>
    <fill>
      <patternFill patternType="solid">
        <fgColor rgb="FF7C5F20"/>
        <bgColor rgb="FF7C5F20"/>
      </patternFill>
    </fill>
    <fill>
      <patternFill patternType="solid">
        <fgColor rgb="FFEBBB52"/>
        <bgColor rgb="FFEBBB52"/>
      </patternFill>
    </fill>
    <fill>
      <patternFill patternType="solid">
        <fgColor rgb="FFFDE98B"/>
        <bgColor rgb="FFFDE98B"/>
      </patternFill>
    </fill>
    <fill>
      <patternFill patternType="solid">
        <fgColor rgb="FFFEA370"/>
        <bgColor rgb="FFFEA370"/>
      </patternFill>
    </fill>
    <fill>
      <patternFill patternType="solid">
        <fgColor rgb="FFBE5C4B"/>
        <bgColor rgb="FFBE5C4B"/>
      </patternFill>
    </fill>
    <fill>
      <patternFill patternType="solid">
        <fgColor rgb="FF53332D"/>
        <bgColor rgb="FF53332D"/>
      </patternFill>
    </fill>
    <fill>
      <patternFill patternType="solid">
        <fgColor rgb="FF817868"/>
        <bgColor rgb="FF817868"/>
      </patternFill>
    </fill>
    <fill>
      <patternFill patternType="solid">
        <fgColor rgb="FFA7A69F"/>
        <bgColor rgb="FFA7A69F"/>
      </patternFill>
    </fill>
    <fill>
      <patternFill patternType="solid">
        <fgColor rgb="FFFDB4A1"/>
        <bgColor rgb="FFFDB4A1"/>
      </patternFill>
    </fill>
    <fill>
      <patternFill patternType="solid">
        <fgColor rgb="FFF7566D"/>
        <bgColor rgb="FFF7566D"/>
      </patternFill>
    </fill>
    <fill>
      <patternFill patternType="solid">
        <fgColor rgb="FFFBACC4"/>
        <bgColor rgb="FFFBACC4"/>
      </patternFill>
    </fill>
    <fill>
      <patternFill patternType="solid">
        <fgColor rgb="FF651329"/>
        <bgColor rgb="FF651329"/>
      </patternFill>
    </fill>
    <fill>
      <patternFill patternType="solid">
        <fgColor rgb="FF674076"/>
        <bgColor rgb="FF674076"/>
      </patternFill>
    </fill>
    <fill>
      <patternFill patternType="solid">
        <fgColor rgb="FF4E5CA7"/>
        <bgColor rgb="FF4E5CA7"/>
      </patternFill>
    </fill>
    <fill>
      <patternFill patternType="solid">
        <fgColor rgb="FFADCDE7"/>
        <bgColor rgb="FFADCDE7"/>
      </patternFill>
    </fill>
    <fill>
      <patternFill patternType="solid">
        <fgColor rgb="FF06506A"/>
        <bgColor rgb="FF06506A"/>
      </patternFill>
    </fill>
    <fill>
      <patternFill patternType="solid">
        <fgColor rgb="FF208B46"/>
        <bgColor rgb="FF208B46"/>
      </patternFill>
    </fill>
    <fill>
      <patternFill patternType="solid">
        <fgColor rgb="FF10814E"/>
        <bgColor rgb="FF10814E"/>
      </patternFill>
    </fill>
    <fill>
      <patternFill patternType="solid">
        <fgColor rgb="FF217C36"/>
        <bgColor rgb="FF217C36"/>
      </patternFill>
    </fill>
    <fill>
      <patternFill patternType="solid">
        <fgColor rgb="FF838A29"/>
        <bgColor rgb="FF838A29"/>
      </patternFill>
    </fill>
    <fill>
      <patternFill patternType="solid">
        <fgColor rgb="FF6E501D"/>
        <bgColor rgb="FF6E501D"/>
      </patternFill>
    </fill>
    <fill>
      <patternFill patternType="solid">
        <fgColor rgb="FFDBA53E"/>
        <bgColor rgb="FFDBA53E"/>
      </patternFill>
    </fill>
    <fill>
      <patternFill patternType="solid">
        <fgColor rgb="FFFDDB63"/>
        <bgColor rgb="FFFDDB63"/>
      </patternFill>
    </fill>
    <fill>
      <patternFill patternType="solid">
        <fgColor rgb="FFDD6E4C"/>
        <bgColor rgb="FFDD6E4C"/>
      </patternFill>
    </fill>
    <fill>
      <patternFill patternType="solid">
        <fgColor rgb="FFA94138"/>
        <bgColor rgb="FFA94138"/>
      </patternFill>
    </fill>
    <fill>
      <patternFill patternType="solid">
        <fgColor rgb="FF552014"/>
        <bgColor rgb="FF552014"/>
      </patternFill>
    </fill>
    <fill>
      <patternFill patternType="solid">
        <fgColor rgb="FF62524C"/>
        <bgColor rgb="FF62524C"/>
      </patternFill>
    </fill>
    <fill>
      <patternFill patternType="solid">
        <fgColor rgb="FF6B6860"/>
        <bgColor rgb="FF6B6860"/>
      </patternFill>
    </fill>
    <fill>
      <patternFill patternType="solid">
        <fgColor rgb="FFF78372"/>
        <bgColor rgb="FFF78372"/>
      </patternFill>
    </fill>
    <fill>
      <patternFill patternType="solid">
        <fgColor rgb="FFFDA0AE"/>
        <bgColor rgb="FFFDA0AE"/>
      </patternFill>
    </fill>
    <fill>
      <patternFill patternType="solid">
        <fgColor rgb="FFF793B2"/>
        <bgColor rgb="FFF793B2"/>
      </patternFill>
    </fill>
    <fill>
      <patternFill patternType="solid">
        <fgColor rgb="FFC597B9"/>
        <bgColor rgb="FFC597B9"/>
      </patternFill>
    </fill>
    <fill>
      <patternFill patternType="solid">
        <fgColor rgb="FFD0C5EC"/>
        <bgColor rgb="FFD0C5EC"/>
      </patternFill>
    </fill>
    <fill>
      <patternFill patternType="solid">
        <fgColor rgb="FF2B3288"/>
        <bgColor rgb="FF2B3288"/>
      </patternFill>
    </fill>
    <fill>
      <patternFill patternType="solid">
        <fgColor rgb="FF81A5D8"/>
        <bgColor rgb="FF81A5D8"/>
      </patternFill>
    </fill>
    <fill>
      <patternFill patternType="solid">
        <fgColor rgb="FF002A64"/>
        <bgColor rgb="FF002A64"/>
      </patternFill>
    </fill>
    <fill>
      <patternFill patternType="solid">
        <fgColor rgb="FF62D8B6"/>
        <bgColor rgb="FF62D8B6"/>
      </patternFill>
    </fill>
    <fill>
      <patternFill patternType="solid">
        <fgColor rgb="FF106B43"/>
        <bgColor rgb="FF106B43"/>
      </patternFill>
    </fill>
    <fill>
      <patternFill patternType="solid">
        <fgColor rgb="FF076C34"/>
        <bgColor rgb="FF076C34"/>
      </patternFill>
    </fill>
    <fill>
      <patternFill patternType="solid">
        <fgColor rgb="FF355F0B"/>
        <bgColor rgb="FF355F0B"/>
      </patternFill>
    </fill>
    <fill>
      <patternFill patternType="solid">
        <fgColor rgb="FF64480C"/>
        <bgColor rgb="FF64480C"/>
      </patternFill>
    </fill>
    <fill>
      <patternFill patternType="solid">
        <fgColor rgb="FFE3A730"/>
        <bgColor rgb="FFE3A730"/>
      </patternFill>
    </fill>
    <fill>
      <patternFill patternType="solid">
        <fgColor rgb="FFF9C15B"/>
        <bgColor rgb="FFF9C15B"/>
      </patternFill>
    </fill>
    <fill>
      <patternFill patternType="solid">
        <fgColor rgb="FFC0573D"/>
        <bgColor rgb="FFC0573D"/>
      </patternFill>
    </fill>
    <fill>
      <patternFill patternType="solid">
        <fgColor rgb="FF97382B"/>
        <bgColor rgb="FF97382B"/>
      </patternFill>
    </fill>
    <fill>
      <patternFill patternType="solid">
        <fgColor rgb="FFF6EFDA"/>
        <bgColor rgb="FFF6EFDA"/>
      </patternFill>
    </fill>
    <fill>
      <patternFill patternType="solid">
        <fgColor rgb="FF50403B"/>
        <bgColor rgb="FF50403B"/>
      </patternFill>
    </fill>
    <fill>
      <patternFill patternType="solid">
        <fgColor rgb="FF5D5D54"/>
        <bgColor rgb="FF5D5D54"/>
      </patternFill>
    </fill>
    <fill>
      <patternFill patternType="solid">
        <fgColor rgb="FFBB6864"/>
        <bgColor rgb="FFBB6864"/>
      </patternFill>
    </fill>
    <fill>
      <patternFill patternType="solid">
        <fgColor rgb="FFED625B"/>
        <bgColor rgb="FFED625B"/>
      </patternFill>
    </fill>
    <fill>
      <patternFill patternType="solid">
        <fgColor rgb="FFFD6E70"/>
        <bgColor rgb="FFFD6E70"/>
      </patternFill>
    </fill>
    <fill>
      <patternFill patternType="solid">
        <fgColor rgb="FFFB4B7C"/>
        <bgColor rgb="FFFB4B7C"/>
      </patternFill>
    </fill>
    <fill>
      <patternFill patternType="solid">
        <fgColor rgb="FF924D78"/>
        <bgColor rgb="FF924D78"/>
      </patternFill>
    </fill>
    <fill>
      <patternFill patternType="solid">
        <fgColor rgb="FFA39AD7"/>
        <bgColor rgb="FFA39AD7"/>
      </patternFill>
    </fill>
    <fill>
      <patternFill patternType="solid">
        <fgColor rgb="FF272276"/>
        <bgColor rgb="FF272276"/>
      </patternFill>
    </fill>
    <fill>
      <patternFill patternType="solid">
        <fgColor rgb="FF6085B8"/>
        <bgColor rgb="FF6085B8"/>
      </patternFill>
    </fill>
    <fill>
      <patternFill patternType="solid">
        <fgColor rgb="FFCEE9EA"/>
        <bgColor rgb="FFCEE9EA"/>
      </patternFill>
    </fill>
    <fill>
      <patternFill patternType="solid">
        <fgColor rgb="FF42B59E"/>
        <bgColor rgb="FF42B59E"/>
      </patternFill>
    </fill>
    <fill>
      <patternFill patternType="solid">
        <fgColor rgb="FF005D2E"/>
        <bgColor rgb="FF005D2E"/>
      </patternFill>
    </fill>
    <fill>
      <patternFill patternType="solid">
        <fgColor rgb="FF075B26"/>
        <bgColor rgb="FF075B26"/>
      </patternFill>
    </fill>
    <fill>
      <patternFill patternType="solid">
        <fgColor rgb="FF959F7A"/>
        <bgColor rgb="FF959F7A"/>
      </patternFill>
    </fill>
    <fill>
      <patternFill patternType="solid">
        <fgColor rgb="FFFAF2D5"/>
        <bgColor rgb="FFFAF2D5"/>
      </patternFill>
    </fill>
    <fill>
      <patternFill patternType="solid">
        <fgColor rgb="FFF2AE3F"/>
        <bgColor rgb="FFF2AE3F"/>
      </patternFill>
    </fill>
    <fill>
      <patternFill patternType="solid">
        <fgColor rgb="FFFB9F11"/>
        <bgColor rgb="FFFB9F11"/>
      </patternFill>
    </fill>
    <fill>
      <patternFill patternType="solid">
        <fgColor rgb="FFAB4836"/>
        <bgColor rgb="FFAB4836"/>
      </patternFill>
    </fill>
    <fill>
      <patternFill patternType="solid">
        <fgColor rgb="FF922F25"/>
        <bgColor rgb="FF922F25"/>
      </patternFill>
    </fill>
    <fill>
      <patternFill patternType="solid">
        <fgColor rgb="FFF2DEB9"/>
        <bgColor rgb="FFF2DEB9"/>
      </patternFill>
    </fill>
    <fill>
      <patternFill patternType="solid">
        <fgColor rgb="FF494842"/>
        <bgColor rgb="FF494842"/>
      </patternFill>
    </fill>
    <fill>
      <patternFill patternType="solid">
        <fgColor rgb="FFFFFFFF"/>
        <bgColor rgb="FFFFFFFF"/>
      </patternFill>
    </fill>
    <fill>
      <patternFill patternType="solid">
        <fgColor rgb="FFBAE4B6"/>
        <bgColor rgb="FFBAE4B6"/>
      </patternFill>
    </fill>
    <fill>
      <patternFill patternType="solid">
        <fgColor rgb="FFDE3F40"/>
        <bgColor rgb="FFDE3F40"/>
      </patternFill>
    </fill>
    <fill>
      <patternFill patternType="solid">
        <fgColor rgb="FFF2494F"/>
        <bgColor rgb="FFF2494F"/>
      </patternFill>
    </fill>
    <fill>
      <patternFill patternType="solid">
        <fgColor rgb="FFD63F68"/>
        <bgColor rgb="FFD63F68"/>
      </patternFill>
    </fill>
    <fill>
      <patternFill patternType="solid">
        <fgColor rgb="FF6A2258"/>
        <bgColor rgb="FF6A2258"/>
      </patternFill>
    </fill>
    <fill>
      <patternFill patternType="solid">
        <fgColor rgb="FF8577B4"/>
        <bgColor rgb="FF8577B4"/>
      </patternFill>
    </fill>
    <fill>
      <patternFill patternType="solid">
        <fgColor rgb="FF151264"/>
        <bgColor rgb="FF151264"/>
      </patternFill>
    </fill>
    <fill>
      <patternFill patternType="solid">
        <fgColor rgb="FF3A609D"/>
        <bgColor rgb="FF3A609D"/>
      </patternFill>
    </fill>
    <fill>
      <patternFill patternType="solid">
        <fgColor rgb="FF4B8AA1"/>
        <bgColor rgb="FF4B8AA1"/>
      </patternFill>
    </fill>
    <fill>
      <patternFill patternType="solid">
        <fgColor rgb="FF0B8673"/>
        <bgColor rgb="FF0B8673"/>
      </patternFill>
    </fill>
    <fill>
      <patternFill patternType="solid">
        <fgColor rgb="FFCDEFA6"/>
        <bgColor rgb="FFCDEFA6"/>
      </patternFill>
    </fill>
    <fill>
      <patternFill patternType="solid">
        <fgColor rgb="FF9DC72D"/>
        <bgColor rgb="FF9DC72D"/>
      </patternFill>
    </fill>
    <fill>
      <patternFill patternType="solid">
        <fgColor rgb="FF999D75"/>
        <bgColor rgb="FF999D75"/>
      </patternFill>
    </fill>
    <fill>
      <patternFill patternType="solid">
        <fgColor rgb="FFF2DC9F"/>
        <bgColor rgb="FFF2DC9F"/>
      </patternFill>
    </fill>
    <fill>
      <patternFill patternType="solid">
        <fgColor rgb="FFD0883D"/>
        <bgColor rgb="FFD0883D"/>
      </patternFill>
    </fill>
    <fill>
      <patternFill patternType="solid">
        <fgColor rgb="FFFEEBA5"/>
        <bgColor rgb="FFFEEBA5"/>
      </patternFill>
    </fill>
    <fill>
      <patternFill patternType="solid">
        <fgColor rgb="FF9B371B"/>
        <bgColor rgb="FF9B371B"/>
      </patternFill>
    </fill>
    <fill>
      <patternFill patternType="solid">
        <fgColor rgb="FFF2AB95"/>
        <bgColor rgb="FFF2AB95"/>
      </patternFill>
    </fill>
    <fill>
      <patternFill patternType="solid">
        <fgColor rgb="FFE2B783"/>
        <bgColor rgb="FFE2B783"/>
      </patternFill>
    </fill>
    <fill>
      <patternFill patternType="solid">
        <fgColor rgb="FFDBC7AD"/>
        <bgColor rgb="FFDBC7AD"/>
      </patternFill>
    </fill>
    <fill>
      <patternFill patternType="solid">
        <fgColor rgb="FFFCFCFF"/>
        <bgColor rgb="FFFCFCFF"/>
      </patternFill>
    </fill>
    <fill>
      <patternFill patternType="solid">
        <fgColor rgb="FF5A3C2D"/>
        <bgColor rgb="FF5A3C2D"/>
      </patternFill>
    </fill>
    <fill>
      <patternFill patternType="solid">
        <fgColor rgb="FFC62C38"/>
        <bgColor rgb="FFC62C38"/>
      </patternFill>
    </fill>
    <fill>
      <patternFill patternType="solid">
        <fgColor rgb="FFFDCCD1"/>
        <bgColor rgb="FFFDCCD1"/>
      </patternFill>
    </fill>
    <fill>
      <patternFill patternType="solid">
        <fgColor rgb="FFC62A53"/>
        <bgColor rgb="FFC62A53"/>
      </patternFill>
    </fill>
    <fill>
      <patternFill patternType="solid">
        <fgColor rgb="FF4B233A"/>
        <bgColor rgb="FF4B233A"/>
      </patternFill>
    </fill>
    <fill>
      <patternFill patternType="solid">
        <fgColor rgb="FF996DC3"/>
        <bgColor rgb="FF996DC3"/>
      </patternFill>
    </fill>
    <fill>
      <patternFill patternType="solid">
        <fgColor rgb="FFCAE7F0"/>
        <bgColor rgb="FFCAE7F0"/>
      </patternFill>
    </fill>
    <fill>
      <patternFill patternType="solid">
        <fgColor rgb="FF1F3279"/>
        <bgColor rgb="FF1F3279"/>
      </patternFill>
    </fill>
    <fill>
      <patternFill patternType="solid">
        <fgColor rgb="FF558B9E"/>
        <bgColor rgb="FF558B9E"/>
      </patternFill>
    </fill>
    <fill>
      <patternFill patternType="solid">
        <fgColor rgb="FF135F55"/>
        <bgColor rgb="FF135F55"/>
      </patternFill>
    </fill>
    <fill>
      <patternFill patternType="solid">
        <fgColor rgb="FF7FC66D"/>
        <bgColor rgb="FF7FC66D"/>
      </patternFill>
    </fill>
    <fill>
      <patternFill patternType="solid">
        <fgColor rgb="FF6C9E29"/>
        <bgColor rgb="FF6C9E29"/>
      </patternFill>
    </fill>
    <fill>
      <patternFill patternType="solid">
        <fgColor rgb="FF787E5C"/>
        <bgColor rgb="FF787E5C"/>
      </patternFill>
    </fill>
    <fill>
      <patternFill patternType="solid">
        <fgColor rgb="FFC99A67"/>
        <bgColor rgb="FFC99A67"/>
      </patternFill>
    </fill>
    <fill>
      <patternFill patternType="solid">
        <fgColor rgb="FFB26923"/>
        <bgColor rgb="FFB26923"/>
      </patternFill>
    </fill>
    <fill>
      <patternFill patternType="solid">
        <fgColor rgb="FFFEE88D"/>
        <bgColor rgb="FFFEE88D"/>
      </patternFill>
    </fill>
    <fill>
      <patternFill patternType="solid">
        <fgColor rgb="FF883630"/>
        <bgColor rgb="FF883630"/>
      </patternFill>
    </fill>
    <fill>
      <patternFill patternType="solid">
        <fgColor rgb="FFBA7A6C"/>
        <bgColor rgb="FFBA7A6C"/>
      </patternFill>
    </fill>
    <fill>
      <patternFill patternType="solid">
        <fgColor rgb="FFDAA26F"/>
        <bgColor rgb="FFDAA26F"/>
      </patternFill>
    </fill>
    <fill>
      <patternFill patternType="solid">
        <fgColor rgb="FFB69D80"/>
        <bgColor rgb="FFB69D80"/>
      </patternFill>
    </fill>
    <fill>
      <patternFill patternType="solid">
        <fgColor rgb="FFBB1630"/>
        <bgColor rgb="FFBB1630"/>
      </patternFill>
    </fill>
    <fill>
      <patternFill patternType="solid">
        <fgColor rgb="FFFCAFB9"/>
        <bgColor rgb="FFFCAFB9"/>
      </patternFill>
    </fill>
    <fill>
      <patternFill patternType="solid">
        <fgColor rgb="FFBF1C48"/>
        <bgColor rgb="FFBF1C48"/>
      </patternFill>
    </fill>
    <fill>
      <patternFill patternType="solid">
        <fgColor rgb="FFE0D7EE"/>
        <bgColor rgb="FFE0D7EE"/>
      </patternFill>
    </fill>
    <fill>
      <patternFill patternType="solid">
        <fgColor rgb="FF9774B6"/>
        <bgColor rgb="FF9774B6"/>
      </patternFill>
    </fill>
    <fill>
      <patternFill patternType="solid">
        <fgColor rgb="FFA4C1DE"/>
        <bgColor rgb="FFA4C1DE"/>
      </patternFill>
    </fill>
    <fill>
      <patternFill patternType="solid">
        <fgColor rgb="FF202754"/>
        <bgColor rgb="FF202754"/>
      </patternFill>
    </fill>
    <fill>
      <patternFill patternType="solid">
        <fgColor rgb="FF175E78"/>
        <bgColor rgb="FF175E78"/>
      </patternFill>
    </fill>
    <fill>
      <patternFill patternType="solid">
        <fgColor rgb="FF94D28A"/>
        <bgColor rgb="FF94D28A"/>
      </patternFill>
    </fill>
    <fill>
      <patternFill patternType="solid">
        <fgColor rgb="FF608C59"/>
        <bgColor rgb="FF608C59"/>
      </patternFill>
    </fill>
    <fill>
      <patternFill patternType="solid">
        <fgColor rgb="FF467924"/>
        <bgColor rgb="FF467924"/>
      </patternFill>
    </fill>
    <fill>
      <patternFill patternType="solid">
        <fgColor rgb="FF4C4C1E"/>
        <bgColor rgb="FF4C4C1E"/>
      </patternFill>
    </fill>
    <fill>
      <patternFill patternType="solid">
        <fgColor rgb="FFAA7C43"/>
        <bgColor rgb="FFAA7C43"/>
      </patternFill>
    </fill>
    <fill>
      <patternFill patternType="solid">
        <fgColor rgb="FF945026"/>
        <bgColor rgb="FF945026"/>
      </patternFill>
    </fill>
    <fill>
      <patternFill patternType="solid">
        <fgColor rgb="FFFDD769"/>
        <bgColor rgb="FFFDD769"/>
      </patternFill>
    </fill>
    <fill>
      <patternFill patternType="solid">
        <fgColor rgb="FFFEF1D8"/>
        <bgColor rgb="FFFEF1D8"/>
      </patternFill>
    </fill>
    <fill>
      <patternFill patternType="solid">
        <fgColor rgb="FF803A32"/>
        <bgColor rgb="FF803A32"/>
      </patternFill>
    </fill>
    <fill>
      <patternFill patternType="solid">
        <fgColor rgb="FFC78559"/>
        <bgColor rgb="FFC78559"/>
      </patternFill>
    </fill>
    <fill>
      <patternFill patternType="solid">
        <fgColor rgb="FF9D8868"/>
        <bgColor rgb="FF9D8868"/>
      </patternFill>
    </fill>
    <fill>
      <patternFill patternType="solid">
        <fgColor rgb="FFD1D0D2"/>
        <bgColor rgb="FFD1D0D2"/>
      </patternFill>
    </fill>
    <fill>
      <patternFill patternType="solid">
        <fgColor rgb="FF4B4B49"/>
        <bgColor rgb="FF4B4B49"/>
      </patternFill>
    </fill>
    <fill>
      <patternFill patternType="solid">
        <fgColor rgb="FFA10C39"/>
        <bgColor rgb="FFA10C39"/>
      </patternFill>
    </fill>
    <fill>
      <patternFill patternType="solid">
        <fgColor rgb="FFEB7183"/>
        <bgColor rgb="FFEB7183"/>
      </patternFill>
    </fill>
    <fill>
      <patternFill patternType="solid">
        <fgColor rgb="FFF15A91"/>
        <bgColor rgb="FFF15A91"/>
      </patternFill>
    </fill>
    <fill>
      <patternFill patternType="solid">
        <fgColor rgb="FFDAD2E9"/>
        <bgColor rgb="FFDAD2E9"/>
      </patternFill>
    </fill>
    <fill>
      <patternFill patternType="solid">
        <fgColor rgb="FF844AB5"/>
        <bgColor rgb="FF844AB5"/>
      </patternFill>
    </fill>
    <fill>
      <patternFill patternType="solid">
        <fgColor rgb="FF7FA0C6"/>
        <bgColor rgb="FF7FA0C6"/>
      </patternFill>
    </fill>
    <fill>
      <patternFill patternType="solid">
        <fgColor rgb="FF0C275E"/>
        <bgColor rgb="FF0C275E"/>
      </patternFill>
    </fill>
    <fill>
      <patternFill patternType="solid">
        <fgColor rgb="FFA8E2E5"/>
        <bgColor rgb="FFA8E2E5"/>
      </patternFill>
    </fill>
    <fill>
      <patternFill patternType="solid">
        <fgColor rgb="FF95E4AF"/>
        <bgColor rgb="FF95E4AF"/>
      </patternFill>
    </fill>
    <fill>
      <patternFill patternType="solid">
        <fgColor rgb="FF446B45"/>
        <bgColor rgb="FF446B45"/>
      </patternFill>
    </fill>
    <fill>
      <patternFill patternType="solid">
        <fgColor rgb="FF386324"/>
        <bgColor rgb="FF386324"/>
      </patternFill>
    </fill>
    <fill>
      <patternFill patternType="solid">
        <fgColor rgb="FFAEA78E"/>
        <bgColor rgb="FFAEA78E"/>
      </patternFill>
    </fill>
    <fill>
      <patternFill patternType="solid">
        <fgColor rgb="FF855A30"/>
        <bgColor rgb="FF855A30"/>
      </patternFill>
    </fill>
    <fill>
      <patternFill patternType="solid">
        <fgColor rgb="FFFEF5CD"/>
        <bgColor rgb="FFFEF5CD"/>
      </patternFill>
    </fill>
    <fill>
      <patternFill patternType="solid">
        <fgColor rgb="FFFDAE3C"/>
        <bgColor rgb="FFFDAE3C"/>
      </patternFill>
    </fill>
    <fill>
      <patternFill patternType="solid">
        <fgColor rgb="FFF6C19A"/>
        <bgColor rgb="FFF6C19A"/>
      </patternFill>
    </fill>
    <fill>
      <patternFill patternType="solid">
        <fgColor rgb="FF6A2F26"/>
        <bgColor rgb="FF6A2F26"/>
      </patternFill>
    </fill>
    <fill>
      <patternFill patternType="solid">
        <fgColor rgb="FFA96538"/>
        <bgColor rgb="FFA96538"/>
      </patternFill>
    </fill>
    <fill>
      <patternFill patternType="solid">
        <fgColor rgb="FF6D5A4B"/>
        <bgColor rgb="FF6D5A4B"/>
      </patternFill>
    </fill>
    <fill>
      <patternFill patternType="solid">
        <fgColor rgb="FFB8B9BD"/>
        <bgColor rgb="FFB8B9BD"/>
      </patternFill>
    </fill>
    <fill>
      <patternFill patternType="solid">
        <fgColor rgb="FFEA8B96"/>
        <bgColor rgb="FFEA8B96"/>
      </patternFill>
    </fill>
    <fill>
      <patternFill patternType="solid">
        <fgColor rgb="FFDE586C"/>
        <bgColor rgb="FFDE586C"/>
      </patternFill>
    </fill>
    <fill>
      <patternFill patternType="solid">
        <fgColor rgb="FFDF3C73"/>
        <bgColor rgb="FFDF3C73"/>
      </patternFill>
    </fill>
    <fill>
      <patternFill patternType="solid">
        <fgColor rgb="FFCFC8DE"/>
        <bgColor rgb="FFCFC8DE"/>
      </patternFill>
    </fill>
    <fill>
      <patternFill patternType="solid">
        <fgColor rgb="FF6E2E9B"/>
        <bgColor rgb="FF6E2E9B"/>
      </patternFill>
    </fill>
    <fill>
      <patternFill patternType="solid">
        <fgColor rgb="FF5075A7"/>
        <bgColor rgb="FF5075A7"/>
      </patternFill>
    </fill>
    <fill>
      <patternFill patternType="solid">
        <fgColor rgb="FF000B44"/>
        <bgColor rgb="FF000B44"/>
      </patternFill>
    </fill>
    <fill>
      <patternFill patternType="solid">
        <fgColor rgb="FF97D8D3"/>
        <bgColor rgb="FF97D8D3"/>
      </patternFill>
    </fill>
    <fill>
      <patternFill patternType="solid">
        <fgColor rgb="FF6ED39A"/>
        <bgColor rgb="FF6ED39A"/>
      </patternFill>
    </fill>
    <fill>
      <patternFill patternType="solid">
        <fgColor rgb="FF3A553B"/>
        <bgColor rgb="FF3A553B"/>
      </patternFill>
    </fill>
    <fill>
      <patternFill patternType="solid">
        <fgColor rgb="FFD1DE75"/>
        <bgColor rgb="FFD1DE75"/>
      </patternFill>
    </fill>
    <fill>
      <patternFill patternType="solid">
        <fgColor rgb="FF808B6E"/>
        <bgColor rgb="FF808B6E"/>
      </patternFill>
    </fill>
    <fill>
      <patternFill patternType="solid">
        <fgColor rgb="FF784C28"/>
        <bgColor rgb="FF784C28"/>
      </patternFill>
    </fill>
    <fill>
      <patternFill patternType="solid">
        <fgColor rgb="FFFDDFA0"/>
        <bgColor rgb="FFFDDFA0"/>
      </patternFill>
    </fill>
    <fill>
      <patternFill patternType="solid">
        <fgColor rgb="FFFC8B10"/>
        <bgColor rgb="FFFC8B10"/>
      </patternFill>
    </fill>
    <fill>
      <patternFill patternType="solid">
        <fgColor rgb="FFEF9E74"/>
        <bgColor rgb="FFEF9E74"/>
      </patternFill>
    </fill>
    <fill>
      <patternFill patternType="solid">
        <fgColor rgb="FFF7AF93"/>
        <bgColor rgb="FFF7AF93"/>
      </patternFill>
    </fill>
    <fill>
      <patternFill patternType="solid">
        <fgColor rgb="FF8F5332"/>
        <bgColor rgb="FF8F5332"/>
      </patternFill>
    </fill>
    <fill>
      <patternFill patternType="solid">
        <fgColor rgb="FF593F2B"/>
        <bgColor rgb="FF593F2B"/>
      </patternFill>
    </fill>
    <fill>
      <patternFill patternType="solid">
        <fgColor rgb="FF999B9D"/>
        <bgColor rgb="FF999B9D"/>
      </patternFill>
    </fill>
    <fill>
      <patternFill patternType="solid">
        <fgColor rgb="FFE36370"/>
        <bgColor rgb="FFE36370"/>
      </patternFill>
    </fill>
    <fill>
      <patternFill patternType="solid">
        <fgColor rgb="FFBA2044"/>
        <bgColor rgb="FFBA2044"/>
      </patternFill>
    </fill>
    <fill>
      <patternFill patternType="solid">
        <fgColor rgb="FFCE2B63"/>
        <bgColor rgb="FFCE2B63"/>
      </patternFill>
    </fill>
    <fill>
      <patternFill patternType="solid">
        <fgColor rgb="FFE5BDED"/>
        <bgColor rgb="FFE5BDED"/>
      </patternFill>
    </fill>
    <fill>
      <patternFill patternType="solid">
        <fgColor rgb="FF6D54D3"/>
        <bgColor rgb="FF6D54D3"/>
      </patternFill>
    </fill>
    <fill>
      <patternFill patternType="solid">
        <fgColor rgb="FF34588F"/>
        <bgColor rgb="FF34588F"/>
      </patternFill>
    </fill>
    <fill>
      <patternFill patternType="solid">
        <fgColor rgb="FF09092F"/>
        <bgColor rgb="FF09092F"/>
      </patternFill>
    </fill>
    <fill>
      <patternFill patternType="solid">
        <fgColor rgb="FF52ADAB"/>
        <bgColor rgb="FF52ADAB"/>
      </patternFill>
    </fill>
    <fill>
      <patternFill patternType="solid">
        <fgColor rgb="FF3B8C5A"/>
        <bgColor rgb="FF3B8C5A"/>
      </patternFill>
    </fill>
    <fill>
      <patternFill patternType="solid">
        <fgColor rgb="FF324233"/>
        <bgColor rgb="FF324233"/>
      </patternFill>
    </fill>
    <fill>
      <patternFill patternType="solid">
        <fgColor rgb="FF9EB357"/>
        <bgColor rgb="FF9EB357"/>
      </patternFill>
    </fill>
    <fill>
      <patternFill patternType="solid">
        <fgColor rgb="FF384526"/>
        <bgColor rgb="FF384526"/>
      </patternFill>
    </fill>
    <fill>
      <patternFill patternType="solid">
        <fgColor rgb="FFB99F72"/>
        <bgColor rgb="FFB99F72"/>
      </patternFill>
    </fill>
    <fill>
      <patternFill patternType="solid">
        <fgColor rgb="FFF7C95F"/>
        <bgColor rgb="FFF7C95F"/>
      </patternFill>
    </fill>
    <fill>
      <patternFill patternType="solid">
        <fgColor rgb="FFFD6F1A"/>
        <bgColor rgb="FFFD6F1A"/>
      </patternFill>
    </fill>
    <fill>
      <patternFill patternType="solid">
        <fgColor rgb="FFC96444"/>
        <bgColor rgb="FFC96444"/>
      </patternFill>
    </fill>
    <fill>
      <patternFill patternType="solid">
        <fgColor rgb="FFD79982"/>
        <bgColor rgb="FFD79982"/>
      </patternFill>
    </fill>
    <fill>
      <patternFill patternType="solid">
        <fgColor rgb="FF73421E"/>
        <bgColor rgb="FF73421E"/>
      </patternFill>
    </fill>
    <fill>
      <patternFill patternType="solid">
        <fgColor rgb="FFE3CCBE"/>
        <bgColor rgb="FFE3CCBE"/>
      </patternFill>
    </fill>
    <fill>
      <patternFill patternType="solid">
        <fgColor rgb="FF766E72"/>
        <bgColor rgb="FF766E72"/>
      </patternFill>
    </fill>
    <fill>
      <patternFill patternType="solid">
        <fgColor rgb="FF9442A7"/>
        <bgColor rgb="FF9442A7"/>
      </patternFill>
    </fill>
    <fill>
      <patternFill patternType="solid">
        <fgColor rgb="FFC12B52"/>
        <bgColor rgb="FFC12B52"/>
      </patternFill>
    </fill>
    <fill>
      <patternFill patternType="solid">
        <fgColor rgb="FFFCEBDE"/>
        <bgColor rgb="FFFCEBDE"/>
      </patternFill>
    </fill>
    <fill>
      <patternFill patternType="solid">
        <fgColor rgb="FFF6B0DF"/>
        <bgColor rgb="FFF6B0DF"/>
      </patternFill>
    </fill>
    <fill>
      <patternFill patternType="solid">
        <fgColor rgb="FFD49FE1"/>
        <bgColor rgb="FFD49FE1"/>
      </patternFill>
    </fill>
    <fill>
      <patternFill patternType="solid">
        <fgColor rgb="FF5834A3"/>
        <bgColor rgb="FF5834A3"/>
      </patternFill>
    </fill>
    <fill>
      <patternFill patternType="solid">
        <fgColor rgb="FF284779"/>
        <bgColor rgb="FF284779"/>
      </patternFill>
    </fill>
    <fill>
      <patternFill patternType="solid">
        <fgColor rgb="FFD9E6EC"/>
        <bgColor rgb="FFD9E6EC"/>
      </patternFill>
    </fill>
    <fill>
      <patternFill patternType="solid">
        <fgColor rgb="FF2D8D98"/>
        <bgColor rgb="FF2D8D98"/>
      </patternFill>
    </fill>
    <fill>
      <patternFill patternType="solid">
        <fgColor rgb="FF338362"/>
        <bgColor rgb="FF338362"/>
      </patternFill>
    </fill>
    <fill>
      <patternFill patternType="solid">
        <fgColor rgb="FF72813E"/>
        <bgColor rgb="FF72813E"/>
      </patternFill>
    </fill>
    <fill>
      <patternFill patternType="solid">
        <fgColor rgb="FFBB9C54"/>
        <bgColor rgb="FFBB9C54"/>
      </patternFill>
    </fill>
    <fill>
      <patternFill patternType="solid">
        <fgColor rgb="FFA6885E"/>
        <bgColor rgb="FFA6885E"/>
      </patternFill>
    </fill>
    <fill>
      <patternFill patternType="solid">
        <fgColor rgb="FFFBAC56"/>
        <bgColor rgb="FFFBAC56"/>
      </patternFill>
    </fill>
    <fill>
      <patternFill patternType="solid">
        <fgColor rgb="FFFB6721"/>
        <bgColor rgb="FFFB6721"/>
      </patternFill>
    </fill>
    <fill>
      <patternFill patternType="solid">
        <fgColor rgb="FFAA5237"/>
        <bgColor rgb="FFAA5237"/>
      </patternFill>
    </fill>
    <fill>
      <patternFill patternType="solid">
        <fgColor rgb="FFBC604E"/>
        <bgColor rgb="FFBC604E"/>
      </patternFill>
    </fill>
    <fill>
      <patternFill patternType="solid">
        <fgColor rgb="FF60391D"/>
        <bgColor rgb="FF60391D"/>
      </patternFill>
    </fill>
    <fill>
      <patternFill patternType="solid">
        <fgColor rgb="FFDCC6B8"/>
        <bgColor rgb="FFDCC6B8"/>
      </patternFill>
    </fill>
    <fill>
      <patternFill patternType="solid">
        <fgColor rgb="FFEFEEF0"/>
        <bgColor rgb="FFEFEEF0"/>
      </patternFill>
    </fill>
    <fill>
      <patternFill patternType="solid">
        <fgColor rgb="FF9B0042"/>
        <bgColor rgb="FF9B0042"/>
      </patternFill>
    </fill>
    <fill>
      <patternFill patternType="solid">
        <fgColor rgb="FFF9979C"/>
        <bgColor rgb="FFF9979C"/>
      </patternFill>
    </fill>
    <fill>
      <patternFill patternType="solid">
        <fgColor rgb="FFEC81BE"/>
        <bgColor rgb="FFEC81BE"/>
      </patternFill>
    </fill>
    <fill>
      <patternFill patternType="solid">
        <fgColor rgb="FFBA72C6"/>
        <bgColor rgb="FFBA72C6"/>
      </patternFill>
    </fill>
    <fill>
      <patternFill patternType="solid">
        <fgColor rgb="FF4D2E8A"/>
        <bgColor rgb="FF4D2E8A"/>
      </patternFill>
    </fill>
    <fill>
      <patternFill patternType="solid">
        <fgColor rgb="FF49A8EB"/>
        <bgColor rgb="FF49A8EB"/>
      </patternFill>
    </fill>
    <fill>
      <patternFill patternType="solid">
        <fgColor rgb="FFBAC9CC"/>
        <bgColor rgb="FFBAC9CC"/>
      </patternFill>
    </fill>
    <fill>
      <patternFill patternType="solid">
        <fgColor rgb="FF136A75"/>
        <bgColor rgb="FF136A75"/>
      </patternFill>
    </fill>
    <fill>
      <patternFill patternType="solid">
        <fgColor rgb="FF81C6A4"/>
        <bgColor rgb="FF81C6A4"/>
      </patternFill>
    </fill>
    <fill>
      <patternFill patternType="solid">
        <fgColor rgb="FF71A74E"/>
        <bgColor rgb="FF71A74E"/>
      </patternFill>
    </fill>
    <fill>
      <patternFill patternType="solid">
        <fgColor rgb="FF5B6533"/>
        <bgColor rgb="FF5B6533"/>
      </patternFill>
    </fill>
    <fill>
      <patternFill patternType="solid">
        <fgColor rgb="FFA78A44"/>
        <bgColor rgb="FFA78A44"/>
      </patternFill>
    </fill>
    <fill>
      <patternFill patternType="solid">
        <fgColor rgb="FF7C5F46"/>
        <bgColor rgb="FF7C5F46"/>
      </patternFill>
    </fill>
    <fill>
      <patternFill patternType="solid">
        <fgColor rgb="FFEF8125"/>
        <bgColor rgb="FFEF8125"/>
      </patternFill>
    </fill>
    <fill>
      <patternFill patternType="solid">
        <fgColor rgb="FFFC4F16"/>
        <bgColor rgb="FFFC4F16"/>
      </patternFill>
    </fill>
    <fill>
      <patternFill patternType="solid">
        <fgColor rgb="FF813718"/>
        <bgColor rgb="FF813718"/>
      </patternFill>
    </fill>
    <fill>
      <patternFill patternType="solid">
        <fgColor rgb="FFF3CFB4"/>
        <bgColor rgb="FFF3CFB4"/>
      </patternFill>
    </fill>
    <fill>
      <patternFill patternType="solid">
        <fgColor rgb="FF532F1B"/>
        <bgColor rgb="FF532F1B"/>
      </patternFill>
    </fill>
    <fill>
      <patternFill patternType="solid">
        <fgColor rgb="FFC5C4C9"/>
        <bgColor rgb="FFC5C4C9"/>
      </patternFill>
    </fill>
    <fill>
      <patternFill patternType="solid">
        <fgColor rgb="FFE4353D"/>
        <bgColor rgb="FFE4353D"/>
      </patternFill>
    </fill>
    <fill>
      <patternFill patternType="solid">
        <fgColor rgb="FFEA6B78"/>
        <bgColor rgb="FFEA6B78"/>
      </patternFill>
    </fill>
    <fill>
      <patternFill patternType="solid">
        <fgColor rgb="FFD94C9D"/>
        <bgColor rgb="FFD94C9D"/>
      </patternFill>
    </fill>
    <fill>
      <patternFill patternType="solid">
        <fgColor rgb="FFB5B8EA"/>
        <bgColor rgb="FFB5B8EA"/>
      </patternFill>
    </fill>
    <fill>
      <patternFill patternType="solid">
        <fgColor rgb="FF28A3DE"/>
        <bgColor rgb="FF28A3DE"/>
      </patternFill>
    </fill>
    <fill>
      <patternFill patternType="solid">
        <fgColor rgb="FF93A0AF"/>
        <bgColor rgb="FF93A0AF"/>
      </patternFill>
    </fill>
    <fill>
      <patternFill patternType="solid">
        <fgColor rgb="FF03535C"/>
        <bgColor rgb="FF03535C"/>
      </patternFill>
    </fill>
    <fill>
      <patternFill patternType="solid">
        <fgColor rgb="FF60937A"/>
        <bgColor rgb="FF60937A"/>
      </patternFill>
    </fill>
    <fill>
      <patternFill patternType="solid">
        <fgColor rgb="FF66924A"/>
        <bgColor rgb="FF66924A"/>
      </patternFill>
    </fill>
    <fill>
      <patternFill patternType="solid">
        <fgColor rgb="FF434F2C"/>
        <bgColor rgb="FF434F2C"/>
      </patternFill>
    </fill>
    <fill>
      <patternFill patternType="solid">
        <fgColor rgb="FF725C0C"/>
        <bgColor rgb="FF725C0C"/>
      </patternFill>
    </fill>
    <fill>
      <patternFill patternType="solid">
        <fgColor rgb="FF6B5039"/>
        <bgColor rgb="FF6B5039"/>
      </patternFill>
    </fill>
    <fill>
      <patternFill patternType="solid">
        <fgColor rgb="FFEAA664"/>
        <bgColor rgb="FFEAA664"/>
      </patternFill>
    </fill>
    <fill>
      <patternFill patternType="solid">
        <fgColor rgb="FFED4115"/>
        <bgColor rgb="FFED4115"/>
      </patternFill>
    </fill>
    <fill>
      <patternFill patternType="solid">
        <fgColor rgb="FF6C3116"/>
        <bgColor rgb="FF6C3116"/>
      </patternFill>
    </fill>
    <fill>
      <patternFill patternType="solid">
        <fgColor rgb="FFE5AC8D"/>
        <bgColor rgb="FFE5AC8D"/>
      </patternFill>
    </fill>
    <fill>
      <patternFill patternType="solid">
        <fgColor rgb="FF45271A"/>
        <bgColor rgb="FF45271A"/>
      </patternFill>
    </fill>
    <fill>
      <patternFill patternType="solid">
        <fgColor rgb="FF9D7D71"/>
        <bgColor rgb="FF9D7D71"/>
      </patternFill>
    </fill>
    <fill>
      <patternFill patternType="solid">
        <fgColor rgb="FFB0B0B5"/>
        <bgColor rgb="FFB0B0B5"/>
      </patternFill>
    </fill>
    <fill>
      <patternFill patternType="solid">
        <fgColor rgb="FFCE1B33"/>
        <bgColor rgb="FFCE1B33"/>
      </patternFill>
    </fill>
    <fill>
      <patternFill patternType="solid">
        <fgColor rgb="FFD63D57"/>
        <bgColor rgb="FFD63D57"/>
      </patternFill>
    </fill>
    <fill>
      <patternFill patternType="solid">
        <fgColor rgb="FFCB2089"/>
        <bgColor rgb="FFCB2089"/>
      </patternFill>
    </fill>
    <fill>
      <patternFill patternType="solid">
        <fgColor rgb="FF8A2A8F"/>
        <bgColor rgb="FF8A2A8F"/>
      </patternFill>
    </fill>
    <fill>
      <patternFill patternType="solid">
        <fgColor rgb="FFA0B2D7"/>
        <bgColor rgb="FFA0B2D7"/>
      </patternFill>
    </fill>
    <fill>
      <patternFill patternType="solid">
        <fgColor rgb="FF0061B0"/>
        <bgColor rgb="FF0061B0"/>
      </patternFill>
    </fill>
    <fill>
      <patternFill patternType="solid">
        <fgColor rgb="FF667684"/>
        <bgColor rgb="FF667684"/>
      </patternFill>
    </fill>
    <fill>
      <patternFill patternType="solid">
        <fgColor rgb="FFC0C6C0"/>
        <bgColor rgb="FFC0C6C0"/>
      </patternFill>
    </fill>
    <fill>
      <patternFill patternType="solid">
        <fgColor rgb="FF557A60"/>
        <bgColor rgb="FF557A60"/>
      </patternFill>
    </fill>
    <fill>
      <patternFill patternType="solid">
        <fgColor rgb="FF436838"/>
        <bgColor rgb="FF436838"/>
      </patternFill>
    </fill>
    <fill>
      <patternFill patternType="solid">
        <fgColor rgb="FF3F4227"/>
        <bgColor rgb="FF3F4227"/>
      </patternFill>
    </fill>
    <fill>
      <patternFill patternType="solid">
        <fgColor rgb="FF63520B"/>
        <bgColor rgb="FF63520B"/>
      </patternFill>
    </fill>
    <fill>
      <patternFill patternType="solid">
        <fgColor rgb="FFEAD8AB"/>
        <bgColor rgb="FFEAD8AB"/>
      </patternFill>
    </fill>
    <fill>
      <patternFill patternType="solid">
        <fgColor rgb="FFEC8F43"/>
        <bgColor rgb="FFEC8F43"/>
      </patternFill>
    </fill>
    <fill>
      <patternFill patternType="solid">
        <fgColor rgb="FFC63117"/>
        <bgColor rgb="FFC63117"/>
      </patternFill>
    </fill>
    <fill>
      <patternFill patternType="solid">
        <fgColor rgb="FFF8D9CD"/>
        <bgColor rgb="FFF8D9CD"/>
      </patternFill>
    </fill>
    <fill>
      <patternFill patternType="solid">
        <fgColor rgb="FFBA7056"/>
        <bgColor rgb="FFBA7056"/>
      </patternFill>
    </fill>
    <fill>
      <patternFill patternType="solid">
        <fgColor rgb="FF36220E"/>
        <bgColor rgb="FF36220E"/>
      </patternFill>
    </fill>
    <fill>
      <patternFill patternType="solid">
        <fgColor rgb="FFF0E6D7"/>
        <bgColor rgb="FFF0E6D7"/>
      </patternFill>
    </fill>
    <fill>
      <patternFill patternType="solid">
        <fgColor rgb="FF9C9B9D"/>
        <bgColor rgb="FF9C9B9D"/>
      </patternFill>
    </fill>
    <fill>
      <patternFill patternType="solid">
        <fgColor rgb="FFBD1136"/>
        <bgColor rgb="FFBD1136"/>
      </patternFill>
    </fill>
    <fill>
      <patternFill patternType="solid">
        <fgColor rgb="FFAC1C37"/>
        <bgColor rgb="FFAC1C37"/>
      </patternFill>
    </fill>
    <fill>
      <patternFill patternType="solid">
        <fgColor rgb="FFAC1071"/>
        <bgColor rgb="FFAC1071"/>
      </patternFill>
    </fill>
    <fill>
      <patternFill patternType="solid">
        <fgColor rgb="FF5E0F77"/>
        <bgColor rgb="FF5E0F77"/>
      </patternFill>
    </fill>
    <fill>
      <patternFill patternType="solid">
        <fgColor rgb="FF7C82B5"/>
        <bgColor rgb="FF7C82B5"/>
      </patternFill>
    </fill>
    <fill>
      <patternFill patternType="solid">
        <fgColor rgb="FF5ECCEC"/>
        <bgColor rgb="FF5ECCEC"/>
      </patternFill>
    </fill>
    <fill>
      <patternFill patternType="solid">
        <fgColor rgb="FF495C6B"/>
        <bgColor rgb="FF495C6B"/>
      </patternFill>
    </fill>
    <fill>
      <patternFill patternType="solid">
        <fgColor rgb="FF9FA8A5"/>
        <bgColor rgb="FF9FA8A5"/>
      </patternFill>
    </fill>
    <fill>
      <patternFill patternType="solid">
        <fgColor rgb="FF437259"/>
        <bgColor rgb="FF437259"/>
      </patternFill>
    </fill>
    <fill>
      <patternFill patternType="solid">
        <fgColor rgb="FF2E5230"/>
        <bgColor rgb="FF2E5230"/>
      </patternFill>
    </fill>
    <fill>
      <patternFill patternType="solid">
        <fgColor rgb="FF383A2A"/>
        <bgColor rgb="FF383A2A"/>
      </patternFill>
    </fill>
    <fill>
      <patternFill patternType="solid">
        <fgColor rgb="FFAFA97B"/>
        <bgColor rgb="FFAFA97B"/>
      </patternFill>
    </fill>
    <fill>
      <patternFill patternType="solid">
        <fgColor rgb="FFCEB074"/>
        <bgColor rgb="FFCEB074"/>
      </patternFill>
    </fill>
    <fill>
      <patternFill patternType="solid">
        <fgColor rgb="FFCF7532"/>
        <bgColor rgb="FFCF7532"/>
      </patternFill>
    </fill>
    <fill>
      <patternFill patternType="solid">
        <fgColor rgb="FFFFC2AC"/>
        <bgColor rgb="FFFFC2AC"/>
      </patternFill>
    </fill>
    <fill>
      <patternFill patternType="solid">
        <fgColor rgb="FFE2A598"/>
        <bgColor rgb="FFE2A598"/>
      </patternFill>
    </fill>
    <fill>
      <patternFill patternType="solid">
        <fgColor rgb="FFB77159"/>
        <bgColor rgb="FFB77159"/>
      </patternFill>
    </fill>
    <fill>
      <patternFill patternType="solid">
        <fgColor rgb="FFEAD0B5"/>
        <bgColor rgb="FFEAD0B5"/>
      </patternFill>
    </fill>
    <fill>
      <patternFill patternType="solid">
        <fgColor rgb="FFCBB094"/>
        <bgColor rgb="FFCBB094"/>
      </patternFill>
    </fill>
    <fill>
      <patternFill patternType="solid">
        <fgColor rgb="FF970B2C"/>
        <bgColor rgb="FF970B2C"/>
      </patternFill>
    </fill>
    <fill>
      <patternFill patternType="solid">
        <fgColor rgb="FFFFCBD7"/>
        <bgColor rgb="FFFFCBD7"/>
      </patternFill>
    </fill>
    <fill>
      <patternFill patternType="solid">
        <fgColor rgb="FF95085A"/>
        <bgColor rgb="FF95085A"/>
      </patternFill>
    </fill>
    <fill>
      <patternFill patternType="solid">
        <fgColor rgb="FFEAC5EB"/>
        <bgColor rgb="FFEAC5EB"/>
      </patternFill>
    </fill>
    <fill>
      <patternFill patternType="solid">
        <fgColor rgb="FF4B599E"/>
        <bgColor rgb="FF4B599E"/>
      </patternFill>
    </fill>
    <fill>
      <patternFill patternType="solid">
        <fgColor rgb="FF2BADD1"/>
        <bgColor rgb="FF2BADD1"/>
      </patternFill>
    </fill>
    <fill>
      <patternFill patternType="solid">
        <fgColor rgb="FF1D4552"/>
        <bgColor rgb="FF1D4552"/>
      </patternFill>
    </fill>
    <fill>
      <patternFill patternType="solid">
        <fgColor rgb="FF617674"/>
        <bgColor rgb="FF617674"/>
      </patternFill>
    </fill>
    <fill>
      <patternFill patternType="solid">
        <fgColor rgb="FF285E48"/>
        <bgColor rgb="FF285E48"/>
      </patternFill>
    </fill>
    <fill>
      <patternFill patternType="solid">
        <fgColor rgb="FFD7EFA7"/>
        <bgColor rgb="FFD7EFA7"/>
      </patternFill>
    </fill>
    <fill>
      <patternFill patternType="solid">
        <fgColor rgb="FF323324"/>
        <bgColor rgb="FF323324"/>
      </patternFill>
    </fill>
    <fill>
      <patternFill patternType="solid">
        <fgColor rgb="FF8B7B4E"/>
        <bgColor rgb="FF8B7B4E"/>
      </patternFill>
    </fill>
    <fill>
      <patternFill patternType="solid">
        <fgColor rgb="FFAF8152"/>
        <bgColor rgb="FFAF8152"/>
      </patternFill>
    </fill>
    <fill>
      <patternFill patternType="solid">
        <fgColor rgb="FFB16633"/>
        <bgColor rgb="FFB16633"/>
      </patternFill>
    </fill>
    <fill>
      <patternFill patternType="solid">
        <fgColor rgb="FFFCAE99"/>
        <bgColor rgb="FFFCAE99"/>
      </patternFill>
    </fill>
    <fill>
      <patternFill patternType="solid">
        <fgColor rgb="FFE1A1A1"/>
        <bgColor rgb="FFE1A1A1"/>
      </patternFill>
    </fill>
    <fill>
      <patternFill patternType="solid">
        <fgColor rgb="FF995744"/>
        <bgColor rgb="FF995744"/>
      </patternFill>
    </fill>
    <fill>
      <patternFill patternType="solid">
        <fgColor rgb="FFC9AA92"/>
        <bgColor rgb="FFC9AA92"/>
      </patternFill>
    </fill>
    <fill>
      <patternFill patternType="solid">
        <fgColor rgb="FFA37D64"/>
        <bgColor rgb="FFA37D64"/>
      </patternFill>
    </fill>
    <fill>
      <patternFill patternType="solid">
        <fgColor rgb="FFB1AEB7"/>
        <bgColor rgb="FFB1AEB7"/>
      </patternFill>
    </fill>
    <fill>
      <patternFill patternType="solid">
        <fgColor rgb="FF921238"/>
        <bgColor rgb="FF921238"/>
      </patternFill>
    </fill>
    <fill>
      <patternFill patternType="solid">
        <fgColor rgb="FFEFA5AC"/>
        <bgColor rgb="FFEFA5AC"/>
      </patternFill>
    </fill>
    <fill>
      <patternFill patternType="solid">
        <fgColor rgb="FFD9539F"/>
        <bgColor rgb="FFD9539F"/>
      </patternFill>
    </fill>
    <fill>
      <patternFill patternType="solid">
        <fgColor rgb="FFDC9CDE"/>
        <bgColor rgb="FFDC9CDE"/>
      </patternFill>
    </fill>
    <fill>
      <patternFill patternType="solid">
        <fgColor rgb="FF454B8B"/>
        <bgColor rgb="FF454B8B"/>
      </patternFill>
    </fill>
    <fill>
      <patternFill patternType="solid">
        <fgColor rgb="FF1F7FA0"/>
        <bgColor rgb="FF1F7FA0"/>
      </patternFill>
    </fill>
    <fill>
      <patternFill patternType="solid">
        <fgColor rgb="FF4C605F"/>
        <bgColor rgb="FF4C605F"/>
      </patternFill>
    </fill>
    <fill>
      <patternFill patternType="solid">
        <fgColor rgb="FF86C3AB"/>
        <bgColor rgb="FF86C3AB"/>
      </patternFill>
    </fill>
    <fill>
      <patternFill patternType="solid">
        <fgColor rgb="FFBEDF74"/>
        <bgColor rgb="FFBEDF74"/>
      </patternFill>
    </fill>
    <fill>
      <patternFill patternType="solid">
        <fgColor rgb="FF8E9B6D"/>
        <bgColor rgb="FF8E9B6D"/>
      </patternFill>
    </fill>
    <fill>
      <patternFill patternType="solid">
        <fgColor rgb="FF655935"/>
        <bgColor rgb="FF655935"/>
      </patternFill>
    </fill>
    <fill>
      <patternFill patternType="solid">
        <fgColor rgb="FF855D31"/>
        <bgColor rgb="FF855D31"/>
      </patternFill>
    </fill>
    <fill>
      <patternFill patternType="solid">
        <fgColor rgb="FF813C11"/>
        <bgColor rgb="FF813C11"/>
      </patternFill>
    </fill>
    <fill>
      <patternFill patternType="solid">
        <fgColor rgb="FFFD8E78"/>
        <bgColor rgb="FFFD8E78"/>
      </patternFill>
    </fill>
    <fill>
      <patternFill patternType="solid">
        <fgColor rgb="FF7F4232"/>
        <bgColor rgb="FF7F4232"/>
      </patternFill>
    </fill>
    <fill>
      <patternFill patternType="solid">
        <fgColor rgb="FF94725D"/>
        <bgColor rgb="FF94725D"/>
      </patternFill>
    </fill>
    <fill>
      <patternFill patternType="solid">
        <fgColor rgb="FF7A5939"/>
        <bgColor rgb="FF7A5939"/>
      </patternFill>
    </fill>
    <fill>
      <patternFill patternType="solid">
        <fgColor rgb="FF827D7D"/>
        <bgColor rgb="FF827D7D"/>
      </patternFill>
    </fill>
    <fill>
      <patternFill patternType="solid">
        <fgColor rgb="FF800B34"/>
        <bgColor rgb="FF800B34"/>
      </patternFill>
    </fill>
    <fill>
      <patternFill patternType="solid">
        <fgColor rgb="FFEA7E86"/>
        <bgColor rgb="FFEA7E86"/>
      </patternFill>
    </fill>
    <fill>
      <patternFill patternType="solid">
        <fgColor rgb="FFAE4280"/>
        <bgColor rgb="FFAE4280"/>
      </patternFill>
    </fill>
    <fill>
      <patternFill patternType="solid">
        <fgColor rgb="FFA449AC"/>
        <bgColor rgb="FFA449AC"/>
      </patternFill>
    </fill>
    <fill>
      <patternFill patternType="solid">
        <fgColor rgb="FF393068"/>
        <bgColor rgb="FF393068"/>
      </patternFill>
    </fill>
    <fill>
      <patternFill patternType="solid">
        <fgColor rgb="FF384A4A"/>
        <bgColor rgb="FF384A4A"/>
      </patternFill>
    </fill>
    <fill>
      <patternFill patternType="solid">
        <fgColor rgb="FF89B89F"/>
        <bgColor rgb="FF89B89F"/>
      </patternFill>
    </fill>
    <fill>
      <patternFill patternType="solid">
        <fgColor rgb="FF6D9646"/>
        <bgColor rgb="FF6D9646"/>
      </patternFill>
    </fill>
    <fill>
      <patternFill patternType="solid">
        <fgColor rgb="FF617451"/>
        <bgColor rgb="FF617451"/>
      </patternFill>
    </fill>
    <fill>
      <patternFill patternType="solid">
        <fgColor rgb="FFAD9564"/>
        <bgColor rgb="FFAD9564"/>
      </patternFill>
    </fill>
    <fill>
      <patternFill patternType="solid">
        <fgColor rgb="FFFD6B4F"/>
        <bgColor rgb="FFFD6B4F"/>
      </patternFill>
    </fill>
    <fill>
      <patternFill patternType="solid">
        <fgColor rgb="FFA04B4C"/>
        <bgColor rgb="FFA04B4C"/>
      </patternFill>
    </fill>
    <fill>
      <patternFill patternType="solid">
        <fgColor rgb="FF6E492A"/>
        <bgColor rgb="FF6E492A"/>
      </patternFill>
    </fill>
    <fill>
      <patternFill patternType="solid">
        <fgColor rgb="FF6D6469"/>
        <bgColor rgb="FF6D6469"/>
      </patternFill>
    </fill>
    <fill>
      <patternFill patternType="solid">
        <fgColor rgb="FF711033"/>
        <bgColor rgb="FF711033"/>
      </patternFill>
    </fill>
    <fill>
      <patternFill patternType="solid">
        <fgColor rgb="FFC34C5C"/>
        <bgColor rgb="FFC34C5C"/>
      </patternFill>
    </fill>
    <fill>
      <patternFill patternType="solid">
        <fgColor rgb="FF732B55"/>
        <bgColor rgb="FF732B55"/>
      </patternFill>
    </fill>
    <fill>
      <patternFill patternType="solid">
        <fgColor rgb="FF902F99"/>
        <bgColor rgb="FF902F99"/>
      </patternFill>
    </fill>
    <fill>
      <patternFill patternType="solid">
        <fgColor rgb="FF2D2068"/>
        <bgColor rgb="FF2D2068"/>
      </patternFill>
    </fill>
    <fill>
      <patternFill patternType="solid">
        <fgColor rgb="FF35B193"/>
        <bgColor rgb="FF35B193"/>
      </patternFill>
    </fill>
    <fill>
      <patternFill patternType="solid">
        <fgColor rgb="FF57826E"/>
        <bgColor rgb="FF57826E"/>
      </patternFill>
    </fill>
    <fill>
      <patternFill patternType="solid">
        <fgColor rgb="FF56743B"/>
        <bgColor rgb="FF56743B"/>
      </patternFill>
    </fill>
    <fill>
      <patternFill patternType="solid">
        <fgColor rgb="FF49523C"/>
        <bgColor rgb="FF49523C"/>
      </patternFill>
    </fill>
    <fill>
      <patternFill patternType="solid">
        <fgColor rgb="FF9F8352"/>
        <bgColor rgb="FF9F8352"/>
      </patternFill>
    </fill>
    <fill>
      <patternFill patternType="solid">
        <fgColor rgb="FFFD480C"/>
        <bgColor rgb="FFFD480C"/>
      </patternFill>
    </fill>
    <fill>
      <patternFill patternType="solid">
        <fgColor rgb="FF933B3D"/>
        <bgColor rgb="FF933B3D"/>
      </patternFill>
    </fill>
    <fill>
      <patternFill patternType="solid">
        <fgColor rgb="FF423014"/>
        <bgColor rgb="FF423014"/>
      </patternFill>
    </fill>
    <fill>
      <patternFill patternType="solid">
        <fgColor rgb="FF4A3021"/>
        <bgColor rgb="FF4A3021"/>
      </patternFill>
    </fill>
    <fill>
      <patternFill patternType="solid">
        <fgColor rgb="FF4A4749"/>
        <bgColor rgb="FF4A4749"/>
      </patternFill>
    </fill>
    <fill>
      <patternFill patternType="solid">
        <fgColor rgb="FFAA3949"/>
        <bgColor rgb="FFAA3949"/>
      </patternFill>
    </fill>
    <fill>
      <patternFill patternType="solid">
        <fgColor rgb="FF580E5C"/>
        <bgColor rgb="FF580E5C"/>
      </patternFill>
    </fill>
    <fill>
      <patternFill patternType="solid">
        <fgColor rgb="FF207E72"/>
        <bgColor rgb="FF207E72"/>
      </patternFill>
    </fill>
    <fill>
      <patternFill patternType="solid">
        <fgColor rgb="FF2F5446"/>
        <bgColor rgb="FF2F5446"/>
      </patternFill>
    </fill>
    <fill>
      <patternFill patternType="solid">
        <fgColor rgb="FF40552E"/>
        <bgColor rgb="FF40552E"/>
      </patternFill>
    </fill>
    <fill>
      <patternFill patternType="solid">
        <fgColor rgb="FF917245"/>
        <bgColor rgb="FF917245"/>
      </patternFill>
    </fill>
    <fill>
      <patternFill patternType="solid">
        <fgColor rgb="FFF70F00"/>
        <bgColor rgb="FFF70F00"/>
      </patternFill>
    </fill>
    <fill>
      <patternFill patternType="solid">
        <fgColor rgb="FF792631"/>
        <bgColor rgb="FF792631"/>
      </patternFill>
    </fill>
    <fill>
      <patternFill patternType="solid">
        <fgColor rgb="FF39393D"/>
        <bgColor rgb="FF39393D"/>
      </patternFill>
    </fill>
    <fill>
      <patternFill patternType="solid">
        <fgColor rgb="FFCF0053"/>
        <bgColor rgb="FFCF0053"/>
      </patternFill>
    </fill>
    <fill>
      <patternFill patternType="solid">
        <fgColor rgb="FF186358"/>
        <bgColor rgb="FF186358"/>
      </patternFill>
    </fill>
    <fill>
      <patternFill patternType="solid">
        <fgColor rgb="FF1D362A"/>
        <bgColor rgb="FF1D362A"/>
      </patternFill>
    </fill>
    <fill>
      <patternFill patternType="solid">
        <fgColor rgb="FF344B2E"/>
        <bgColor rgb="FF344B2E"/>
      </patternFill>
    </fill>
    <fill>
      <patternFill patternType="solid">
        <fgColor rgb="FF000000"/>
        <bgColor rgb="FF000000"/>
      </patternFill>
    </fill>
    <fill>
      <patternFill patternType="solid">
        <fgColor rgb="FF0067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9CDE55"/>
        <bgColor indexed="64"/>
      </patternFill>
    </fill>
    <fill>
      <patternFill patternType="solid">
        <fgColor rgb="FFA2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4DA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5E67EF"/>
        <bgColor indexed="64"/>
      </patternFill>
    </fill>
    <fill>
      <patternFill patternType="solid">
        <fgColor rgb="FFD54DA5"/>
        <bgColor indexed="64"/>
      </patternFill>
    </fill>
    <fill>
      <patternFill patternType="solid">
        <fgColor rgb="FFFFE273"/>
        <bgColor indexed="64"/>
      </patternFill>
    </fill>
    <fill>
      <patternFill patternType="solid">
        <fgColor rgb="FFA460A0"/>
        <bgColor indexed="64"/>
      </patternFill>
    </fill>
    <fill>
      <patternFill patternType="solid">
        <fgColor rgb="FFEACF30"/>
        <bgColor indexed="64"/>
      </patternFill>
    </fill>
    <fill>
      <patternFill patternType="solid">
        <fgColor rgb="FFDEB60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72727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9D039"/>
        <bgColor indexed="64"/>
      </patternFill>
    </fill>
    <fill>
      <patternFill patternType="solid">
        <fgColor rgb="FFF9C739"/>
        <bgColor indexed="64"/>
      </patternFill>
    </fill>
    <fill>
      <patternFill patternType="solid">
        <fgColor rgb="FF4C13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27272"/>
        <bgColor rgb="FF000000"/>
      </patternFill>
    </fill>
    <fill>
      <patternFill patternType="solid">
        <fgColor rgb="FF2D3783"/>
        <bgColor indexed="64"/>
      </patternFill>
    </fill>
    <fill>
      <patternFill patternType="solid">
        <fgColor rgb="FFD4B785"/>
        <bgColor indexed="64"/>
      </patternFill>
    </fill>
    <fill>
      <patternFill patternType="solid">
        <fgColor rgb="FFE8D682"/>
        <bgColor indexed="64"/>
      </patternFill>
    </fill>
    <fill>
      <patternFill patternType="solid">
        <fgColor rgb="FF9CE5C9"/>
        <bgColor indexed="64"/>
      </patternFill>
    </fill>
    <fill>
      <patternFill patternType="solid">
        <fgColor rgb="FF617A1C"/>
        <bgColor indexed="64"/>
      </patternFill>
    </fill>
    <fill>
      <patternFill patternType="solid">
        <fgColor rgb="FFF6B5BB"/>
        <bgColor indexed="64"/>
      </patternFill>
    </fill>
    <fill>
      <patternFill patternType="solid">
        <fgColor rgb="FFC17229"/>
        <bgColor indexed="64"/>
      </patternFill>
    </fill>
    <fill>
      <patternFill patternType="solid">
        <fgColor rgb="FFFF7924"/>
        <bgColor indexed="64"/>
      </patternFill>
    </fill>
    <fill>
      <patternFill patternType="solid">
        <fgColor rgb="FF578FBA"/>
        <bgColor indexed="64"/>
      </patternFill>
    </fill>
    <fill>
      <patternFill patternType="solid">
        <fgColor rgb="FF844F28"/>
        <bgColor indexed="64"/>
      </patternFill>
    </fill>
    <fill>
      <patternFill patternType="solid">
        <fgColor rgb="FF941651"/>
        <bgColor indexed="64"/>
      </patternFill>
    </fill>
    <fill>
      <patternFill patternType="solid">
        <fgColor rgb="FFA3195B"/>
        <bgColor indexed="64"/>
      </patternFill>
    </fill>
    <fill>
      <patternFill patternType="solid">
        <fgColor rgb="FFBD83BF"/>
        <bgColor indexed="64"/>
      </patternFill>
    </fill>
    <fill>
      <patternFill patternType="solid">
        <fgColor rgb="FFEBC8E7"/>
        <bgColor indexed="64"/>
      </patternFill>
    </fill>
    <fill>
      <patternFill patternType="solid">
        <fgColor rgb="FFD06A1E"/>
        <bgColor indexed="64"/>
      </patternFill>
    </fill>
    <fill>
      <patternFill patternType="solid">
        <fgColor rgb="FFE14850"/>
        <bgColor indexed="64"/>
      </patternFill>
    </fill>
    <fill>
      <patternFill patternType="solid">
        <fgColor rgb="FF58635E"/>
        <bgColor indexed="64"/>
      </patternFill>
    </fill>
    <fill>
      <patternFill patternType="solid">
        <fgColor rgb="FF707E78"/>
        <bgColor indexed="64"/>
      </patternFill>
    </fill>
    <fill>
      <patternFill patternType="solid">
        <fgColor rgb="FF676AC2"/>
        <bgColor indexed="64"/>
      </patternFill>
    </fill>
    <fill>
      <patternFill patternType="solid">
        <fgColor rgb="FF787CE8"/>
        <bgColor indexed="64"/>
      </patternFill>
    </fill>
    <fill>
      <patternFill patternType="solid">
        <fgColor rgb="FF575BA9"/>
        <bgColor indexed="64"/>
      </patternFill>
    </fill>
    <fill>
      <patternFill patternType="solid">
        <fgColor rgb="FF4D5298"/>
        <bgColor indexed="64"/>
      </patternFill>
    </fill>
    <fill>
      <patternFill patternType="solid">
        <fgColor rgb="FF424786"/>
        <bgColor indexed="64"/>
      </patternFill>
    </fill>
    <fill>
      <patternFill patternType="solid">
        <fgColor rgb="FF323668"/>
        <bgColor indexed="64"/>
      </patternFill>
    </fill>
    <fill>
      <patternFill patternType="solid">
        <fgColor rgb="FFF2CBBE"/>
        <bgColor indexed="64"/>
      </patternFill>
    </fill>
    <fill>
      <patternFill patternType="solid">
        <fgColor rgb="FF35A8D9"/>
        <bgColor indexed="64"/>
      </patternFill>
    </fill>
    <fill>
      <patternFill patternType="solid">
        <fgColor rgb="FFC95F45"/>
        <bgColor indexed="64"/>
      </patternFill>
    </fill>
    <fill>
      <patternFill patternType="solid">
        <fgColor rgb="FFDCEB7D"/>
        <bgColor indexed="64"/>
      </patternFill>
    </fill>
    <fill>
      <patternFill patternType="solid">
        <fgColor rgb="FFFBACC4"/>
        <bgColor rgb="FF000000"/>
      </patternFill>
    </fill>
    <fill>
      <patternFill patternType="solid">
        <fgColor rgb="FFFC8B10"/>
        <bgColor rgb="FF000000"/>
      </patternFill>
    </fill>
    <fill>
      <patternFill patternType="solid">
        <fgColor rgb="FF711033"/>
        <bgColor rgb="FF000000"/>
      </patternFill>
    </fill>
    <fill>
      <patternFill patternType="solid">
        <fgColor rgb="FFD49FE1"/>
        <bgColor rgb="FF000000"/>
      </patternFill>
    </fill>
    <fill>
      <patternFill patternType="solid">
        <fgColor rgb="FFCEE9EA"/>
        <bgColor rgb="FF000000"/>
      </patternFill>
    </fill>
    <fill>
      <patternFill patternType="solid">
        <fgColor rgb="FF667684"/>
        <bgColor rgb="FF000000"/>
      </patternFill>
    </fill>
    <fill>
      <patternFill patternType="solid">
        <fgColor rgb="FFBAE4B6"/>
        <bgColor rgb="FF000000"/>
      </patternFill>
    </fill>
    <fill>
      <patternFill patternType="solid">
        <fgColor rgb="FF908E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39393D"/>
        <bgColor rgb="FF000000"/>
      </patternFill>
    </fill>
    <fill>
      <patternFill patternType="solid">
        <fgColor rgb="FFFDE949"/>
        <bgColor rgb="FF000000"/>
      </patternFill>
    </fill>
    <fill>
      <patternFill patternType="solid">
        <fgColor rgb="FFCB2089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E9E9E9"/>
      </bottom>
      <diagonal/>
    </border>
    <border>
      <left style="medium">
        <color indexed="64"/>
      </left>
      <right/>
      <top style="medium">
        <color indexed="64"/>
      </top>
      <bottom style="medium">
        <color rgb="FFE9E9E9"/>
      </bottom>
      <diagonal/>
    </border>
    <border>
      <left/>
      <right/>
      <top style="medium">
        <color indexed="64"/>
      </top>
      <bottom style="medium">
        <color rgb="FFE9E9E9"/>
      </bottom>
      <diagonal/>
    </border>
    <border>
      <left/>
      <right style="medium">
        <color indexed="64"/>
      </right>
      <top style="medium">
        <color indexed="64"/>
      </top>
      <bottom style="medium">
        <color rgb="FFE9E9E9"/>
      </bottom>
      <diagonal/>
    </border>
    <border>
      <left style="medium">
        <color indexed="64"/>
      </left>
      <right/>
      <top/>
      <bottom style="medium">
        <color rgb="FFE9E9E9"/>
      </bottom>
      <diagonal/>
    </border>
    <border>
      <left/>
      <right style="medium">
        <color indexed="64"/>
      </right>
      <top/>
      <bottom style="medium">
        <color rgb="FFE9E9E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8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4" xfId="0" applyFont="1" applyBorder="1"/>
    <xf numFmtId="0" fontId="1" fillId="330" borderId="0" xfId="0" applyFont="1" applyFill="1" applyAlignment="1">
      <alignment horizontal="center" vertical="center" wrapText="1"/>
    </xf>
    <xf numFmtId="0" fontId="1" fillId="419" borderId="0" xfId="0" applyFont="1" applyFill="1" applyAlignment="1">
      <alignment horizontal="center" vertical="center" wrapText="1"/>
    </xf>
    <xf numFmtId="0" fontId="1" fillId="451" borderId="0" xfId="0" applyFont="1" applyFill="1" applyAlignment="1">
      <alignment horizontal="center" vertical="center" wrapText="1"/>
    </xf>
    <xf numFmtId="0" fontId="1" fillId="408" borderId="0" xfId="0" applyFont="1" applyFill="1" applyAlignment="1">
      <alignment horizontal="center" vertical="center" wrapText="1"/>
    </xf>
    <xf numFmtId="0" fontId="1" fillId="420" borderId="0" xfId="0" applyFont="1" applyFill="1" applyAlignment="1">
      <alignment horizontal="center" vertical="center" wrapText="1"/>
    </xf>
    <xf numFmtId="0" fontId="1" fillId="426" borderId="0" xfId="0" applyFont="1" applyFill="1" applyAlignment="1">
      <alignment horizontal="center" vertical="center" wrapText="1"/>
    </xf>
    <xf numFmtId="0" fontId="1" fillId="157" borderId="0" xfId="0" applyFont="1" applyFill="1" applyAlignment="1">
      <alignment horizontal="center" vertical="center" wrapText="1"/>
    </xf>
    <xf numFmtId="0" fontId="1" fillId="455" borderId="0" xfId="0" applyFont="1" applyFill="1" applyAlignment="1">
      <alignment horizontal="center" vertical="center" wrapText="1"/>
    </xf>
    <xf numFmtId="0" fontId="1" fillId="414" borderId="0" xfId="0" applyFont="1" applyFill="1" applyAlignment="1">
      <alignment horizontal="center" vertical="center" wrapText="1"/>
    </xf>
    <xf numFmtId="0" fontId="1" fillId="416" borderId="0" xfId="0" applyFont="1" applyFill="1" applyAlignment="1">
      <alignment horizontal="center" vertical="center" wrapText="1"/>
    </xf>
    <xf numFmtId="0" fontId="1" fillId="418" borderId="0" xfId="0" applyFont="1" applyFill="1" applyAlignment="1">
      <alignment horizontal="center" vertical="center" wrapText="1"/>
    </xf>
    <xf numFmtId="0" fontId="1" fillId="422" borderId="0" xfId="0" applyFont="1" applyFill="1" applyAlignment="1">
      <alignment horizontal="center" vertical="center" wrapText="1"/>
    </xf>
    <xf numFmtId="0" fontId="1" fillId="424" borderId="0" xfId="0" applyFont="1" applyFill="1" applyAlignment="1">
      <alignment horizontal="center" vertical="center" wrapText="1"/>
    </xf>
    <xf numFmtId="0" fontId="1" fillId="428" borderId="0" xfId="0" applyFont="1" applyFill="1" applyAlignment="1">
      <alignment horizontal="center" vertical="center" wrapText="1"/>
    </xf>
    <xf numFmtId="0" fontId="1" fillId="430" borderId="0" xfId="0" applyFont="1" applyFill="1" applyAlignment="1">
      <alignment horizontal="center" vertical="center" wrapText="1"/>
    </xf>
    <xf numFmtId="0" fontId="1" fillId="432" borderId="0" xfId="0" applyFont="1" applyFill="1" applyAlignment="1">
      <alignment horizontal="center" vertical="center" wrapText="1"/>
    </xf>
    <xf numFmtId="0" fontId="1" fillId="434" borderId="0" xfId="0" applyFont="1" applyFill="1" applyAlignment="1">
      <alignment horizontal="center" vertical="center" wrapText="1"/>
    </xf>
    <xf numFmtId="0" fontId="1" fillId="436" borderId="0" xfId="0" applyFont="1" applyFill="1" applyAlignment="1">
      <alignment horizontal="center" vertical="center" wrapText="1"/>
    </xf>
    <xf numFmtId="0" fontId="1" fillId="438" borderId="0" xfId="0" applyFont="1" applyFill="1" applyAlignment="1">
      <alignment horizontal="center" vertical="center" wrapText="1"/>
    </xf>
    <xf numFmtId="0" fontId="1" fillId="440" borderId="0" xfId="0" applyFont="1" applyFill="1" applyAlignment="1">
      <alignment horizontal="center" vertical="center" wrapText="1"/>
    </xf>
    <xf numFmtId="0" fontId="1" fillId="442" borderId="0" xfId="0" applyFont="1" applyFill="1" applyAlignment="1">
      <alignment horizontal="center" vertical="center" wrapText="1"/>
    </xf>
    <xf numFmtId="0" fontId="1" fillId="444" borderId="0" xfId="0" applyFont="1" applyFill="1" applyAlignment="1">
      <alignment horizontal="center" vertical="center" wrapText="1"/>
    </xf>
    <xf numFmtId="0" fontId="1" fillId="446" borderId="0" xfId="0" applyFont="1" applyFill="1" applyAlignment="1">
      <alignment horizontal="center" vertical="center" wrapText="1"/>
    </xf>
    <xf numFmtId="0" fontId="1" fillId="448" borderId="0" xfId="0" applyFont="1" applyFill="1" applyAlignment="1">
      <alignment horizontal="center" vertical="center" wrapText="1"/>
    </xf>
    <xf numFmtId="0" fontId="1" fillId="450" borderId="0" xfId="0" applyFont="1" applyFill="1" applyAlignment="1">
      <alignment horizontal="center" vertical="center" wrapText="1"/>
    </xf>
    <xf numFmtId="0" fontId="1" fillId="452" borderId="0" xfId="0" applyFont="1" applyFill="1" applyAlignment="1">
      <alignment horizontal="center" vertical="center" wrapText="1"/>
    </xf>
    <xf numFmtId="0" fontId="1" fillId="454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1" fillId="47" borderId="0" xfId="0" applyFont="1" applyFill="1" applyAlignment="1">
      <alignment horizontal="center" vertical="center" wrapText="1"/>
    </xf>
    <xf numFmtId="0" fontId="1" fillId="57" borderId="0" xfId="0" applyFont="1" applyFill="1" applyAlignment="1">
      <alignment horizontal="center" vertical="center" wrapText="1"/>
    </xf>
    <xf numFmtId="0" fontId="1" fillId="69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1" fillId="74" borderId="0" xfId="0" applyFont="1" applyFill="1" applyAlignment="1">
      <alignment horizontal="center" vertical="center" wrapText="1"/>
    </xf>
    <xf numFmtId="0" fontId="1" fillId="84" borderId="0" xfId="0" applyFont="1" applyFill="1" applyAlignment="1">
      <alignment horizontal="center" vertical="center" wrapText="1"/>
    </xf>
    <xf numFmtId="0" fontId="1" fillId="125" borderId="0" xfId="0" applyFont="1" applyFill="1" applyAlignment="1">
      <alignment horizontal="center" vertical="center" wrapText="1"/>
    </xf>
    <xf numFmtId="0" fontId="1" fillId="129" borderId="0" xfId="0" applyFont="1" applyFill="1" applyAlignment="1">
      <alignment horizontal="center" vertical="center" wrapText="1"/>
    </xf>
    <xf numFmtId="0" fontId="1" fillId="137" borderId="0" xfId="0" applyFont="1" applyFill="1" applyAlignment="1">
      <alignment horizontal="center" vertical="center" wrapText="1"/>
    </xf>
    <xf numFmtId="0" fontId="1" fillId="143" borderId="0" xfId="0" applyFont="1" applyFill="1" applyAlignment="1">
      <alignment horizontal="center" vertical="center" wrapText="1"/>
    </xf>
    <xf numFmtId="0" fontId="1" fillId="186" borderId="0" xfId="0" applyFont="1" applyFill="1" applyAlignment="1">
      <alignment horizontal="center" vertical="center" wrapText="1"/>
    </xf>
    <xf numFmtId="0" fontId="1" fillId="188" borderId="0" xfId="0" applyFont="1" applyFill="1" applyAlignment="1">
      <alignment horizontal="center" vertical="center" wrapText="1"/>
    </xf>
    <xf numFmtId="0" fontId="1" fillId="173" borderId="0" xfId="0" applyFont="1" applyFill="1" applyAlignment="1">
      <alignment horizontal="center" vertical="center" wrapText="1"/>
    </xf>
    <xf numFmtId="0" fontId="1" fillId="179" borderId="0" xfId="0" applyFont="1" applyFill="1" applyAlignment="1">
      <alignment horizontal="center" vertical="center" wrapText="1"/>
    </xf>
    <xf numFmtId="0" fontId="1" fillId="191" borderId="0" xfId="0" applyFont="1" applyFill="1" applyAlignment="1">
      <alignment horizontal="center" vertical="center" wrapText="1"/>
    </xf>
    <xf numFmtId="0" fontId="1" fillId="238" borderId="0" xfId="0" applyFont="1" applyFill="1" applyAlignment="1">
      <alignment horizontal="center" vertical="center" wrapText="1"/>
    </xf>
    <xf numFmtId="0" fontId="1" fillId="258" borderId="0" xfId="0" applyFont="1" applyFill="1" applyAlignment="1">
      <alignment horizontal="center" vertical="center" wrapText="1"/>
    </xf>
    <xf numFmtId="0" fontId="1" fillId="260" borderId="0" xfId="0" applyFont="1" applyFill="1" applyAlignment="1">
      <alignment horizontal="center" vertical="center" wrapText="1"/>
    </xf>
    <xf numFmtId="0" fontId="1" fillId="371" borderId="0" xfId="0" applyFont="1" applyFill="1" applyAlignment="1">
      <alignment horizontal="center" vertical="center" wrapText="1"/>
    </xf>
    <xf numFmtId="0" fontId="1" fillId="336" borderId="0" xfId="0" applyFont="1" applyFill="1" applyAlignment="1">
      <alignment horizontal="center" vertical="center" wrapText="1"/>
    </xf>
    <xf numFmtId="0" fontId="1" fillId="338" borderId="0" xfId="0" applyFont="1" applyFill="1" applyAlignment="1">
      <alignment horizontal="center" vertical="center" wrapText="1"/>
    </xf>
    <xf numFmtId="0" fontId="1" fillId="340" borderId="0" xfId="0" applyFont="1" applyFill="1" applyAlignment="1">
      <alignment horizontal="center" vertical="center" wrapText="1"/>
    </xf>
    <xf numFmtId="0" fontId="1" fillId="342" borderId="0" xfId="0" applyFont="1" applyFill="1" applyAlignment="1">
      <alignment horizontal="center" vertical="center" wrapText="1"/>
    </xf>
    <xf numFmtId="0" fontId="1" fillId="344" borderId="0" xfId="0" applyFont="1" applyFill="1" applyAlignment="1">
      <alignment horizontal="center" vertical="center" wrapText="1"/>
    </xf>
    <xf numFmtId="0" fontId="1" fillId="346" borderId="0" xfId="0" applyFont="1" applyFill="1" applyAlignment="1">
      <alignment horizontal="center" vertical="center" wrapText="1"/>
    </xf>
    <xf numFmtId="0" fontId="1" fillId="348" borderId="0" xfId="0" applyFont="1" applyFill="1" applyAlignment="1">
      <alignment horizontal="center" vertical="center" wrapText="1"/>
    </xf>
    <xf numFmtId="0" fontId="1" fillId="350" borderId="0" xfId="0" applyFont="1" applyFill="1" applyAlignment="1">
      <alignment horizontal="center" vertical="center" wrapText="1"/>
    </xf>
    <xf numFmtId="0" fontId="1" fillId="352" borderId="0" xfId="0" applyFont="1" applyFill="1" applyAlignment="1">
      <alignment horizontal="center" vertical="center" wrapText="1"/>
    </xf>
    <xf numFmtId="0" fontId="1" fillId="354" borderId="0" xfId="0" applyFont="1" applyFill="1" applyAlignment="1">
      <alignment horizontal="center" vertical="center" wrapText="1"/>
    </xf>
    <xf numFmtId="0" fontId="1" fillId="356" borderId="0" xfId="0" applyFont="1" applyFill="1" applyAlignment="1">
      <alignment horizontal="center" vertical="center" wrapText="1"/>
    </xf>
    <xf numFmtId="0" fontId="1" fillId="358" borderId="0" xfId="0" applyFont="1" applyFill="1" applyAlignment="1">
      <alignment horizontal="center" vertical="center" wrapText="1"/>
    </xf>
    <xf numFmtId="0" fontId="1" fillId="360" borderId="0" xfId="0" applyFont="1" applyFill="1" applyAlignment="1">
      <alignment horizontal="center" vertical="center" wrapText="1"/>
    </xf>
    <xf numFmtId="0" fontId="1" fillId="362" borderId="0" xfId="0" applyFont="1" applyFill="1" applyAlignment="1">
      <alignment horizontal="center" vertical="center" wrapText="1"/>
    </xf>
    <xf numFmtId="0" fontId="1" fillId="364" borderId="0" xfId="0" applyFont="1" applyFill="1" applyAlignment="1">
      <alignment horizontal="center" vertical="center" wrapText="1"/>
    </xf>
    <xf numFmtId="0" fontId="1" fillId="366" borderId="0" xfId="0" applyFont="1" applyFill="1" applyAlignment="1">
      <alignment horizontal="center" vertical="center" wrapText="1"/>
    </xf>
    <xf numFmtId="0" fontId="1" fillId="368" borderId="0" xfId="0" applyFont="1" applyFill="1" applyAlignment="1">
      <alignment horizontal="center" vertical="center" wrapText="1"/>
    </xf>
    <xf numFmtId="0" fontId="1" fillId="370" borderId="0" xfId="0" applyFont="1" applyFill="1" applyAlignment="1">
      <alignment horizontal="center" vertical="center" wrapText="1"/>
    </xf>
    <xf numFmtId="0" fontId="1" fillId="372" borderId="0" xfId="0" applyFont="1" applyFill="1" applyAlignment="1">
      <alignment horizontal="center" vertical="center" wrapText="1"/>
    </xf>
    <xf numFmtId="0" fontId="1" fillId="374" borderId="0" xfId="0" applyFont="1" applyFill="1" applyAlignment="1">
      <alignment horizontal="center" vertical="center" wrapText="1"/>
    </xf>
    <xf numFmtId="0" fontId="1" fillId="376" borderId="0" xfId="0" applyFont="1" applyFill="1" applyAlignment="1">
      <alignment horizontal="center" vertical="center" wrapText="1"/>
    </xf>
    <xf numFmtId="0" fontId="1" fillId="378" borderId="0" xfId="0" applyFont="1" applyFill="1" applyAlignment="1">
      <alignment horizontal="center" vertical="center" wrapText="1"/>
    </xf>
    <xf numFmtId="0" fontId="1" fillId="380" borderId="0" xfId="0" applyFont="1" applyFill="1" applyAlignment="1">
      <alignment horizontal="center" vertical="center" wrapText="1"/>
    </xf>
    <xf numFmtId="0" fontId="1" fillId="382" borderId="0" xfId="0" applyFont="1" applyFill="1" applyAlignment="1">
      <alignment horizontal="center" vertical="center" wrapText="1"/>
    </xf>
    <xf numFmtId="0" fontId="1" fillId="384" borderId="0" xfId="0" applyFont="1" applyFill="1" applyAlignment="1">
      <alignment horizontal="center" vertical="center" wrapText="1"/>
    </xf>
    <xf numFmtId="0" fontId="1" fillId="386" borderId="0" xfId="0" applyFont="1" applyFill="1" applyAlignment="1">
      <alignment horizontal="center" vertical="center" wrapText="1"/>
    </xf>
    <xf numFmtId="0" fontId="1" fillId="388" borderId="0" xfId="0" applyFont="1" applyFill="1" applyAlignment="1">
      <alignment horizontal="center" vertical="center" wrapText="1"/>
    </xf>
    <xf numFmtId="0" fontId="1" fillId="390" borderId="0" xfId="0" applyFont="1" applyFill="1" applyAlignment="1">
      <alignment horizontal="center" vertical="center" wrapText="1"/>
    </xf>
    <xf numFmtId="0" fontId="1" fillId="392" borderId="0" xfId="0" applyFont="1" applyFill="1" applyAlignment="1">
      <alignment horizontal="center" vertical="center" wrapText="1"/>
    </xf>
    <xf numFmtId="0" fontId="1" fillId="394" borderId="0" xfId="0" applyFont="1" applyFill="1" applyAlignment="1">
      <alignment horizontal="center" vertical="center" wrapText="1"/>
    </xf>
    <xf numFmtId="0" fontId="1" fillId="396" borderId="0" xfId="0" applyFont="1" applyFill="1" applyAlignment="1">
      <alignment horizontal="center" vertical="center" wrapText="1"/>
    </xf>
    <xf numFmtId="0" fontId="1" fillId="398" borderId="0" xfId="0" applyFont="1" applyFill="1" applyAlignment="1">
      <alignment horizontal="center" vertical="center" wrapText="1"/>
    </xf>
    <xf numFmtId="0" fontId="1" fillId="399" borderId="0" xfId="0" applyFont="1" applyFill="1" applyAlignment="1">
      <alignment horizontal="center" vertical="center" wrapText="1"/>
    </xf>
    <xf numFmtId="0" fontId="1" fillId="401" borderId="0" xfId="0" applyFont="1" applyFill="1" applyAlignment="1">
      <alignment horizontal="center" vertical="center" wrapText="1"/>
    </xf>
    <xf numFmtId="0" fontId="1" fillId="403" borderId="0" xfId="0" applyFont="1" applyFill="1" applyAlignment="1">
      <alignment horizontal="center" vertical="center" wrapText="1"/>
    </xf>
    <xf numFmtId="0" fontId="1" fillId="405" borderId="0" xfId="0" applyFont="1" applyFill="1" applyAlignment="1">
      <alignment horizontal="center" vertical="center" wrapText="1"/>
    </xf>
    <xf numFmtId="0" fontId="1" fillId="407" borderId="0" xfId="0" applyFont="1" applyFill="1" applyAlignment="1">
      <alignment horizontal="center" vertical="center" wrapText="1"/>
    </xf>
    <xf numFmtId="0" fontId="1" fillId="409" borderId="0" xfId="0" applyFont="1" applyFill="1" applyAlignment="1">
      <alignment horizontal="center" vertical="center" wrapText="1"/>
    </xf>
    <xf numFmtId="0" fontId="1" fillId="411" borderId="0" xfId="0" applyFont="1" applyFill="1" applyAlignment="1">
      <alignment horizontal="center" vertical="center" wrapText="1"/>
    </xf>
    <xf numFmtId="0" fontId="1" fillId="413" borderId="0" xfId="0" applyFont="1" applyFill="1" applyAlignment="1">
      <alignment horizontal="center" vertical="center" wrapText="1"/>
    </xf>
    <xf numFmtId="0" fontId="1" fillId="415" borderId="0" xfId="0" applyFont="1" applyFill="1" applyAlignment="1">
      <alignment horizontal="center" vertical="center" wrapText="1"/>
    </xf>
    <xf numFmtId="0" fontId="1" fillId="417" borderId="0" xfId="0" applyFont="1" applyFill="1" applyAlignment="1">
      <alignment horizontal="center" vertical="center" wrapText="1"/>
    </xf>
    <xf numFmtId="0" fontId="1" fillId="421" borderId="0" xfId="0" applyFont="1" applyFill="1" applyAlignment="1">
      <alignment horizontal="center" vertical="center" wrapText="1"/>
    </xf>
    <xf numFmtId="0" fontId="1" fillId="423" borderId="0" xfId="0" applyFont="1" applyFill="1" applyAlignment="1">
      <alignment horizontal="center" vertical="center" wrapText="1"/>
    </xf>
    <xf numFmtId="0" fontId="1" fillId="425" borderId="0" xfId="0" applyFont="1" applyFill="1" applyAlignment="1">
      <alignment horizontal="center" vertical="center" wrapText="1"/>
    </xf>
    <xf numFmtId="0" fontId="1" fillId="427" borderId="0" xfId="0" applyFont="1" applyFill="1" applyAlignment="1">
      <alignment horizontal="center" vertical="center" wrapText="1"/>
    </xf>
    <xf numFmtId="0" fontId="1" fillId="429" borderId="0" xfId="0" applyFont="1" applyFill="1" applyAlignment="1">
      <alignment horizontal="center" vertical="center" wrapText="1"/>
    </xf>
    <xf numFmtId="0" fontId="1" fillId="431" borderId="0" xfId="0" applyFont="1" applyFill="1" applyAlignment="1">
      <alignment horizontal="center" vertical="center" wrapText="1"/>
    </xf>
    <xf numFmtId="0" fontId="1" fillId="433" borderId="0" xfId="0" applyFont="1" applyFill="1" applyAlignment="1">
      <alignment horizontal="center" vertical="center" wrapText="1"/>
    </xf>
    <xf numFmtId="0" fontId="1" fillId="435" borderId="0" xfId="0" applyFont="1" applyFill="1" applyAlignment="1">
      <alignment horizontal="center" vertical="center" wrapText="1"/>
    </xf>
    <xf numFmtId="0" fontId="1" fillId="437" borderId="0" xfId="0" applyFont="1" applyFill="1" applyAlignment="1">
      <alignment horizontal="center" vertical="center" wrapText="1"/>
    </xf>
    <xf numFmtId="0" fontId="1" fillId="439" borderId="0" xfId="0" applyFont="1" applyFill="1" applyAlignment="1">
      <alignment horizontal="center" vertical="center" wrapText="1"/>
    </xf>
    <xf numFmtId="0" fontId="1" fillId="441" borderId="0" xfId="0" applyFont="1" applyFill="1" applyAlignment="1">
      <alignment horizontal="center" vertical="center" wrapText="1"/>
    </xf>
    <xf numFmtId="0" fontId="1" fillId="443" borderId="0" xfId="0" applyFont="1" applyFill="1" applyAlignment="1">
      <alignment horizontal="center" vertical="center" wrapText="1"/>
    </xf>
    <xf numFmtId="0" fontId="1" fillId="445" borderId="0" xfId="0" applyFont="1" applyFill="1" applyAlignment="1">
      <alignment horizontal="center" vertical="center" wrapText="1"/>
    </xf>
    <xf numFmtId="0" fontId="1" fillId="447" borderId="0" xfId="0" applyFont="1" applyFill="1" applyAlignment="1">
      <alignment horizontal="center" vertical="center" wrapText="1"/>
    </xf>
    <xf numFmtId="0" fontId="1" fillId="449" borderId="0" xfId="0" applyFont="1" applyFill="1" applyAlignment="1">
      <alignment horizontal="center" vertical="center" wrapText="1"/>
    </xf>
    <xf numFmtId="0" fontId="1" fillId="453" borderId="0" xfId="0" applyFont="1" applyFill="1" applyAlignment="1">
      <alignment horizontal="center" vertical="center" wrapText="1"/>
    </xf>
    <xf numFmtId="0" fontId="1" fillId="400" borderId="0" xfId="0" applyFont="1" applyFill="1" applyAlignment="1">
      <alignment horizontal="center" vertical="center" wrapText="1"/>
    </xf>
    <xf numFmtId="0" fontId="1" fillId="402" borderId="0" xfId="0" applyFont="1" applyFill="1" applyAlignment="1">
      <alignment horizontal="center" vertical="center" wrapText="1"/>
    </xf>
    <xf numFmtId="0" fontId="1" fillId="404" borderId="0" xfId="0" applyFont="1" applyFill="1" applyAlignment="1">
      <alignment horizontal="center" vertical="center" wrapText="1"/>
    </xf>
    <xf numFmtId="0" fontId="1" fillId="406" borderId="0" xfId="0" applyFont="1" applyFill="1" applyAlignment="1">
      <alignment horizontal="center" vertical="center" wrapText="1"/>
    </xf>
    <xf numFmtId="0" fontId="1" fillId="282" borderId="0" xfId="0" applyFont="1" applyFill="1" applyAlignment="1">
      <alignment horizontal="center" vertical="center" wrapText="1"/>
    </xf>
    <xf numFmtId="0" fontId="1" fillId="284" borderId="0" xfId="0" applyFont="1" applyFill="1" applyAlignment="1">
      <alignment horizontal="center" vertical="center" wrapText="1"/>
    </xf>
    <xf numFmtId="0" fontId="1" fillId="286" borderId="0" xfId="0" applyFont="1" applyFill="1" applyAlignment="1">
      <alignment horizontal="center" vertical="center" wrapText="1"/>
    </xf>
    <xf numFmtId="0" fontId="1" fillId="288" borderId="0" xfId="0" applyFont="1" applyFill="1" applyAlignment="1">
      <alignment horizontal="center" vertical="center" wrapText="1"/>
    </xf>
    <xf numFmtId="0" fontId="1" fillId="290" borderId="0" xfId="0" applyFont="1" applyFill="1" applyAlignment="1">
      <alignment horizontal="center" vertical="center" wrapText="1"/>
    </xf>
    <xf numFmtId="0" fontId="1" fillId="292" borderId="0" xfId="0" applyFont="1" applyFill="1" applyAlignment="1">
      <alignment horizontal="center" vertical="center" wrapText="1"/>
    </xf>
    <xf numFmtId="0" fontId="1" fillId="294" borderId="0" xfId="0" applyFont="1" applyFill="1" applyAlignment="1">
      <alignment horizontal="center" vertical="center" wrapText="1"/>
    </xf>
    <xf numFmtId="0" fontId="1" fillId="296" borderId="0" xfId="0" applyFont="1" applyFill="1" applyAlignment="1">
      <alignment horizontal="center" vertical="center" wrapText="1"/>
    </xf>
    <xf numFmtId="0" fontId="1" fillId="298" borderId="0" xfId="0" applyFont="1" applyFill="1" applyAlignment="1">
      <alignment horizontal="center" vertical="center" wrapText="1"/>
    </xf>
    <xf numFmtId="0" fontId="1" fillId="300" borderId="0" xfId="0" applyFont="1" applyFill="1" applyAlignment="1">
      <alignment horizontal="center" vertical="center" wrapText="1"/>
    </xf>
    <xf numFmtId="0" fontId="1" fillId="302" borderId="0" xfId="0" applyFont="1" applyFill="1" applyAlignment="1">
      <alignment horizontal="center" vertical="center" wrapText="1"/>
    </xf>
    <xf numFmtId="0" fontId="1" fillId="304" borderId="0" xfId="0" applyFont="1" applyFill="1" applyAlignment="1">
      <alignment horizontal="center" vertical="center" wrapText="1"/>
    </xf>
    <xf numFmtId="0" fontId="1" fillId="306" borderId="0" xfId="0" applyFont="1" applyFill="1" applyAlignment="1">
      <alignment horizontal="center" vertical="center" wrapText="1"/>
    </xf>
    <xf numFmtId="0" fontId="1" fillId="308" borderId="0" xfId="0" applyFont="1" applyFill="1" applyAlignment="1">
      <alignment horizontal="center" vertical="center" wrapText="1"/>
    </xf>
    <xf numFmtId="0" fontId="1" fillId="310" borderId="0" xfId="0" applyFont="1" applyFill="1" applyAlignment="1">
      <alignment horizontal="center" vertical="center" wrapText="1"/>
    </xf>
    <xf numFmtId="0" fontId="1" fillId="312" borderId="0" xfId="0" applyFont="1" applyFill="1" applyAlignment="1">
      <alignment horizontal="center" vertical="center" wrapText="1"/>
    </xf>
    <xf numFmtId="0" fontId="1" fillId="314" borderId="0" xfId="0" applyFont="1" applyFill="1" applyAlignment="1">
      <alignment horizontal="center" vertical="center" wrapText="1"/>
    </xf>
    <xf numFmtId="0" fontId="1" fillId="316" borderId="0" xfId="0" applyFont="1" applyFill="1" applyAlignment="1">
      <alignment horizontal="center" vertical="center" wrapText="1"/>
    </xf>
    <xf numFmtId="0" fontId="1" fillId="318" borderId="0" xfId="0" applyFont="1" applyFill="1" applyAlignment="1">
      <alignment horizontal="center" vertical="center" wrapText="1"/>
    </xf>
    <xf numFmtId="0" fontId="1" fillId="319" borderId="0" xfId="0" applyFont="1" applyFill="1" applyAlignment="1">
      <alignment horizontal="center" vertical="center" wrapText="1"/>
    </xf>
    <xf numFmtId="0" fontId="1" fillId="321" borderId="0" xfId="0" applyFont="1" applyFill="1" applyAlignment="1">
      <alignment horizontal="center" vertical="center" wrapText="1"/>
    </xf>
    <xf numFmtId="0" fontId="1" fillId="323" borderId="0" xfId="0" applyFont="1" applyFill="1" applyAlignment="1">
      <alignment horizontal="center" vertical="center" wrapText="1"/>
    </xf>
    <xf numFmtId="0" fontId="1" fillId="325" borderId="0" xfId="0" applyFont="1" applyFill="1" applyAlignment="1">
      <alignment horizontal="center" vertical="center" wrapText="1"/>
    </xf>
    <xf numFmtId="0" fontId="1" fillId="327" borderId="0" xfId="0" applyFont="1" applyFill="1" applyAlignment="1">
      <alignment horizontal="center" vertical="center" wrapText="1"/>
    </xf>
    <xf numFmtId="0" fontId="1" fillId="329" borderId="0" xfId="0" applyFont="1" applyFill="1" applyAlignment="1">
      <alignment horizontal="center" vertical="center" wrapText="1"/>
    </xf>
    <xf numFmtId="0" fontId="1" fillId="331" borderId="0" xfId="0" applyFont="1" applyFill="1" applyAlignment="1">
      <alignment horizontal="center" vertical="center" wrapText="1"/>
    </xf>
    <xf numFmtId="0" fontId="1" fillId="333" borderId="0" xfId="0" applyFont="1" applyFill="1" applyAlignment="1">
      <alignment horizontal="center" vertical="center" wrapText="1"/>
    </xf>
    <xf numFmtId="0" fontId="1" fillId="335" borderId="0" xfId="0" applyFont="1" applyFill="1" applyAlignment="1">
      <alignment horizontal="center" vertical="center" wrapText="1"/>
    </xf>
    <xf numFmtId="0" fontId="1" fillId="337" borderId="0" xfId="0" applyFont="1" applyFill="1" applyAlignment="1">
      <alignment horizontal="center" vertical="center" wrapText="1"/>
    </xf>
    <xf numFmtId="0" fontId="1" fillId="339" borderId="0" xfId="0" applyFont="1" applyFill="1" applyAlignment="1">
      <alignment horizontal="center" vertical="center" wrapText="1"/>
    </xf>
    <xf numFmtId="0" fontId="1" fillId="341" borderId="0" xfId="0" applyFont="1" applyFill="1" applyAlignment="1">
      <alignment horizontal="center" vertical="center" wrapText="1"/>
    </xf>
    <xf numFmtId="0" fontId="1" fillId="343" borderId="0" xfId="0" applyFont="1" applyFill="1" applyAlignment="1">
      <alignment horizontal="center" vertical="center" wrapText="1"/>
    </xf>
    <xf numFmtId="0" fontId="1" fillId="345" borderId="0" xfId="0" applyFont="1" applyFill="1" applyAlignment="1">
      <alignment horizontal="center" vertical="center" wrapText="1"/>
    </xf>
    <xf numFmtId="0" fontId="1" fillId="347" borderId="0" xfId="0" applyFont="1" applyFill="1" applyAlignment="1">
      <alignment horizontal="center" vertical="center" wrapText="1"/>
    </xf>
    <xf numFmtId="0" fontId="1" fillId="349" borderId="0" xfId="0" applyFont="1" applyFill="1" applyAlignment="1">
      <alignment horizontal="center" vertical="center" wrapText="1"/>
    </xf>
    <xf numFmtId="0" fontId="1" fillId="351" borderId="0" xfId="0" applyFont="1" applyFill="1" applyAlignment="1">
      <alignment horizontal="center" vertical="center" wrapText="1"/>
    </xf>
    <xf numFmtId="0" fontId="1" fillId="353" borderId="0" xfId="0" applyFont="1" applyFill="1" applyAlignment="1">
      <alignment horizontal="center" vertical="center" wrapText="1"/>
    </xf>
    <xf numFmtId="0" fontId="1" fillId="355" borderId="0" xfId="0" applyFont="1" applyFill="1" applyAlignment="1">
      <alignment horizontal="center" vertical="center" wrapText="1"/>
    </xf>
    <xf numFmtId="0" fontId="1" fillId="357" borderId="0" xfId="0" applyFont="1" applyFill="1" applyAlignment="1">
      <alignment horizontal="center" vertical="center" wrapText="1"/>
    </xf>
    <xf numFmtId="0" fontId="1" fillId="359" borderId="0" xfId="0" applyFont="1" applyFill="1" applyAlignment="1">
      <alignment horizontal="center" vertical="center" wrapText="1"/>
    </xf>
    <xf numFmtId="0" fontId="1" fillId="361" borderId="0" xfId="0" applyFont="1" applyFill="1" applyAlignment="1">
      <alignment horizontal="center" vertical="center" wrapText="1"/>
    </xf>
    <xf numFmtId="0" fontId="1" fillId="363" borderId="0" xfId="0" applyFont="1" applyFill="1" applyAlignment="1">
      <alignment horizontal="center" vertical="center" wrapText="1"/>
    </xf>
    <xf numFmtId="0" fontId="1" fillId="365" borderId="0" xfId="0" applyFont="1" applyFill="1" applyAlignment="1">
      <alignment horizontal="center" vertical="center" wrapText="1"/>
    </xf>
    <xf numFmtId="0" fontId="1" fillId="367" borderId="0" xfId="0" applyFont="1" applyFill="1" applyAlignment="1">
      <alignment horizontal="center" vertical="center" wrapText="1"/>
    </xf>
    <xf numFmtId="0" fontId="1" fillId="369" borderId="0" xfId="0" applyFont="1" applyFill="1" applyAlignment="1">
      <alignment horizontal="center" vertical="center" wrapText="1"/>
    </xf>
    <xf numFmtId="0" fontId="1" fillId="373" borderId="0" xfId="0" applyFont="1" applyFill="1" applyAlignment="1">
      <alignment horizontal="center" vertical="center" wrapText="1"/>
    </xf>
    <xf numFmtId="0" fontId="1" fillId="375" borderId="0" xfId="0" applyFont="1" applyFill="1" applyAlignment="1">
      <alignment horizontal="center" vertical="center" wrapText="1"/>
    </xf>
    <xf numFmtId="0" fontId="1" fillId="377" borderId="0" xfId="0" applyFont="1" applyFill="1" applyAlignment="1">
      <alignment horizontal="center" vertical="center" wrapText="1"/>
    </xf>
    <xf numFmtId="0" fontId="1" fillId="379" borderId="0" xfId="0" applyFont="1" applyFill="1" applyAlignment="1">
      <alignment horizontal="center" vertical="center" wrapText="1"/>
    </xf>
    <xf numFmtId="0" fontId="1" fillId="381" borderId="0" xfId="0" applyFont="1" applyFill="1" applyAlignment="1">
      <alignment horizontal="center" vertical="center" wrapText="1"/>
    </xf>
    <xf numFmtId="0" fontId="1" fillId="383" borderId="0" xfId="0" applyFont="1" applyFill="1" applyAlignment="1">
      <alignment horizontal="center" vertical="center" wrapText="1"/>
    </xf>
    <xf numFmtId="0" fontId="1" fillId="385" borderId="0" xfId="0" applyFont="1" applyFill="1" applyAlignment="1">
      <alignment horizontal="center" vertical="center" wrapText="1"/>
    </xf>
    <xf numFmtId="0" fontId="1" fillId="387" borderId="0" xfId="0" applyFont="1" applyFill="1" applyAlignment="1">
      <alignment horizontal="center" vertical="center" wrapText="1"/>
    </xf>
    <xf numFmtId="0" fontId="1" fillId="389" borderId="0" xfId="0" applyFont="1" applyFill="1" applyAlignment="1">
      <alignment horizontal="center" vertical="center" wrapText="1"/>
    </xf>
    <xf numFmtId="0" fontId="1" fillId="391" borderId="0" xfId="0" applyFont="1" applyFill="1" applyAlignment="1">
      <alignment horizontal="center" vertical="center" wrapText="1"/>
    </xf>
    <xf numFmtId="0" fontId="1" fillId="393" borderId="0" xfId="0" applyFont="1" applyFill="1" applyAlignment="1">
      <alignment horizontal="center" vertical="center" wrapText="1"/>
    </xf>
    <xf numFmtId="0" fontId="1" fillId="395" borderId="0" xfId="0" applyFont="1" applyFill="1" applyAlignment="1">
      <alignment horizontal="center" vertical="center" wrapText="1"/>
    </xf>
    <xf numFmtId="0" fontId="1" fillId="397" borderId="0" xfId="0" applyFont="1" applyFill="1" applyAlignment="1">
      <alignment horizontal="center" vertical="center" wrapText="1"/>
    </xf>
    <xf numFmtId="0" fontId="1" fillId="320" borderId="0" xfId="0" applyFont="1" applyFill="1" applyAlignment="1">
      <alignment horizontal="center" vertical="center" wrapText="1"/>
    </xf>
    <xf numFmtId="0" fontId="1" fillId="322" borderId="0" xfId="0" applyFont="1" applyFill="1" applyAlignment="1">
      <alignment horizontal="center" vertical="center" wrapText="1"/>
    </xf>
    <xf numFmtId="0" fontId="1" fillId="324" borderId="0" xfId="0" applyFont="1" applyFill="1" applyAlignment="1">
      <alignment horizontal="center" vertical="center" wrapText="1"/>
    </xf>
    <xf numFmtId="0" fontId="1" fillId="326" borderId="0" xfId="0" applyFont="1" applyFill="1" applyAlignment="1">
      <alignment horizontal="center" vertical="center" wrapText="1"/>
    </xf>
    <xf numFmtId="0" fontId="1" fillId="328" borderId="0" xfId="0" applyFont="1" applyFill="1" applyAlignment="1">
      <alignment horizontal="center" vertical="center" wrapText="1"/>
    </xf>
    <xf numFmtId="0" fontId="1" fillId="228" borderId="0" xfId="0" applyFont="1" applyFill="1" applyAlignment="1">
      <alignment horizontal="center" vertical="center" wrapText="1"/>
    </xf>
    <xf numFmtId="0" fontId="1" fillId="230" borderId="0" xfId="0" applyFont="1" applyFill="1" applyAlignment="1">
      <alignment horizontal="center" vertical="center" wrapText="1"/>
    </xf>
    <xf numFmtId="0" fontId="1" fillId="232" borderId="0" xfId="0" applyFont="1" applyFill="1" applyAlignment="1">
      <alignment horizontal="center" vertical="center" wrapText="1"/>
    </xf>
    <xf numFmtId="0" fontId="1" fillId="234" borderId="0" xfId="0" applyFont="1" applyFill="1" applyAlignment="1">
      <alignment horizontal="center" vertical="center" wrapText="1"/>
    </xf>
    <xf numFmtId="0" fontId="1" fillId="236" borderId="0" xfId="0" applyFont="1" applyFill="1" applyAlignment="1">
      <alignment horizontal="center" vertical="center" wrapText="1"/>
    </xf>
    <xf numFmtId="0" fontId="1" fillId="239" borderId="0" xfId="0" applyFont="1" applyFill="1" applyAlignment="1">
      <alignment horizontal="center" vertical="center" wrapText="1"/>
    </xf>
    <xf numFmtId="0" fontId="1" fillId="241" borderId="0" xfId="0" applyFont="1" applyFill="1" applyAlignment="1">
      <alignment horizontal="center" vertical="center" wrapText="1"/>
    </xf>
    <xf numFmtId="0" fontId="1" fillId="243" borderId="0" xfId="0" applyFont="1" applyFill="1" applyAlignment="1">
      <alignment horizontal="center" vertical="center" wrapText="1"/>
    </xf>
    <xf numFmtId="0" fontId="1" fillId="245" borderId="0" xfId="0" applyFont="1" applyFill="1" applyAlignment="1">
      <alignment horizontal="center" vertical="center" wrapText="1"/>
    </xf>
    <xf numFmtId="0" fontId="1" fillId="247" borderId="0" xfId="0" applyFont="1" applyFill="1" applyAlignment="1">
      <alignment horizontal="center" vertical="center" wrapText="1"/>
    </xf>
    <xf numFmtId="0" fontId="1" fillId="249" borderId="0" xfId="0" applyFont="1" applyFill="1" applyAlignment="1">
      <alignment horizontal="center" vertical="center" wrapText="1"/>
    </xf>
    <xf numFmtId="0" fontId="1" fillId="251" borderId="0" xfId="0" applyFont="1" applyFill="1" applyAlignment="1">
      <alignment horizontal="center" vertical="center" wrapText="1"/>
    </xf>
    <xf numFmtId="0" fontId="1" fillId="253" borderId="0" xfId="0" applyFont="1" applyFill="1" applyAlignment="1">
      <alignment horizontal="center" vertical="center" wrapText="1"/>
    </xf>
    <xf numFmtId="0" fontId="1" fillId="255" borderId="0" xfId="0" applyFont="1" applyFill="1" applyAlignment="1">
      <alignment horizontal="center" vertical="center" wrapText="1"/>
    </xf>
    <xf numFmtId="0" fontId="1" fillId="257" borderId="0" xfId="0" applyFont="1" applyFill="1" applyAlignment="1">
      <alignment horizontal="center" vertical="center" wrapText="1"/>
    </xf>
    <xf numFmtId="0" fontId="1" fillId="259" borderId="0" xfId="0" applyFont="1" applyFill="1" applyAlignment="1">
      <alignment horizontal="center" vertical="center" wrapText="1"/>
    </xf>
    <xf numFmtId="0" fontId="1" fillId="261" borderId="0" xfId="0" applyFont="1" applyFill="1" applyAlignment="1">
      <alignment horizontal="center" vertical="center" wrapText="1"/>
    </xf>
    <xf numFmtId="0" fontId="1" fillId="263" borderId="0" xfId="0" applyFont="1" applyFill="1" applyAlignment="1">
      <alignment horizontal="center" vertical="center" wrapText="1"/>
    </xf>
    <xf numFmtId="0" fontId="1" fillId="265" borderId="0" xfId="0" applyFont="1" applyFill="1" applyAlignment="1">
      <alignment horizontal="center" vertical="center" wrapText="1"/>
    </xf>
    <xf numFmtId="0" fontId="1" fillId="267" borderId="0" xfId="0" applyFont="1" applyFill="1" applyAlignment="1">
      <alignment horizontal="center" vertical="center" wrapText="1"/>
    </xf>
    <xf numFmtId="0" fontId="1" fillId="269" borderId="0" xfId="0" applyFont="1" applyFill="1" applyAlignment="1">
      <alignment horizontal="center" vertical="center" wrapText="1"/>
    </xf>
    <xf numFmtId="0" fontId="1" fillId="271" borderId="0" xfId="0" applyFont="1" applyFill="1" applyAlignment="1">
      <alignment horizontal="center" vertical="center" wrapText="1"/>
    </xf>
    <xf numFmtId="0" fontId="1" fillId="273" borderId="0" xfId="0" applyFont="1" applyFill="1" applyAlignment="1">
      <alignment horizontal="center" vertical="center" wrapText="1"/>
    </xf>
    <xf numFmtId="0" fontId="1" fillId="275" borderId="0" xfId="0" applyFont="1" applyFill="1" applyAlignment="1">
      <alignment horizontal="center" vertical="center" wrapText="1"/>
    </xf>
    <xf numFmtId="0" fontId="1" fillId="277" borderId="0" xfId="0" applyFont="1" applyFill="1" applyAlignment="1">
      <alignment horizontal="center" vertical="center" wrapText="1"/>
    </xf>
    <xf numFmtId="0" fontId="1" fillId="279" borderId="0" xfId="0" applyFont="1" applyFill="1" applyAlignment="1">
      <alignment horizontal="center" vertical="center" wrapText="1"/>
    </xf>
    <xf numFmtId="0" fontId="1" fillId="281" borderId="0" xfId="0" applyFont="1" applyFill="1" applyAlignment="1">
      <alignment horizontal="center" vertical="center" wrapText="1"/>
    </xf>
    <xf numFmtId="0" fontId="1" fillId="283" borderId="0" xfId="0" applyFont="1" applyFill="1" applyAlignment="1">
      <alignment horizontal="center" vertical="center" wrapText="1"/>
    </xf>
    <xf numFmtId="0" fontId="1" fillId="285" borderId="0" xfId="0" applyFont="1" applyFill="1" applyAlignment="1">
      <alignment horizontal="center" vertical="center" wrapText="1"/>
    </xf>
    <xf numFmtId="0" fontId="1" fillId="287" borderId="0" xfId="0" applyFont="1" applyFill="1" applyAlignment="1">
      <alignment horizontal="center" vertical="center" wrapText="1"/>
    </xf>
    <xf numFmtId="0" fontId="1" fillId="289" borderId="0" xfId="0" applyFont="1" applyFill="1" applyAlignment="1">
      <alignment horizontal="center" vertical="center" wrapText="1"/>
    </xf>
    <xf numFmtId="0" fontId="1" fillId="291" borderId="0" xfId="0" applyFont="1" applyFill="1" applyAlignment="1">
      <alignment horizontal="center" vertical="center" wrapText="1"/>
    </xf>
    <xf numFmtId="0" fontId="1" fillId="293" borderId="0" xfId="0" applyFont="1" applyFill="1" applyAlignment="1">
      <alignment horizontal="center" vertical="center" wrapText="1"/>
    </xf>
    <xf numFmtId="0" fontId="1" fillId="295" borderId="0" xfId="0" applyFont="1" applyFill="1" applyAlignment="1">
      <alignment horizontal="center" vertical="center" wrapText="1"/>
    </xf>
    <xf numFmtId="0" fontId="1" fillId="297" borderId="0" xfId="0" applyFont="1" applyFill="1" applyAlignment="1">
      <alignment horizontal="center" vertical="center" wrapText="1"/>
    </xf>
    <xf numFmtId="0" fontId="1" fillId="299" borderId="0" xfId="0" applyFont="1" applyFill="1" applyAlignment="1">
      <alignment horizontal="center" vertical="center" wrapText="1"/>
    </xf>
    <xf numFmtId="0" fontId="1" fillId="301" borderId="0" xfId="0" applyFont="1" applyFill="1" applyAlignment="1">
      <alignment horizontal="center" vertical="center" wrapText="1"/>
    </xf>
    <xf numFmtId="0" fontId="1" fillId="303" borderId="0" xfId="0" applyFont="1" applyFill="1" applyAlignment="1">
      <alignment horizontal="center" vertical="center" wrapText="1"/>
    </xf>
    <xf numFmtId="0" fontId="1" fillId="305" borderId="0" xfId="0" applyFont="1" applyFill="1" applyAlignment="1">
      <alignment horizontal="center" vertical="center" wrapText="1"/>
    </xf>
    <xf numFmtId="0" fontId="1" fillId="307" borderId="0" xfId="0" applyFont="1" applyFill="1" applyAlignment="1">
      <alignment horizontal="center" vertical="center" wrapText="1"/>
    </xf>
    <xf numFmtId="0" fontId="1" fillId="309" borderId="0" xfId="0" applyFont="1" applyFill="1" applyAlignment="1">
      <alignment horizontal="center" vertical="center" wrapText="1"/>
    </xf>
    <xf numFmtId="0" fontId="1" fillId="311" borderId="0" xfId="0" applyFont="1" applyFill="1" applyAlignment="1">
      <alignment horizontal="center" vertical="center" wrapText="1"/>
    </xf>
    <xf numFmtId="0" fontId="1" fillId="313" borderId="0" xfId="0" applyFont="1" applyFill="1" applyAlignment="1">
      <alignment horizontal="center" vertical="center" wrapText="1"/>
    </xf>
    <xf numFmtId="0" fontId="1" fillId="315" borderId="0" xfId="0" applyFont="1" applyFill="1" applyAlignment="1">
      <alignment horizontal="center" vertical="center" wrapText="1"/>
    </xf>
    <xf numFmtId="0" fontId="1" fillId="317" borderId="0" xfId="0" applyFont="1" applyFill="1" applyAlignment="1">
      <alignment horizontal="center" vertical="center" wrapText="1"/>
    </xf>
    <xf numFmtId="0" fontId="1" fillId="240" borderId="0" xfId="0" applyFont="1" applyFill="1" applyAlignment="1">
      <alignment horizontal="center" vertical="center" wrapText="1"/>
    </xf>
    <xf numFmtId="0" fontId="1" fillId="242" borderId="0" xfId="0" applyFont="1" applyFill="1" applyAlignment="1">
      <alignment horizontal="center" vertical="center" wrapText="1"/>
    </xf>
    <xf numFmtId="0" fontId="1" fillId="244" borderId="0" xfId="0" applyFont="1" applyFill="1" applyAlignment="1">
      <alignment horizontal="center" vertical="center" wrapText="1"/>
    </xf>
    <xf numFmtId="0" fontId="1" fillId="246" borderId="0" xfId="0" applyFont="1" applyFill="1" applyAlignment="1">
      <alignment horizontal="center" vertical="center" wrapText="1"/>
    </xf>
    <xf numFmtId="0" fontId="1" fillId="248" borderId="0" xfId="0" applyFont="1" applyFill="1" applyAlignment="1">
      <alignment horizontal="center" vertical="center" wrapText="1"/>
    </xf>
    <xf numFmtId="0" fontId="1" fillId="250" borderId="0" xfId="0" applyFont="1" applyFill="1" applyAlignment="1">
      <alignment horizontal="center" vertical="center" wrapText="1"/>
    </xf>
    <xf numFmtId="0" fontId="1" fillId="252" borderId="0" xfId="0" applyFont="1" applyFill="1" applyAlignment="1">
      <alignment horizontal="center" vertical="center" wrapText="1"/>
    </xf>
    <xf numFmtId="0" fontId="1" fillId="254" borderId="0" xfId="0" applyFont="1" applyFill="1" applyAlignment="1">
      <alignment horizontal="center" vertical="center" wrapText="1"/>
    </xf>
    <xf numFmtId="0" fontId="1" fillId="256" borderId="0" xfId="0" applyFont="1" applyFill="1" applyAlignment="1">
      <alignment horizontal="center" vertical="center" wrapText="1"/>
    </xf>
    <xf numFmtId="0" fontId="1" fillId="262" borderId="0" xfId="0" applyFont="1" applyFill="1" applyAlignment="1">
      <alignment horizontal="center" vertical="center" wrapText="1"/>
    </xf>
    <xf numFmtId="0" fontId="1" fillId="264" borderId="0" xfId="0" applyFont="1" applyFill="1" applyAlignment="1">
      <alignment horizontal="center" vertical="center" wrapText="1"/>
    </xf>
    <xf numFmtId="0" fontId="1" fillId="266" borderId="0" xfId="0" applyFont="1" applyFill="1" applyAlignment="1">
      <alignment horizontal="center" vertical="center" wrapText="1"/>
    </xf>
    <xf numFmtId="0" fontId="1" fillId="268" borderId="0" xfId="0" applyFont="1" applyFill="1" applyAlignment="1">
      <alignment horizontal="center" vertical="center" wrapText="1"/>
    </xf>
    <xf numFmtId="0" fontId="1" fillId="270" borderId="0" xfId="0" applyFont="1" applyFill="1" applyAlignment="1">
      <alignment horizontal="center" vertical="center" wrapText="1"/>
    </xf>
    <xf numFmtId="0" fontId="1" fillId="272" borderId="0" xfId="0" applyFont="1" applyFill="1" applyAlignment="1">
      <alignment horizontal="center" vertical="center" wrapText="1"/>
    </xf>
    <xf numFmtId="0" fontId="1" fillId="274" borderId="0" xfId="0" applyFont="1" applyFill="1" applyAlignment="1">
      <alignment horizontal="center" vertical="center" wrapText="1"/>
    </xf>
    <xf numFmtId="0" fontId="1" fillId="276" borderId="0" xfId="0" applyFont="1" applyFill="1" applyAlignment="1">
      <alignment horizontal="center" vertical="center" wrapText="1"/>
    </xf>
    <xf numFmtId="0" fontId="1" fillId="174" borderId="0" xfId="0" applyFont="1" applyFill="1" applyAlignment="1">
      <alignment horizontal="center" vertical="center" wrapText="1"/>
    </xf>
    <xf numFmtId="0" fontId="1" fillId="176" borderId="0" xfId="0" applyFont="1" applyFill="1" applyAlignment="1">
      <alignment horizontal="center" vertical="center" wrapText="1"/>
    </xf>
    <xf numFmtId="0" fontId="1" fillId="178" borderId="0" xfId="0" applyFont="1" applyFill="1" applyAlignment="1">
      <alignment horizontal="center" vertical="center" wrapText="1"/>
    </xf>
    <xf numFmtId="0" fontId="1" fillId="180" borderId="0" xfId="0" applyFont="1" applyFill="1" applyAlignment="1">
      <alignment horizontal="center" vertical="center" wrapText="1"/>
    </xf>
    <xf numFmtId="0" fontId="1" fillId="182" borderId="0" xfId="0" applyFont="1" applyFill="1" applyAlignment="1">
      <alignment horizontal="center" vertical="center" wrapText="1"/>
    </xf>
    <xf numFmtId="0" fontId="1" fillId="184" borderId="0" xfId="0" applyFont="1" applyFill="1" applyAlignment="1">
      <alignment horizontal="center" vertical="center" wrapText="1"/>
    </xf>
    <xf numFmtId="0" fontId="1" fillId="190" borderId="0" xfId="0" applyFont="1" applyFill="1" applyAlignment="1">
      <alignment horizontal="center" vertical="center" wrapText="1"/>
    </xf>
    <xf numFmtId="0" fontId="1" fillId="192" borderId="0" xfId="0" applyFont="1" applyFill="1" applyAlignment="1">
      <alignment horizontal="center" vertical="center" wrapText="1"/>
    </xf>
    <xf numFmtId="0" fontId="1" fillId="194" borderId="0" xfId="0" applyFont="1" applyFill="1" applyAlignment="1">
      <alignment horizontal="center" vertical="center" wrapText="1"/>
    </xf>
    <xf numFmtId="0" fontId="1" fillId="196" borderId="0" xfId="0" applyFont="1" applyFill="1" applyAlignment="1">
      <alignment horizontal="center" vertical="center" wrapText="1"/>
    </xf>
    <xf numFmtId="0" fontId="1" fillId="198" borderId="0" xfId="0" applyFont="1" applyFill="1" applyAlignment="1">
      <alignment horizontal="center" vertical="center" wrapText="1"/>
    </xf>
    <xf numFmtId="0" fontId="1" fillId="200" borderId="0" xfId="0" applyFont="1" applyFill="1" applyAlignment="1">
      <alignment horizontal="center" vertical="center" wrapText="1"/>
    </xf>
    <xf numFmtId="0" fontId="1" fillId="202" borderId="0" xfId="0" applyFont="1" applyFill="1" applyAlignment="1">
      <alignment horizontal="center" vertical="center" wrapText="1"/>
    </xf>
    <xf numFmtId="0" fontId="1" fillId="204" borderId="0" xfId="0" applyFont="1" applyFill="1" applyAlignment="1">
      <alignment horizontal="center" vertical="center" wrapText="1"/>
    </xf>
    <xf numFmtId="0" fontId="1" fillId="206" borderId="0" xfId="0" applyFont="1" applyFill="1" applyAlignment="1">
      <alignment horizontal="center" vertical="center" wrapText="1"/>
    </xf>
    <xf numFmtId="0" fontId="1" fillId="208" borderId="0" xfId="0" applyFont="1" applyFill="1" applyAlignment="1">
      <alignment horizontal="center" vertical="center" wrapText="1"/>
    </xf>
    <xf numFmtId="0" fontId="1" fillId="210" borderId="0" xfId="0" applyFont="1" applyFill="1" applyAlignment="1">
      <alignment horizontal="center" vertical="center" wrapText="1"/>
    </xf>
    <xf numFmtId="0" fontId="1" fillId="212" borderId="0" xfId="0" applyFont="1" applyFill="1" applyAlignment="1">
      <alignment horizontal="center" vertical="center" wrapText="1"/>
    </xf>
    <xf numFmtId="0" fontId="1" fillId="214" borderId="0" xfId="0" applyFont="1" applyFill="1" applyAlignment="1">
      <alignment horizontal="center" vertical="center" wrapText="1"/>
    </xf>
    <xf numFmtId="0" fontId="1" fillId="216" borderId="0" xfId="0" applyFont="1" applyFill="1" applyAlignment="1">
      <alignment horizontal="center" vertical="center" wrapText="1"/>
    </xf>
    <xf numFmtId="0" fontId="1" fillId="218" borderId="0" xfId="0" applyFont="1" applyFill="1" applyAlignment="1">
      <alignment horizontal="center" vertical="center" wrapText="1"/>
    </xf>
    <xf numFmtId="0" fontId="1" fillId="220" borderId="0" xfId="0" applyFont="1" applyFill="1" applyAlignment="1">
      <alignment horizontal="center" vertical="center" wrapText="1"/>
    </xf>
    <xf numFmtId="0" fontId="1" fillId="222" borderId="0" xfId="0" applyFont="1" applyFill="1" applyAlignment="1">
      <alignment horizontal="center" vertical="center" wrapText="1"/>
    </xf>
    <xf numFmtId="0" fontId="1" fillId="223" borderId="0" xfId="0" applyFont="1" applyFill="1" applyAlignment="1">
      <alignment horizontal="center" vertical="center" wrapText="1"/>
    </xf>
    <xf numFmtId="0" fontId="1" fillId="225" borderId="0" xfId="0" applyFont="1" applyFill="1" applyAlignment="1">
      <alignment horizontal="center" vertical="center" wrapText="1"/>
    </xf>
    <xf numFmtId="0" fontId="1" fillId="227" borderId="0" xfId="0" applyFont="1" applyFill="1" applyAlignment="1">
      <alignment horizontal="center" vertical="center" wrapText="1"/>
    </xf>
    <xf numFmtId="0" fontId="1" fillId="229" borderId="0" xfId="0" applyFont="1" applyFill="1" applyAlignment="1">
      <alignment horizontal="center" vertical="center" wrapText="1"/>
    </xf>
    <xf numFmtId="0" fontId="1" fillId="231" borderId="0" xfId="0" applyFont="1" applyFill="1" applyAlignment="1">
      <alignment horizontal="center" vertical="center" wrapText="1"/>
    </xf>
    <xf numFmtId="0" fontId="1" fillId="233" borderId="0" xfId="0" applyFont="1" applyFill="1" applyAlignment="1">
      <alignment horizontal="center" vertical="center" wrapText="1"/>
    </xf>
    <xf numFmtId="0" fontId="1" fillId="235" borderId="0" xfId="0" applyFont="1" applyFill="1" applyAlignment="1">
      <alignment horizontal="center" vertical="center" wrapText="1"/>
    </xf>
    <xf numFmtId="0" fontId="1" fillId="237" borderId="0" xfId="0" applyFont="1" applyFill="1" applyAlignment="1">
      <alignment horizontal="center" vertical="center" wrapText="1"/>
    </xf>
    <xf numFmtId="0" fontId="1" fillId="161" borderId="0" xfId="0" applyFont="1" applyFill="1" applyAlignment="1">
      <alignment horizontal="center" vertical="center" wrapText="1"/>
    </xf>
    <xf numFmtId="0" fontId="1" fillId="163" borderId="0" xfId="0" applyFont="1" applyFill="1" applyAlignment="1">
      <alignment horizontal="center" vertical="center" wrapText="1"/>
    </xf>
    <xf numFmtId="0" fontId="1" fillId="165" borderId="0" xfId="0" applyFont="1" applyFill="1" applyAlignment="1">
      <alignment horizontal="center" vertical="center" wrapText="1"/>
    </xf>
    <xf numFmtId="0" fontId="1" fillId="167" borderId="0" xfId="0" applyFont="1" applyFill="1" applyAlignment="1">
      <alignment horizontal="center" vertical="center" wrapText="1"/>
    </xf>
    <xf numFmtId="0" fontId="1" fillId="169" borderId="0" xfId="0" applyFont="1" applyFill="1" applyAlignment="1">
      <alignment horizontal="center" vertical="center" wrapText="1"/>
    </xf>
    <xf numFmtId="0" fontId="1" fillId="171" borderId="0" xfId="0" applyFont="1" applyFill="1" applyAlignment="1">
      <alignment horizontal="center" vertical="center" wrapText="1"/>
    </xf>
    <xf numFmtId="0" fontId="1" fillId="175" borderId="0" xfId="0" applyFont="1" applyFill="1" applyAlignment="1">
      <alignment horizontal="center" vertical="center" wrapText="1"/>
    </xf>
    <xf numFmtId="0" fontId="1" fillId="177" borderId="0" xfId="0" applyFont="1" applyFill="1" applyAlignment="1">
      <alignment horizontal="center" vertical="center" wrapText="1"/>
    </xf>
    <xf numFmtId="0" fontId="1" fillId="181" borderId="0" xfId="0" applyFont="1" applyFill="1" applyAlignment="1">
      <alignment horizontal="center" vertical="center" wrapText="1"/>
    </xf>
    <xf numFmtId="0" fontId="1" fillId="183" borderId="0" xfId="0" applyFont="1" applyFill="1" applyAlignment="1">
      <alignment horizontal="center" vertical="center" wrapText="1"/>
    </xf>
    <xf numFmtId="0" fontId="1" fillId="185" borderId="0" xfId="0" applyFont="1" applyFill="1" applyAlignment="1">
      <alignment horizontal="center" vertical="center" wrapText="1"/>
    </xf>
    <xf numFmtId="0" fontId="1" fillId="187" borderId="0" xfId="0" applyFont="1" applyFill="1" applyAlignment="1">
      <alignment horizontal="center" vertical="center" wrapText="1"/>
    </xf>
    <xf numFmtId="0" fontId="1" fillId="189" borderId="0" xfId="0" applyFont="1" applyFill="1" applyAlignment="1">
      <alignment horizontal="center" vertical="center" wrapText="1"/>
    </xf>
    <xf numFmtId="0" fontId="1" fillId="193" borderId="0" xfId="0" applyFont="1" applyFill="1" applyAlignment="1">
      <alignment horizontal="center" vertical="center" wrapText="1"/>
    </xf>
    <xf numFmtId="0" fontId="1" fillId="195" borderId="0" xfId="0" applyFont="1" applyFill="1" applyAlignment="1">
      <alignment horizontal="center" vertical="center" wrapText="1"/>
    </xf>
    <xf numFmtId="0" fontId="1" fillId="197" borderId="0" xfId="0" applyFont="1" applyFill="1" applyAlignment="1">
      <alignment horizontal="center" vertical="center" wrapText="1"/>
    </xf>
    <xf numFmtId="0" fontId="1" fillId="199" borderId="0" xfId="0" applyFont="1" applyFill="1" applyAlignment="1">
      <alignment horizontal="center" vertical="center" wrapText="1"/>
    </xf>
    <xf numFmtId="0" fontId="1" fillId="201" borderId="0" xfId="0" applyFont="1" applyFill="1" applyAlignment="1">
      <alignment horizontal="center" vertical="center" wrapText="1"/>
    </xf>
    <xf numFmtId="0" fontId="1" fillId="203" borderId="0" xfId="0" applyFont="1" applyFill="1" applyAlignment="1">
      <alignment horizontal="center" vertical="center" wrapText="1"/>
    </xf>
    <xf numFmtId="0" fontId="1" fillId="205" borderId="0" xfId="0" applyFont="1" applyFill="1" applyAlignment="1">
      <alignment horizontal="center" vertical="center" wrapText="1"/>
    </xf>
    <xf numFmtId="0" fontId="1" fillId="207" borderId="0" xfId="0" applyFont="1" applyFill="1" applyAlignment="1">
      <alignment horizontal="center" vertical="center" wrapText="1"/>
    </xf>
    <xf numFmtId="0" fontId="1" fillId="209" borderId="0" xfId="0" applyFont="1" applyFill="1" applyAlignment="1">
      <alignment horizontal="center" vertical="center" wrapText="1"/>
    </xf>
    <xf numFmtId="0" fontId="1" fillId="211" borderId="0" xfId="0" applyFont="1" applyFill="1" applyAlignment="1">
      <alignment horizontal="center" vertical="center" wrapText="1"/>
    </xf>
    <xf numFmtId="0" fontId="1" fillId="213" borderId="0" xfId="0" applyFont="1" applyFill="1" applyAlignment="1">
      <alignment horizontal="center" vertical="center" wrapText="1"/>
    </xf>
    <xf numFmtId="0" fontId="1" fillId="215" borderId="0" xfId="0" applyFont="1" applyFill="1" applyAlignment="1">
      <alignment horizontal="center" vertical="center" wrapText="1"/>
    </xf>
    <xf numFmtId="0" fontId="1" fillId="217" borderId="0" xfId="0" applyFont="1" applyFill="1" applyAlignment="1">
      <alignment horizontal="center" vertical="center" wrapText="1"/>
    </xf>
    <xf numFmtId="0" fontId="1" fillId="219" borderId="0" xfId="0" applyFont="1" applyFill="1" applyAlignment="1">
      <alignment horizontal="center" vertical="center" wrapText="1"/>
    </xf>
    <xf numFmtId="0" fontId="1" fillId="221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20" borderId="0" xfId="0" applyFont="1" applyFill="1" applyAlignment="1">
      <alignment horizontal="center" vertical="center" wrapText="1"/>
    </xf>
    <xf numFmtId="0" fontId="1" fillId="122" borderId="0" xfId="0" applyFont="1" applyFill="1" applyAlignment="1">
      <alignment horizontal="center" vertical="center" wrapText="1"/>
    </xf>
    <xf numFmtId="0" fontId="1" fillId="124" borderId="0" xfId="0" applyFont="1" applyFill="1" applyAlignment="1">
      <alignment horizontal="center" vertical="center" wrapText="1"/>
    </xf>
    <xf numFmtId="0" fontId="1" fillId="126" borderId="0" xfId="0" applyFont="1" applyFill="1" applyAlignment="1">
      <alignment horizontal="center" vertical="center" wrapText="1"/>
    </xf>
    <xf numFmtId="0" fontId="1" fillId="128" borderId="0" xfId="0" applyFont="1" applyFill="1" applyAlignment="1">
      <alignment horizontal="center" vertical="center" wrapText="1"/>
    </xf>
    <xf numFmtId="0" fontId="1" fillId="130" borderId="0" xfId="0" applyFont="1" applyFill="1" applyAlignment="1">
      <alignment horizontal="center" vertical="center" wrapText="1"/>
    </xf>
    <xf numFmtId="0" fontId="1" fillId="132" borderId="0" xfId="0" applyFont="1" applyFill="1" applyAlignment="1">
      <alignment horizontal="center" vertical="center" wrapText="1"/>
    </xf>
    <xf numFmtId="0" fontId="1" fillId="134" borderId="0" xfId="0" applyFont="1" applyFill="1" applyAlignment="1">
      <alignment horizontal="center" vertical="center" wrapText="1"/>
    </xf>
    <xf numFmtId="0" fontId="1" fillId="136" borderId="0" xfId="0" applyFont="1" applyFill="1" applyAlignment="1">
      <alignment horizontal="center" vertical="center" wrapText="1"/>
    </xf>
    <xf numFmtId="0" fontId="1" fillId="138" borderId="0" xfId="0" applyFont="1" applyFill="1" applyAlignment="1">
      <alignment horizontal="center" vertical="center" wrapText="1"/>
    </xf>
    <xf numFmtId="0" fontId="1" fillId="140" borderId="0" xfId="0" applyFont="1" applyFill="1" applyAlignment="1">
      <alignment horizontal="center" vertical="center" wrapText="1"/>
    </xf>
    <xf numFmtId="0" fontId="1" fillId="142" borderId="0" xfId="0" applyFont="1" applyFill="1" applyAlignment="1">
      <alignment horizontal="center" vertical="center" wrapText="1"/>
    </xf>
    <xf numFmtId="0" fontId="1" fillId="144" borderId="0" xfId="0" applyFont="1" applyFill="1" applyAlignment="1">
      <alignment horizontal="center" vertical="center" wrapText="1"/>
    </xf>
    <xf numFmtId="0" fontId="1" fillId="146" borderId="0" xfId="0" applyFont="1" applyFill="1" applyAlignment="1">
      <alignment horizontal="center" vertical="center" wrapText="1"/>
    </xf>
    <xf numFmtId="0" fontId="1" fillId="148" borderId="0" xfId="0" applyFont="1" applyFill="1" applyAlignment="1">
      <alignment horizontal="center" vertical="center" wrapText="1"/>
    </xf>
    <xf numFmtId="0" fontId="1" fillId="150" borderId="0" xfId="0" applyFont="1" applyFill="1" applyAlignment="1">
      <alignment horizontal="center" vertical="center" wrapText="1"/>
    </xf>
    <xf numFmtId="0" fontId="1" fillId="152" borderId="0" xfId="0" applyFont="1" applyFill="1" applyAlignment="1">
      <alignment horizontal="center" vertical="center" wrapText="1"/>
    </xf>
    <xf numFmtId="0" fontId="1" fillId="154" borderId="0" xfId="0" applyFont="1" applyFill="1" applyAlignment="1">
      <alignment horizontal="center" vertical="center" wrapText="1"/>
    </xf>
    <xf numFmtId="0" fontId="1" fillId="156" borderId="0" xfId="0" applyFont="1" applyFill="1" applyAlignment="1">
      <alignment horizontal="center" vertical="center" wrapText="1"/>
    </xf>
    <xf numFmtId="0" fontId="1" fillId="158" borderId="0" xfId="0" applyFont="1" applyFill="1" applyAlignment="1">
      <alignment horizontal="center" vertical="center" wrapText="1"/>
    </xf>
    <xf numFmtId="0" fontId="1" fillId="83" borderId="0" xfId="0" applyFont="1" applyFill="1" applyAlignment="1">
      <alignment horizontal="center" vertical="center" wrapText="1"/>
    </xf>
    <xf numFmtId="0" fontId="1" fillId="85" borderId="0" xfId="0" applyFont="1" applyFill="1" applyAlignment="1">
      <alignment horizontal="center" vertical="center" wrapText="1"/>
    </xf>
    <xf numFmtId="0" fontId="1" fillId="87" borderId="0" xfId="0" applyFont="1" applyFill="1" applyAlignment="1">
      <alignment horizontal="center" vertical="center" wrapText="1"/>
    </xf>
    <xf numFmtId="0" fontId="1" fillId="489" borderId="0" xfId="0" applyFont="1" applyFill="1" applyAlignment="1">
      <alignment horizontal="center" vertical="center" wrapText="1"/>
    </xf>
    <xf numFmtId="0" fontId="1" fillId="90" borderId="0" xfId="0" applyFont="1" applyFill="1" applyAlignment="1">
      <alignment horizontal="center" vertical="center" wrapText="1"/>
    </xf>
    <xf numFmtId="0" fontId="1" fillId="92" borderId="0" xfId="0" applyFont="1" applyFill="1" applyAlignment="1">
      <alignment horizontal="center" vertical="center" wrapText="1"/>
    </xf>
    <xf numFmtId="0" fontId="1" fillId="94" borderId="0" xfId="0" applyFont="1" applyFill="1" applyAlignment="1">
      <alignment horizontal="center" vertical="center" wrapText="1"/>
    </xf>
    <xf numFmtId="0" fontId="1" fillId="96" borderId="0" xfId="0" applyFont="1" applyFill="1" applyAlignment="1">
      <alignment horizontal="center" vertical="center" wrapText="1"/>
    </xf>
    <xf numFmtId="0" fontId="1" fillId="98" borderId="0" xfId="0" applyFont="1" applyFill="1" applyAlignment="1">
      <alignment horizontal="center" vertical="center" wrapText="1"/>
    </xf>
    <xf numFmtId="0" fontId="1" fillId="100" borderId="0" xfId="0" applyFont="1" applyFill="1" applyAlignment="1">
      <alignment horizontal="center" vertical="center" wrapText="1"/>
    </xf>
    <xf numFmtId="0" fontId="1" fillId="102" borderId="0" xfId="0" applyFont="1" applyFill="1" applyAlignment="1">
      <alignment horizontal="center" vertical="center" wrapText="1"/>
    </xf>
    <xf numFmtId="0" fontId="1" fillId="104" borderId="0" xfId="0" applyFont="1" applyFill="1" applyAlignment="1">
      <alignment horizontal="center" vertical="center" wrapText="1"/>
    </xf>
    <xf numFmtId="0" fontId="1" fillId="106" borderId="0" xfId="0" applyFont="1" applyFill="1" applyAlignment="1">
      <alignment horizontal="center" vertical="center" wrapText="1"/>
    </xf>
    <xf numFmtId="0" fontId="1" fillId="108" borderId="0" xfId="0" applyFont="1" applyFill="1" applyAlignment="1">
      <alignment horizontal="center" vertical="center" wrapText="1"/>
    </xf>
    <xf numFmtId="0" fontId="1" fillId="110" borderId="0" xfId="0" applyFont="1" applyFill="1" applyAlignment="1">
      <alignment horizontal="center" vertical="center" wrapText="1"/>
    </xf>
    <xf numFmtId="0" fontId="1" fillId="112" borderId="0" xfId="0" applyFont="1" applyFill="1" applyAlignment="1">
      <alignment horizontal="center" vertical="center" wrapText="1"/>
    </xf>
    <xf numFmtId="0" fontId="1" fillId="114" borderId="0" xfId="0" applyFont="1" applyFill="1" applyAlignment="1">
      <alignment horizontal="center" vertical="center" wrapText="1"/>
    </xf>
    <xf numFmtId="0" fontId="1" fillId="116" borderId="0" xfId="0" applyFont="1" applyFill="1" applyAlignment="1">
      <alignment horizontal="center" vertical="center" wrapText="1"/>
    </xf>
    <xf numFmtId="0" fontId="1" fillId="117" borderId="0" xfId="0" applyFont="1" applyFill="1" applyAlignment="1">
      <alignment horizontal="center" vertical="center" wrapText="1"/>
    </xf>
    <xf numFmtId="0" fontId="1" fillId="119" borderId="0" xfId="0" applyFont="1" applyFill="1" applyAlignment="1">
      <alignment horizontal="center" vertical="center" wrapText="1"/>
    </xf>
    <xf numFmtId="0" fontId="1" fillId="121" borderId="0" xfId="0" applyFont="1" applyFill="1" applyAlignment="1">
      <alignment horizontal="center" vertical="center" wrapText="1"/>
    </xf>
    <xf numFmtId="0" fontId="1" fillId="123" borderId="0" xfId="0" applyFont="1" applyFill="1" applyAlignment="1">
      <alignment horizontal="center" vertical="center" wrapText="1"/>
    </xf>
    <xf numFmtId="0" fontId="1" fillId="127" borderId="0" xfId="0" applyFont="1" applyFill="1" applyAlignment="1">
      <alignment horizontal="center" vertical="center" wrapText="1"/>
    </xf>
    <xf numFmtId="0" fontId="1" fillId="131" borderId="0" xfId="0" applyFont="1" applyFill="1" applyAlignment="1">
      <alignment horizontal="center" vertical="center" wrapText="1"/>
    </xf>
    <xf numFmtId="0" fontId="1" fillId="133" borderId="0" xfId="0" applyFont="1" applyFill="1" applyAlignment="1">
      <alignment horizontal="center" vertical="center" wrapText="1"/>
    </xf>
    <xf numFmtId="0" fontId="1" fillId="135" borderId="0" xfId="0" applyFont="1" applyFill="1" applyAlignment="1">
      <alignment horizontal="center" vertical="center" wrapText="1"/>
    </xf>
    <xf numFmtId="0" fontId="1" fillId="139" borderId="0" xfId="0" applyFont="1" applyFill="1" applyAlignment="1">
      <alignment horizontal="center" vertical="center" wrapText="1"/>
    </xf>
    <xf numFmtId="0" fontId="1" fillId="141" borderId="0" xfId="0" applyFont="1" applyFill="1" applyAlignment="1">
      <alignment horizontal="center" vertical="center" wrapText="1"/>
    </xf>
    <xf numFmtId="0" fontId="1" fillId="145" borderId="0" xfId="0" applyFont="1" applyFill="1" applyAlignment="1">
      <alignment horizontal="center" vertical="center" wrapText="1"/>
    </xf>
    <xf numFmtId="0" fontId="1" fillId="147" borderId="0" xfId="0" applyFont="1" applyFill="1" applyAlignment="1">
      <alignment horizontal="center" vertical="center" wrapText="1"/>
    </xf>
    <xf numFmtId="0" fontId="1" fillId="149" borderId="0" xfId="0" applyFont="1" applyFill="1" applyAlignment="1">
      <alignment horizontal="center" vertical="center" wrapText="1"/>
    </xf>
    <xf numFmtId="0" fontId="1" fillId="151" borderId="0" xfId="0" applyFont="1" applyFill="1" applyAlignment="1">
      <alignment horizontal="center" vertical="center" wrapText="1"/>
    </xf>
    <xf numFmtId="0" fontId="1" fillId="153" borderId="0" xfId="0" applyFont="1" applyFill="1" applyAlignment="1">
      <alignment horizontal="center" vertical="center" wrapText="1"/>
    </xf>
    <xf numFmtId="0" fontId="1" fillId="155" borderId="0" xfId="0" applyFont="1" applyFill="1" applyAlignment="1">
      <alignment horizontal="center" vertical="center" wrapText="1"/>
    </xf>
    <xf numFmtId="0" fontId="1" fillId="159" borderId="0" xfId="0" applyFont="1" applyFill="1" applyAlignment="1">
      <alignment horizontal="center" vertical="center" wrapText="1"/>
    </xf>
    <xf numFmtId="0" fontId="1" fillId="160" borderId="0" xfId="0" applyFont="1" applyFill="1" applyAlignment="1">
      <alignment horizontal="center" vertical="center" wrapText="1"/>
    </xf>
    <xf numFmtId="0" fontId="1" fillId="162" borderId="0" xfId="0" applyFont="1" applyFill="1" applyAlignment="1">
      <alignment horizontal="center" vertical="center" wrapText="1"/>
    </xf>
    <xf numFmtId="0" fontId="1" fillId="164" borderId="0" xfId="0" applyFont="1" applyFill="1" applyAlignment="1">
      <alignment horizontal="center" vertical="center" wrapText="1"/>
    </xf>
    <xf numFmtId="0" fontId="1" fillId="166" borderId="0" xfId="0" applyFont="1" applyFill="1" applyAlignment="1">
      <alignment horizontal="center" vertical="center" wrapText="1"/>
    </xf>
    <xf numFmtId="0" fontId="1" fillId="168" borderId="0" xfId="0" applyFont="1" applyFill="1" applyAlignment="1">
      <alignment horizontal="center" vertical="center" wrapText="1"/>
    </xf>
    <xf numFmtId="0" fontId="1" fillId="71" borderId="0" xfId="0" applyFont="1" applyFill="1" applyAlignment="1">
      <alignment horizontal="center" vertical="center" wrapText="1"/>
    </xf>
    <xf numFmtId="0" fontId="1" fillId="73" borderId="0" xfId="0" applyFont="1" applyFill="1" applyAlignment="1">
      <alignment horizontal="center" vertical="center" wrapText="1"/>
    </xf>
    <xf numFmtId="0" fontId="1" fillId="75" borderId="0" xfId="0" applyFont="1" applyFill="1" applyAlignment="1">
      <alignment horizontal="center" vertical="center" wrapText="1"/>
    </xf>
    <xf numFmtId="0" fontId="1" fillId="78" borderId="0" xfId="0" applyFont="1" applyFill="1" applyAlignment="1">
      <alignment horizontal="center" vertical="center" wrapText="1"/>
    </xf>
    <xf numFmtId="0" fontId="1" fillId="80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8" borderId="0" xfId="0" applyFont="1" applyFill="1" applyAlignment="1">
      <alignment horizontal="center" vertical="center" wrapText="1"/>
    </xf>
    <xf numFmtId="0" fontId="1" fillId="30" borderId="0" xfId="0" applyFont="1" applyFill="1" applyAlignment="1">
      <alignment horizontal="center" vertical="center" wrapText="1"/>
    </xf>
    <xf numFmtId="0" fontId="1" fillId="32" borderId="0" xfId="0" applyFont="1" applyFill="1" applyAlignment="1">
      <alignment horizontal="center" vertical="center" wrapText="1"/>
    </xf>
    <xf numFmtId="0" fontId="1" fillId="34" borderId="0" xfId="0" applyFont="1" applyFill="1" applyAlignment="1">
      <alignment horizontal="center" vertical="center" wrapText="1"/>
    </xf>
    <xf numFmtId="0" fontId="1" fillId="36" borderId="0" xfId="0" applyFont="1" applyFill="1" applyAlignment="1">
      <alignment horizontal="center" vertical="center" wrapText="1"/>
    </xf>
    <xf numFmtId="0" fontId="1" fillId="38" borderId="0" xfId="0" applyFont="1" applyFill="1" applyAlignment="1">
      <alignment horizontal="center" vertical="center" wrapText="1"/>
    </xf>
    <xf numFmtId="0" fontId="1" fillId="40" borderId="0" xfId="0" applyFont="1" applyFill="1" applyAlignment="1">
      <alignment horizontal="center" vertical="center" wrapText="1"/>
    </xf>
    <xf numFmtId="0" fontId="1" fillId="42" borderId="0" xfId="0" applyFont="1" applyFill="1" applyAlignment="1">
      <alignment horizontal="center" vertical="center" wrapText="1"/>
    </xf>
    <xf numFmtId="0" fontId="1" fillId="44" borderId="0" xfId="0" applyFont="1" applyFill="1" applyAlignment="1">
      <alignment horizontal="center" vertical="center" wrapText="1"/>
    </xf>
    <xf numFmtId="0" fontId="1" fillId="46" borderId="0" xfId="0" applyFont="1" applyFill="1" applyAlignment="1">
      <alignment horizontal="center" vertical="center" wrapText="1"/>
    </xf>
    <xf numFmtId="0" fontId="1" fillId="48" borderId="0" xfId="0" applyFont="1" applyFill="1" applyAlignment="1">
      <alignment horizontal="center" vertical="center" wrapText="1"/>
    </xf>
    <xf numFmtId="0" fontId="1" fillId="50" borderId="0" xfId="0" applyFont="1" applyFill="1" applyAlignment="1">
      <alignment horizontal="center" vertical="center" wrapText="1"/>
    </xf>
    <xf numFmtId="0" fontId="1" fillId="52" borderId="0" xfId="0" applyFont="1" applyFill="1" applyAlignment="1">
      <alignment horizontal="center" vertical="center" wrapText="1"/>
    </xf>
    <xf numFmtId="0" fontId="1" fillId="54" borderId="0" xfId="0" applyFont="1" applyFill="1" applyAlignment="1">
      <alignment horizontal="center" vertical="center" wrapText="1"/>
    </xf>
    <xf numFmtId="0" fontId="1" fillId="56" borderId="0" xfId="0" applyFont="1" applyFill="1" applyAlignment="1">
      <alignment horizontal="center" vertical="center" wrapText="1"/>
    </xf>
    <xf numFmtId="0" fontId="1" fillId="58" borderId="0" xfId="0" applyFont="1" applyFill="1" applyAlignment="1">
      <alignment horizontal="center" vertical="center" wrapText="1"/>
    </xf>
    <xf numFmtId="0" fontId="1" fillId="60" borderId="0" xfId="0" applyFont="1" applyFill="1" applyAlignment="1">
      <alignment horizontal="center" vertical="center" wrapText="1"/>
    </xf>
    <xf numFmtId="0" fontId="1" fillId="62" borderId="0" xfId="0" applyFont="1" applyFill="1" applyAlignment="1">
      <alignment horizontal="center" vertical="center" wrapText="1"/>
    </xf>
    <xf numFmtId="0" fontId="1" fillId="64" borderId="0" xfId="0" applyFont="1" applyFill="1" applyAlignment="1">
      <alignment horizontal="center" vertical="center" wrapText="1"/>
    </xf>
    <xf numFmtId="0" fontId="1" fillId="66" borderId="0" xfId="0" applyFont="1" applyFill="1" applyAlignment="1">
      <alignment horizontal="center" vertical="center" wrapText="1"/>
    </xf>
    <xf numFmtId="0" fontId="1" fillId="68" borderId="0" xfId="0" applyFont="1" applyFill="1" applyAlignment="1">
      <alignment horizontal="center" vertical="center" wrapText="1"/>
    </xf>
    <xf numFmtId="0" fontId="1" fillId="70" borderId="0" xfId="0" applyFont="1" applyFill="1" applyAlignment="1">
      <alignment horizontal="center" vertical="center" wrapText="1"/>
    </xf>
    <xf numFmtId="0" fontId="1" fillId="72" borderId="0" xfId="0" applyFont="1" applyFill="1" applyAlignment="1">
      <alignment horizontal="center" vertical="center" wrapText="1"/>
    </xf>
    <xf numFmtId="0" fontId="1" fillId="76" borderId="0" xfId="0" applyFont="1" applyFill="1" applyAlignment="1">
      <alignment horizontal="center" vertical="center" wrapText="1"/>
    </xf>
    <xf numFmtId="0" fontId="1" fillId="77" borderId="0" xfId="0" applyFont="1" applyFill="1" applyAlignment="1">
      <alignment horizontal="center" vertical="center" wrapText="1"/>
    </xf>
    <xf numFmtId="0" fontId="1" fillId="79" borderId="0" xfId="0" applyFont="1" applyFill="1" applyAlignment="1">
      <alignment horizontal="center" vertical="center" wrapText="1"/>
    </xf>
    <xf numFmtId="0" fontId="1" fillId="81" borderId="0" xfId="0" applyFont="1" applyFill="1" applyAlignment="1">
      <alignment horizontal="center" vertical="center" wrapText="1"/>
    </xf>
    <xf numFmtId="0" fontId="1" fillId="82" borderId="0" xfId="0" applyFont="1" applyFill="1" applyAlignment="1">
      <alignment horizontal="center" vertical="center" wrapText="1"/>
    </xf>
    <xf numFmtId="0" fontId="1" fillId="86" borderId="0" xfId="0" applyFont="1" applyFill="1" applyAlignment="1">
      <alignment horizontal="center" vertical="center" wrapText="1"/>
    </xf>
    <xf numFmtId="0" fontId="1" fillId="88" borderId="0" xfId="0" applyFont="1" applyFill="1" applyAlignment="1">
      <alignment horizontal="center" vertical="center" wrapText="1"/>
    </xf>
    <xf numFmtId="0" fontId="1" fillId="89" borderId="0" xfId="0" applyFont="1" applyFill="1" applyAlignment="1">
      <alignment horizontal="center" vertical="center" wrapText="1"/>
    </xf>
    <xf numFmtId="0" fontId="1" fillId="91" borderId="0" xfId="0" applyFont="1" applyFill="1" applyAlignment="1">
      <alignment horizontal="center" vertical="center" wrapText="1"/>
    </xf>
    <xf numFmtId="0" fontId="1" fillId="93" borderId="0" xfId="0" applyFont="1" applyFill="1" applyAlignment="1">
      <alignment horizontal="center" vertical="center" wrapText="1"/>
    </xf>
    <xf numFmtId="0" fontId="1" fillId="95" borderId="0" xfId="0" applyFont="1" applyFill="1" applyAlignment="1">
      <alignment horizontal="center" vertical="center" wrapText="1"/>
    </xf>
    <xf numFmtId="0" fontId="1" fillId="97" borderId="0" xfId="0" applyFont="1" applyFill="1" applyAlignment="1">
      <alignment horizontal="center" vertical="center" wrapText="1"/>
    </xf>
    <xf numFmtId="0" fontId="1" fillId="99" borderId="0" xfId="0" applyFont="1" applyFill="1" applyAlignment="1">
      <alignment horizontal="center" vertical="center" wrapText="1"/>
    </xf>
    <xf numFmtId="0" fontId="1" fillId="101" borderId="0" xfId="0" applyFont="1" applyFill="1" applyAlignment="1">
      <alignment horizontal="center" vertical="center" wrapText="1"/>
    </xf>
    <xf numFmtId="0" fontId="1" fillId="103" borderId="0" xfId="0" applyFont="1" applyFill="1" applyAlignment="1">
      <alignment horizontal="center" vertical="center" wrapText="1"/>
    </xf>
    <xf numFmtId="0" fontId="1" fillId="105" borderId="0" xfId="0" applyFont="1" applyFill="1" applyAlignment="1">
      <alignment horizontal="center" vertical="center" wrapText="1"/>
    </xf>
    <xf numFmtId="0" fontId="1" fillId="107" borderId="0" xfId="0" applyFont="1" applyFill="1" applyAlignment="1">
      <alignment horizontal="center" vertical="center" wrapText="1"/>
    </xf>
    <xf numFmtId="0" fontId="1" fillId="109" borderId="0" xfId="0" applyFont="1" applyFill="1" applyAlignment="1">
      <alignment horizontal="center" vertical="center" wrapText="1"/>
    </xf>
    <xf numFmtId="0" fontId="1" fillId="111" borderId="0" xfId="0" applyFont="1" applyFill="1" applyAlignment="1">
      <alignment horizontal="center" vertical="center" wrapText="1"/>
    </xf>
    <xf numFmtId="0" fontId="1" fillId="113" borderId="0" xfId="0" applyFont="1" applyFill="1" applyAlignment="1">
      <alignment horizontal="center" vertical="center" wrapText="1"/>
    </xf>
    <xf numFmtId="0" fontId="1" fillId="115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56" borderId="0" xfId="0" applyFont="1" applyFill="1" applyAlignment="1">
      <alignment horizontal="center" vertical="center" wrapText="1"/>
    </xf>
    <xf numFmtId="0" fontId="1" fillId="457" borderId="0" xfId="0" applyFont="1" applyFill="1" applyAlignment="1">
      <alignment horizontal="center" vertical="center" wrapText="1"/>
    </xf>
    <xf numFmtId="0" fontId="1" fillId="458" borderId="0" xfId="0" applyFont="1" applyFill="1" applyAlignment="1">
      <alignment horizontal="center" vertical="center" wrapText="1"/>
    </xf>
    <xf numFmtId="0" fontId="1" fillId="459" borderId="0" xfId="0" applyFont="1" applyFill="1" applyAlignment="1">
      <alignment horizontal="center" vertical="center" wrapText="1"/>
    </xf>
    <xf numFmtId="0" fontId="1" fillId="460" borderId="0" xfId="0" applyFont="1" applyFill="1" applyAlignment="1">
      <alignment horizontal="center" vertical="center" wrapText="1"/>
    </xf>
    <xf numFmtId="0" fontId="1" fillId="461" borderId="0" xfId="0" applyFont="1" applyFill="1" applyAlignment="1">
      <alignment horizontal="center" vertical="center" wrapText="1"/>
    </xf>
    <xf numFmtId="0" fontId="1" fillId="462" borderId="0" xfId="0" applyFont="1" applyFill="1" applyAlignment="1">
      <alignment horizontal="center" vertical="center" wrapText="1"/>
    </xf>
    <xf numFmtId="0" fontId="1" fillId="463" borderId="0" xfId="0" applyFont="1" applyFill="1" applyAlignment="1">
      <alignment horizontal="center" vertical="center" wrapText="1"/>
    </xf>
    <xf numFmtId="0" fontId="1" fillId="464" borderId="0" xfId="0" applyFont="1" applyFill="1" applyAlignment="1">
      <alignment horizontal="center" vertical="center" wrapText="1"/>
    </xf>
    <xf numFmtId="0" fontId="1" fillId="465" borderId="0" xfId="0" applyFont="1" applyFill="1" applyAlignment="1">
      <alignment horizontal="center" vertical="center" wrapText="1"/>
    </xf>
    <xf numFmtId="0" fontId="1" fillId="466" borderId="0" xfId="0" applyFont="1" applyFill="1" applyAlignment="1">
      <alignment horizontal="center" vertical="center" wrapText="1"/>
    </xf>
    <xf numFmtId="0" fontId="1" fillId="467" borderId="0" xfId="0" applyFont="1" applyFill="1" applyAlignment="1">
      <alignment horizontal="center" vertical="center" wrapText="1"/>
    </xf>
    <xf numFmtId="0" fontId="1" fillId="468" borderId="0" xfId="0" applyFont="1" applyFill="1" applyAlignment="1">
      <alignment horizontal="center" vertical="center" wrapText="1"/>
    </xf>
    <xf numFmtId="0" fontId="1" fillId="469" borderId="0" xfId="0" applyFont="1" applyFill="1" applyAlignment="1">
      <alignment horizontal="center" vertical="center" wrapText="1"/>
    </xf>
    <xf numFmtId="0" fontId="1" fillId="470" borderId="0" xfId="0" applyFont="1" applyFill="1" applyAlignment="1">
      <alignment horizontal="center" vertical="center" wrapText="1"/>
    </xf>
    <xf numFmtId="0" fontId="1" fillId="471" borderId="0" xfId="0" applyFont="1" applyFill="1" applyAlignment="1">
      <alignment horizontal="center" vertical="center" wrapText="1"/>
    </xf>
    <xf numFmtId="0" fontId="1" fillId="472" borderId="0" xfId="0" applyFont="1" applyFill="1" applyAlignment="1">
      <alignment horizontal="center" vertical="center" wrapText="1"/>
    </xf>
    <xf numFmtId="0" fontId="1" fillId="473" borderId="0" xfId="0" applyFont="1" applyFill="1" applyAlignment="1">
      <alignment horizontal="center" vertical="center" wrapText="1"/>
    </xf>
    <xf numFmtId="0" fontId="1" fillId="474" borderId="0" xfId="0" applyFont="1" applyFill="1" applyAlignment="1">
      <alignment horizontal="center" vertical="center" wrapText="1"/>
    </xf>
    <xf numFmtId="0" fontId="1" fillId="475" borderId="0" xfId="0" applyFont="1" applyFill="1" applyAlignment="1">
      <alignment horizontal="center" vertical="center" wrapText="1"/>
    </xf>
    <xf numFmtId="0" fontId="1" fillId="476" borderId="0" xfId="0" applyFont="1" applyFill="1" applyAlignment="1">
      <alignment horizontal="center" vertical="center" wrapText="1"/>
    </xf>
    <xf numFmtId="0" fontId="1" fillId="477" borderId="0" xfId="0" applyFont="1" applyFill="1" applyAlignment="1">
      <alignment horizontal="center" vertical="center" wrapText="1"/>
    </xf>
    <xf numFmtId="0" fontId="1" fillId="478" borderId="0" xfId="0" applyFont="1" applyFill="1" applyAlignment="1">
      <alignment horizontal="center" vertical="center" wrapText="1"/>
    </xf>
    <xf numFmtId="0" fontId="1" fillId="479" borderId="0" xfId="0" applyFont="1" applyFill="1" applyAlignment="1">
      <alignment horizontal="center" vertical="center" wrapText="1"/>
    </xf>
    <xf numFmtId="0" fontId="1" fillId="480" borderId="0" xfId="0" applyFont="1" applyFill="1" applyAlignment="1">
      <alignment horizontal="center" vertical="center" wrapText="1"/>
    </xf>
    <xf numFmtId="0" fontId="1" fillId="481" borderId="0" xfId="0" applyFont="1" applyFill="1" applyAlignment="1">
      <alignment horizontal="center" vertical="center" wrapText="1"/>
    </xf>
    <xf numFmtId="0" fontId="1" fillId="482" borderId="0" xfId="0" applyFont="1" applyFill="1" applyAlignment="1">
      <alignment horizontal="center" vertical="center" wrapText="1"/>
    </xf>
    <xf numFmtId="0" fontId="1" fillId="483" borderId="0" xfId="0" applyFont="1" applyFill="1" applyAlignment="1">
      <alignment horizontal="center" vertical="center" wrapText="1"/>
    </xf>
    <xf numFmtId="0" fontId="1" fillId="484" borderId="0" xfId="0" applyFont="1" applyFill="1" applyAlignment="1">
      <alignment horizontal="center" vertical="center" wrapText="1"/>
    </xf>
    <xf numFmtId="0" fontId="1" fillId="485" borderId="0" xfId="0" applyFont="1" applyFill="1" applyAlignment="1">
      <alignment horizontal="center" vertical="center" wrapText="1"/>
    </xf>
    <xf numFmtId="0" fontId="1" fillId="486" borderId="0" xfId="0" applyFont="1" applyFill="1" applyAlignment="1">
      <alignment horizontal="center" vertical="center" wrapText="1"/>
    </xf>
    <xf numFmtId="0" fontId="1" fillId="487" borderId="0" xfId="0" applyFont="1" applyFill="1" applyAlignment="1">
      <alignment horizontal="center" vertical="center" wrapText="1"/>
    </xf>
    <xf numFmtId="0" fontId="1" fillId="488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0" fontId="1" fillId="27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1" fillId="31" borderId="0" xfId="0" applyFont="1" applyFill="1" applyAlignment="1">
      <alignment horizontal="center" vertical="center" wrapText="1"/>
    </xf>
    <xf numFmtId="0" fontId="1" fillId="33" borderId="0" xfId="0" applyFont="1" applyFill="1" applyAlignment="1">
      <alignment horizontal="center" vertical="center" wrapText="1"/>
    </xf>
    <xf numFmtId="0" fontId="1" fillId="35" borderId="0" xfId="0" applyFont="1" applyFill="1" applyAlignment="1">
      <alignment horizontal="center" vertical="center" wrapText="1"/>
    </xf>
    <xf numFmtId="0" fontId="1" fillId="37" borderId="0" xfId="0" applyFont="1" applyFill="1" applyAlignment="1">
      <alignment horizontal="center" vertical="center" wrapText="1"/>
    </xf>
    <xf numFmtId="0" fontId="1" fillId="39" borderId="0" xfId="0" applyFont="1" applyFill="1" applyAlignment="1">
      <alignment horizontal="center" vertical="center" wrapText="1"/>
    </xf>
    <xf numFmtId="0" fontId="1" fillId="41" borderId="0" xfId="0" applyFont="1" applyFill="1" applyAlignment="1">
      <alignment horizontal="center" vertical="center" wrapText="1"/>
    </xf>
    <xf numFmtId="0" fontId="1" fillId="43" borderId="0" xfId="0" applyFont="1" applyFill="1" applyAlignment="1">
      <alignment horizontal="center" vertical="center" wrapText="1"/>
    </xf>
    <xf numFmtId="0" fontId="1" fillId="45" borderId="0" xfId="0" applyFont="1" applyFill="1" applyAlignment="1">
      <alignment horizontal="center" vertical="center" wrapText="1"/>
    </xf>
    <xf numFmtId="0" fontId="1" fillId="49" borderId="0" xfId="0" applyFont="1" applyFill="1" applyAlignment="1">
      <alignment horizontal="center" vertical="center" wrapText="1"/>
    </xf>
    <xf numFmtId="0" fontId="1" fillId="51" borderId="0" xfId="0" applyFont="1" applyFill="1" applyAlignment="1">
      <alignment horizontal="center" vertical="center" wrapText="1"/>
    </xf>
    <xf numFmtId="0" fontId="1" fillId="53" borderId="0" xfId="0" applyFont="1" applyFill="1" applyAlignment="1">
      <alignment horizontal="center" vertical="center" wrapText="1"/>
    </xf>
    <xf numFmtId="0" fontId="1" fillId="55" borderId="0" xfId="0" applyFont="1" applyFill="1" applyAlignment="1">
      <alignment horizontal="center" vertical="center" wrapText="1"/>
    </xf>
    <xf numFmtId="0" fontId="1" fillId="59" borderId="0" xfId="0" applyFont="1" applyFill="1" applyAlignment="1">
      <alignment horizontal="center" vertical="center" wrapText="1"/>
    </xf>
    <xf numFmtId="0" fontId="1" fillId="61" borderId="0" xfId="0" applyFont="1" applyFill="1" applyAlignment="1">
      <alignment horizontal="center" vertical="center" wrapText="1"/>
    </xf>
    <xf numFmtId="0" fontId="1" fillId="63" borderId="0" xfId="0" applyFont="1" applyFill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12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34" borderId="7" xfId="0" applyFont="1" applyFill="1" applyBorder="1" applyAlignment="1">
      <alignment horizontal="center" vertical="center" wrapText="1"/>
    </xf>
    <xf numFmtId="0" fontId="1" fillId="410" borderId="4" xfId="0" applyFont="1" applyFill="1" applyBorder="1" applyAlignment="1">
      <alignment horizontal="center" vertical="center" wrapText="1"/>
    </xf>
    <xf numFmtId="0" fontId="1" fillId="280" borderId="7" xfId="0" applyFont="1" applyFill="1" applyBorder="1" applyAlignment="1">
      <alignment horizontal="center" vertical="center" wrapText="1"/>
    </xf>
    <xf numFmtId="0" fontId="1" fillId="332" borderId="4" xfId="0" applyFont="1" applyFill="1" applyBorder="1" applyAlignment="1">
      <alignment horizontal="center" vertical="center" wrapText="1"/>
    </xf>
    <xf numFmtId="0" fontId="1" fillId="226" borderId="7" xfId="0" applyFont="1" applyFill="1" applyBorder="1" applyAlignment="1">
      <alignment horizontal="center" vertical="center" wrapText="1"/>
    </xf>
    <xf numFmtId="0" fontId="1" fillId="278" borderId="4" xfId="0" applyFont="1" applyFill="1" applyBorder="1" applyAlignment="1">
      <alignment horizontal="center" vertical="center" wrapText="1"/>
    </xf>
    <xf numFmtId="0" fontId="1" fillId="172" borderId="7" xfId="0" applyFont="1" applyFill="1" applyBorder="1" applyAlignment="1">
      <alignment horizontal="center" vertical="center" wrapText="1"/>
    </xf>
    <xf numFmtId="0" fontId="1" fillId="224" borderId="4" xfId="0" applyFont="1" applyFill="1" applyBorder="1" applyAlignment="1">
      <alignment horizontal="center" vertical="center" wrapText="1"/>
    </xf>
    <xf numFmtId="0" fontId="1" fillId="118" borderId="7" xfId="0" applyFont="1" applyFill="1" applyBorder="1" applyAlignment="1">
      <alignment horizontal="center" vertical="center" wrapText="1"/>
    </xf>
    <xf numFmtId="0" fontId="1" fillId="170" borderId="4" xfId="0" applyFont="1" applyFill="1" applyBorder="1" applyAlignment="1">
      <alignment horizontal="center" vertical="center" wrapText="1"/>
    </xf>
    <xf numFmtId="0" fontId="1" fillId="67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65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170" borderId="0" xfId="0" applyFont="1" applyFill="1" applyAlignment="1">
      <alignment horizontal="center" vertical="center" wrapText="1"/>
    </xf>
    <xf numFmtId="0" fontId="1" fillId="226" borderId="0" xfId="0" applyFont="1" applyFill="1" applyAlignment="1">
      <alignment horizontal="center" vertical="center" wrapText="1"/>
    </xf>
    <xf numFmtId="0" fontId="1" fillId="378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 vertical="top"/>
    </xf>
    <xf numFmtId="0" fontId="1" fillId="0" borderId="7" xfId="0" applyFont="1" applyBorder="1"/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490" borderId="4" xfId="0" applyFont="1" applyFill="1" applyBorder="1" applyAlignment="1">
      <alignment horizontal="center" vertical="center" wrapText="1"/>
    </xf>
    <xf numFmtId="0" fontId="1" fillId="129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491" borderId="0" xfId="0" applyFont="1" applyFill="1"/>
    <xf numFmtId="0" fontId="1" fillId="492" borderId="0" xfId="0" applyFont="1" applyFill="1"/>
    <xf numFmtId="0" fontId="1" fillId="493" borderId="0" xfId="0" applyFont="1" applyFill="1" applyAlignment="1">
      <alignment horizontal="center" vertical="center" wrapText="1"/>
    </xf>
    <xf numFmtId="0" fontId="1" fillId="494" borderId="0" xfId="0" applyFont="1" applyFill="1" applyAlignment="1">
      <alignment horizontal="center" vertical="center" wrapText="1"/>
    </xf>
    <xf numFmtId="0" fontId="1" fillId="495" borderId="0" xfId="0" applyFont="1" applyFill="1" applyAlignment="1">
      <alignment horizontal="center" vertical="center" wrapText="1"/>
    </xf>
    <xf numFmtId="0" fontId="1" fillId="496" borderId="0" xfId="0" applyFont="1" applyFill="1" applyAlignment="1">
      <alignment horizontal="center" vertical="center" wrapText="1"/>
    </xf>
    <xf numFmtId="0" fontId="1" fillId="497" borderId="0" xfId="0" applyFont="1" applyFill="1" applyAlignment="1">
      <alignment horizontal="center" vertical="center" wrapText="1"/>
    </xf>
    <xf numFmtId="0" fontId="1" fillId="498" borderId="0" xfId="0" applyFont="1" applyFill="1" applyAlignment="1">
      <alignment horizontal="center" vertical="center" wrapText="1"/>
    </xf>
    <xf numFmtId="0" fontId="0" fillId="0" borderId="7" xfId="0" applyBorder="1"/>
    <xf numFmtId="0" fontId="0" fillId="0" borderId="4" xfId="0" applyBorder="1"/>
    <xf numFmtId="0" fontId="1" fillId="499" borderId="0" xfId="0" applyFont="1" applyFill="1" applyAlignment="1">
      <alignment horizontal="center" vertical="center" wrapText="1"/>
    </xf>
    <xf numFmtId="0" fontId="1" fillId="500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501" borderId="0" xfId="0" applyFont="1" applyFill="1" applyAlignment="1">
      <alignment horizontal="center" vertical="center" wrapText="1"/>
    </xf>
    <xf numFmtId="0" fontId="1" fillId="502" borderId="0" xfId="0" applyFont="1" applyFill="1"/>
    <xf numFmtId="0" fontId="1" fillId="503" borderId="0" xfId="0" applyFont="1" applyFill="1"/>
    <xf numFmtId="0" fontId="1" fillId="504" borderId="0" xfId="0" applyFont="1" applyFill="1"/>
    <xf numFmtId="0" fontId="1" fillId="505" borderId="0" xfId="0" applyFont="1" applyFill="1"/>
    <xf numFmtId="0" fontId="1" fillId="506" borderId="0" xfId="0" applyFont="1" applyFill="1"/>
    <xf numFmtId="0" fontId="1" fillId="507" borderId="0" xfId="0" applyFont="1" applyFill="1"/>
    <xf numFmtId="0" fontId="1" fillId="508" borderId="0" xfId="0" applyFont="1" applyFill="1"/>
    <xf numFmtId="0" fontId="1" fillId="509" borderId="0" xfId="0" applyFont="1" applyFill="1"/>
    <xf numFmtId="0" fontId="1" fillId="510" borderId="0" xfId="0" applyFont="1" applyFill="1"/>
    <xf numFmtId="0" fontId="1" fillId="511" borderId="0" xfId="0" applyFont="1" applyFill="1"/>
    <xf numFmtId="0" fontId="1" fillId="512" borderId="0" xfId="0" applyFont="1" applyFill="1"/>
    <xf numFmtId="0" fontId="1" fillId="513" borderId="0" xfId="0" applyFont="1" applyFill="1"/>
    <xf numFmtId="0" fontId="1" fillId="514" borderId="0" xfId="0" applyFont="1" applyFill="1"/>
    <xf numFmtId="0" fontId="1" fillId="515" borderId="0" xfId="0" applyFont="1" applyFill="1" applyAlignment="1">
      <alignment horizontal="center" vertical="center" wrapText="1"/>
    </xf>
    <xf numFmtId="0" fontId="1" fillId="516" borderId="0" xfId="0" applyFont="1" applyFill="1"/>
    <xf numFmtId="0" fontId="1" fillId="517" borderId="0" xfId="0" applyFont="1" applyFill="1" applyAlignment="1">
      <alignment horizontal="center" vertical="center" wrapText="1"/>
    </xf>
    <xf numFmtId="0" fontId="1" fillId="518" borderId="0" xfId="0" applyFont="1" applyFill="1" applyAlignment="1">
      <alignment horizontal="center" vertical="center" wrapText="1"/>
    </xf>
    <xf numFmtId="0" fontId="1" fillId="519" borderId="0" xfId="0" applyFont="1" applyFill="1"/>
    <xf numFmtId="0" fontId="1" fillId="520" borderId="0" xfId="0" applyFont="1" applyFill="1"/>
    <xf numFmtId="0" fontId="1" fillId="521" borderId="0" xfId="0" applyFont="1" applyFill="1" applyAlignment="1">
      <alignment horizontal="center" vertical="center" wrapText="1"/>
    </xf>
    <xf numFmtId="0" fontId="1" fillId="522" borderId="0" xfId="0" applyFont="1" applyFill="1" applyAlignment="1">
      <alignment horizontal="center" vertical="center" wrapText="1"/>
    </xf>
    <xf numFmtId="0" fontId="1" fillId="523" borderId="0" xfId="0" applyFont="1" applyFill="1" applyAlignment="1">
      <alignment horizontal="center" vertical="center" wrapText="1"/>
    </xf>
    <xf numFmtId="0" fontId="1" fillId="524" borderId="0" xfId="0" applyFont="1" applyFill="1"/>
    <xf numFmtId="0" fontId="1" fillId="525" borderId="0" xfId="0" applyFont="1" applyFill="1"/>
    <xf numFmtId="0" fontId="0" fillId="0" borderId="4" xfId="0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543" borderId="0" xfId="0" applyFont="1" applyFill="1" applyAlignment="1">
      <alignment horizontal="center" vertical="center" wrapText="1"/>
    </xf>
    <xf numFmtId="0" fontId="8" fillId="546" borderId="0" xfId="0" applyFont="1" applyFill="1" applyAlignment="1">
      <alignment horizontal="center" vertical="center" wrapText="1"/>
    </xf>
    <xf numFmtId="0" fontId="8" fillId="547" borderId="0" xfId="0" applyFont="1" applyFill="1" applyAlignment="1">
      <alignment horizontal="center" vertical="center" wrapText="1"/>
    </xf>
    <xf numFmtId="0" fontId="8" fillId="548" borderId="0" xfId="0" applyFont="1" applyFill="1" applyAlignment="1">
      <alignment horizontal="center" vertical="center" wrapText="1"/>
    </xf>
    <xf numFmtId="0" fontId="8" fillId="549" borderId="0" xfId="0" applyFont="1" applyFill="1" applyAlignment="1">
      <alignment horizontal="center" vertical="center" wrapText="1"/>
    </xf>
    <xf numFmtId="0" fontId="8" fillId="550" borderId="0" xfId="0" applyFont="1" applyFill="1" applyAlignment="1">
      <alignment horizontal="center" vertical="center" wrapText="1"/>
    </xf>
    <xf numFmtId="0" fontId="8" fillId="551" borderId="0" xfId="0" applyFont="1" applyFill="1" applyAlignment="1">
      <alignment horizontal="center" vertical="center" wrapText="1"/>
    </xf>
    <xf numFmtId="0" fontId="8" fillId="552" borderId="0" xfId="0" applyFont="1" applyFill="1" applyAlignment="1">
      <alignment horizontal="center" vertical="center" wrapText="1"/>
    </xf>
    <xf numFmtId="0" fontId="8" fillId="553" borderId="0" xfId="0" applyFont="1" applyFill="1" applyAlignment="1">
      <alignment horizontal="center" vertical="center" wrapText="1"/>
    </xf>
    <xf numFmtId="0" fontId="8" fillId="554" borderId="0" xfId="0" applyFont="1" applyFill="1" applyAlignment="1">
      <alignment horizontal="center" vertical="center" wrapText="1"/>
    </xf>
    <xf numFmtId="0" fontId="8" fillId="555" borderId="0" xfId="0" applyFont="1" applyFill="1" applyAlignment="1">
      <alignment horizontal="center" vertical="center" wrapText="1"/>
    </xf>
    <xf numFmtId="0" fontId="8" fillId="556" borderId="0" xfId="0" applyFont="1" applyFill="1" applyAlignment="1">
      <alignment horizontal="center" vertical="center" wrapText="1"/>
    </xf>
    <xf numFmtId="0" fontId="8" fillId="557" borderId="0" xfId="0" applyFont="1" applyFill="1" applyAlignment="1">
      <alignment horizontal="center" vertical="center" wrapText="1"/>
    </xf>
    <xf numFmtId="0" fontId="8" fillId="558" borderId="0" xfId="0" applyFont="1" applyFill="1" applyAlignment="1">
      <alignment horizontal="center" vertical="center" wrapText="1"/>
    </xf>
    <xf numFmtId="0" fontId="8" fillId="559" borderId="0" xfId="0" applyFont="1" applyFill="1" applyAlignment="1">
      <alignment horizontal="center" vertical="center" wrapText="1"/>
    </xf>
    <xf numFmtId="0" fontId="8" fillId="560" borderId="0" xfId="0" applyFont="1" applyFill="1" applyAlignment="1">
      <alignment horizontal="center" vertical="center" wrapText="1"/>
    </xf>
    <xf numFmtId="0" fontId="8" fillId="561" borderId="0" xfId="0" applyFont="1" applyFill="1" applyAlignment="1">
      <alignment horizontal="center" vertical="center" wrapText="1"/>
    </xf>
    <xf numFmtId="0" fontId="8" fillId="562" borderId="0" xfId="0" applyFont="1" applyFill="1" applyAlignment="1">
      <alignment horizontal="center" vertical="center" wrapText="1"/>
    </xf>
    <xf numFmtId="0" fontId="8" fillId="563" borderId="0" xfId="0" applyFont="1" applyFill="1" applyAlignment="1">
      <alignment horizontal="center" vertical="center" wrapText="1"/>
    </xf>
    <xf numFmtId="0" fontId="8" fillId="564" borderId="0" xfId="0" applyFont="1" applyFill="1" applyAlignment="1">
      <alignment horizontal="center" vertical="center" wrapText="1"/>
    </xf>
    <xf numFmtId="0" fontId="8" fillId="565" borderId="0" xfId="0" applyFont="1" applyFill="1" applyAlignment="1">
      <alignment horizontal="center" vertical="center" wrapText="1"/>
    </xf>
    <xf numFmtId="0" fontId="8" fillId="566" borderId="0" xfId="0" applyFont="1" applyFill="1" applyAlignment="1">
      <alignment horizontal="center" vertical="center" wrapText="1"/>
    </xf>
    <xf numFmtId="0" fontId="8" fillId="567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568" borderId="0" xfId="0" applyFont="1" applyFill="1" applyAlignment="1">
      <alignment horizontal="center" vertical="center" wrapText="1"/>
    </xf>
    <xf numFmtId="0" fontId="8" fillId="569" borderId="0" xfId="0" applyFont="1" applyFill="1" applyAlignment="1">
      <alignment horizontal="center" vertical="center" wrapText="1"/>
    </xf>
    <xf numFmtId="0" fontId="8" fillId="570" borderId="0" xfId="0" applyFont="1" applyFill="1" applyAlignment="1">
      <alignment horizontal="center" vertical="center" wrapText="1"/>
    </xf>
    <xf numFmtId="0" fontId="8" fillId="571" borderId="0" xfId="0" applyFont="1" applyFill="1" applyAlignment="1">
      <alignment horizontal="center" vertical="center" wrapText="1"/>
    </xf>
    <xf numFmtId="0" fontId="8" fillId="572" borderId="0" xfId="0" applyFont="1" applyFill="1" applyAlignment="1">
      <alignment horizontal="center" vertical="center" wrapText="1"/>
    </xf>
    <xf numFmtId="0" fontId="8" fillId="573" borderId="0" xfId="0" applyFont="1" applyFill="1" applyAlignment="1">
      <alignment horizontal="center" vertical="center" wrapText="1"/>
    </xf>
    <xf numFmtId="0" fontId="8" fillId="574" borderId="0" xfId="0" applyFont="1" applyFill="1" applyAlignment="1">
      <alignment horizontal="center" vertical="center" wrapText="1"/>
    </xf>
    <xf numFmtId="0" fontId="8" fillId="575" borderId="0" xfId="0" applyFont="1" applyFill="1" applyAlignment="1">
      <alignment horizontal="center" vertical="center" wrapText="1"/>
    </xf>
    <xf numFmtId="0" fontId="8" fillId="576" borderId="0" xfId="0" applyFont="1" applyFill="1" applyAlignment="1">
      <alignment horizontal="center" vertical="center" wrapText="1"/>
    </xf>
    <xf numFmtId="0" fontId="8" fillId="577" borderId="0" xfId="0" applyFont="1" applyFill="1" applyAlignment="1">
      <alignment horizontal="center" vertical="center" wrapText="1"/>
    </xf>
    <xf numFmtId="0" fontId="8" fillId="578" borderId="0" xfId="0" applyFont="1" applyFill="1" applyAlignment="1">
      <alignment horizontal="center" vertical="center" wrapText="1"/>
    </xf>
    <xf numFmtId="0" fontId="8" fillId="579" borderId="0" xfId="0" applyFont="1" applyFill="1" applyAlignment="1">
      <alignment horizontal="center" vertical="center" wrapText="1"/>
    </xf>
    <xf numFmtId="0" fontId="8" fillId="580" borderId="0" xfId="0" applyFont="1" applyFill="1" applyAlignment="1">
      <alignment horizontal="center" vertical="center" wrapText="1"/>
    </xf>
    <xf numFmtId="0" fontId="8" fillId="581" borderId="0" xfId="0" applyFont="1" applyFill="1" applyAlignment="1">
      <alignment horizontal="center" vertical="center" wrapText="1"/>
    </xf>
    <xf numFmtId="0" fontId="8" fillId="582" borderId="0" xfId="0" applyFont="1" applyFill="1" applyAlignment="1">
      <alignment horizontal="center" vertical="center" wrapText="1"/>
    </xf>
    <xf numFmtId="0" fontId="8" fillId="583" borderId="0" xfId="0" applyFont="1" applyFill="1" applyAlignment="1">
      <alignment horizontal="center" vertical="center" wrapText="1"/>
    </xf>
    <xf numFmtId="0" fontId="8" fillId="584" borderId="0" xfId="0" applyFont="1" applyFill="1" applyAlignment="1">
      <alignment horizontal="center" vertical="center" wrapText="1"/>
    </xf>
    <xf numFmtId="0" fontId="8" fillId="585" borderId="0" xfId="0" applyFont="1" applyFill="1" applyAlignment="1">
      <alignment horizontal="center" vertical="center" wrapText="1"/>
    </xf>
    <xf numFmtId="0" fontId="8" fillId="586" borderId="0" xfId="0" applyFont="1" applyFill="1" applyAlignment="1">
      <alignment horizontal="center" vertical="center" wrapText="1"/>
    </xf>
    <xf numFmtId="0" fontId="8" fillId="587" borderId="0" xfId="0" applyFont="1" applyFill="1" applyAlignment="1">
      <alignment horizontal="center" vertical="center" wrapText="1"/>
    </xf>
    <xf numFmtId="0" fontId="8" fillId="588" borderId="0" xfId="0" applyFont="1" applyFill="1" applyAlignment="1">
      <alignment horizontal="center" vertical="center" wrapText="1"/>
    </xf>
    <xf numFmtId="0" fontId="8" fillId="589" borderId="0" xfId="0" applyFont="1" applyFill="1" applyAlignment="1">
      <alignment horizontal="center" vertical="center" wrapText="1"/>
    </xf>
    <xf numFmtId="0" fontId="8" fillId="590" borderId="0" xfId="0" applyFont="1" applyFill="1" applyAlignment="1">
      <alignment horizontal="center" vertical="center" wrapText="1"/>
    </xf>
    <xf numFmtId="0" fontId="8" fillId="591" borderId="0" xfId="0" applyFont="1" applyFill="1" applyAlignment="1">
      <alignment horizontal="center" vertical="center" wrapText="1"/>
    </xf>
    <xf numFmtId="0" fontId="8" fillId="592" borderId="0" xfId="0" applyFont="1" applyFill="1" applyAlignment="1">
      <alignment horizontal="center" vertical="center" wrapText="1"/>
    </xf>
    <xf numFmtId="0" fontId="8" fillId="593" borderId="0" xfId="0" applyFont="1" applyFill="1" applyAlignment="1">
      <alignment horizontal="center" vertical="center" wrapText="1"/>
    </xf>
    <xf numFmtId="0" fontId="8" fillId="594" borderId="0" xfId="0" applyFont="1" applyFill="1" applyAlignment="1">
      <alignment horizontal="center" vertical="center" wrapText="1"/>
    </xf>
    <xf numFmtId="0" fontId="8" fillId="595" borderId="0" xfId="0" applyFont="1" applyFill="1" applyAlignment="1">
      <alignment horizontal="center" vertical="center" wrapText="1"/>
    </xf>
    <xf numFmtId="0" fontId="8" fillId="596" borderId="0" xfId="0" applyFont="1" applyFill="1" applyAlignment="1">
      <alignment horizontal="center" vertical="center" wrapText="1"/>
    </xf>
    <xf numFmtId="0" fontId="8" fillId="597" borderId="0" xfId="0" applyFont="1" applyFill="1" applyAlignment="1">
      <alignment horizontal="center" vertical="center" wrapText="1"/>
    </xf>
    <xf numFmtId="0" fontId="8" fillId="598" borderId="0" xfId="0" applyFont="1" applyFill="1" applyAlignment="1">
      <alignment horizontal="center" vertical="center" wrapText="1"/>
    </xf>
    <xf numFmtId="0" fontId="8" fillId="599" borderId="0" xfId="0" applyFont="1" applyFill="1" applyAlignment="1">
      <alignment horizontal="center" vertical="center" wrapText="1"/>
    </xf>
    <xf numFmtId="0" fontId="8" fillId="600" borderId="0" xfId="0" applyFont="1" applyFill="1" applyAlignment="1">
      <alignment horizontal="center" vertical="center" wrapText="1"/>
    </xf>
    <xf numFmtId="0" fontId="8" fillId="601" borderId="0" xfId="0" applyFont="1" applyFill="1" applyAlignment="1">
      <alignment horizontal="center" vertical="center" wrapText="1"/>
    </xf>
    <xf numFmtId="0" fontId="8" fillId="602" borderId="0" xfId="0" applyFont="1" applyFill="1" applyAlignment="1">
      <alignment horizontal="center" vertical="center" wrapText="1"/>
    </xf>
    <xf numFmtId="0" fontId="8" fillId="603" borderId="0" xfId="0" applyFont="1" applyFill="1" applyAlignment="1">
      <alignment horizontal="center" vertical="center" wrapText="1"/>
    </xf>
    <xf numFmtId="0" fontId="8" fillId="604" borderId="0" xfId="0" applyFont="1" applyFill="1" applyAlignment="1">
      <alignment horizontal="center" vertical="center" wrapText="1"/>
    </xf>
    <xf numFmtId="0" fontId="8" fillId="605" borderId="0" xfId="0" applyFont="1" applyFill="1" applyAlignment="1">
      <alignment horizontal="center" vertical="center" wrapText="1"/>
    </xf>
    <xf numFmtId="0" fontId="8" fillId="606" borderId="0" xfId="0" applyFont="1" applyFill="1" applyAlignment="1">
      <alignment horizontal="center" vertical="center" wrapText="1"/>
    </xf>
    <xf numFmtId="0" fontId="8" fillId="607" borderId="0" xfId="0" applyFont="1" applyFill="1" applyAlignment="1">
      <alignment horizontal="center" vertical="center" wrapText="1"/>
    </xf>
    <xf numFmtId="0" fontId="8" fillId="608" borderId="0" xfId="0" applyFont="1" applyFill="1" applyAlignment="1">
      <alignment horizontal="center" vertical="center" wrapText="1"/>
    </xf>
    <xf numFmtId="0" fontId="8" fillId="609" borderId="0" xfId="0" applyFont="1" applyFill="1" applyAlignment="1">
      <alignment horizontal="center" vertical="center" wrapText="1"/>
    </xf>
    <xf numFmtId="0" fontId="8" fillId="610" borderId="0" xfId="0" applyFont="1" applyFill="1" applyAlignment="1">
      <alignment horizontal="center" vertical="center" wrapText="1"/>
    </xf>
    <xf numFmtId="0" fontId="8" fillId="611" borderId="0" xfId="0" applyFont="1" applyFill="1" applyAlignment="1">
      <alignment horizontal="center" vertical="center" wrapText="1"/>
    </xf>
    <xf numFmtId="0" fontId="8" fillId="612" borderId="0" xfId="0" applyFont="1" applyFill="1" applyAlignment="1">
      <alignment horizontal="center" vertical="center" wrapText="1"/>
    </xf>
    <xf numFmtId="0" fontId="8" fillId="613" borderId="0" xfId="0" applyFont="1" applyFill="1" applyAlignment="1">
      <alignment horizontal="center" vertical="center" wrapText="1"/>
    </xf>
    <xf numFmtId="0" fontId="8" fillId="614" borderId="0" xfId="0" applyFont="1" applyFill="1" applyAlignment="1">
      <alignment horizontal="center" vertical="center" wrapText="1"/>
    </xf>
    <xf numFmtId="0" fontId="8" fillId="615" borderId="0" xfId="0" applyFont="1" applyFill="1" applyAlignment="1">
      <alignment horizontal="center" vertical="center" wrapText="1"/>
    </xf>
    <xf numFmtId="0" fontId="8" fillId="616" borderId="0" xfId="0" applyFont="1" applyFill="1" applyAlignment="1">
      <alignment horizontal="center" vertical="center" wrapText="1"/>
    </xf>
    <xf numFmtId="0" fontId="8" fillId="617" borderId="0" xfId="0" applyFont="1" applyFill="1" applyAlignment="1">
      <alignment horizontal="center" vertical="center" wrapText="1"/>
    </xf>
    <xf numFmtId="0" fontId="8" fillId="618" borderId="0" xfId="0" applyFont="1" applyFill="1" applyAlignment="1">
      <alignment horizontal="center" vertical="center" wrapText="1"/>
    </xf>
    <xf numFmtId="0" fontId="8" fillId="619" borderId="0" xfId="0" applyFont="1" applyFill="1" applyAlignment="1">
      <alignment horizontal="center" vertical="center" wrapText="1"/>
    </xf>
    <xf numFmtId="0" fontId="8" fillId="620" borderId="0" xfId="0" applyFont="1" applyFill="1" applyAlignment="1">
      <alignment horizontal="center" vertical="center" wrapText="1"/>
    </xf>
    <xf numFmtId="0" fontId="8" fillId="621" borderId="0" xfId="0" applyFont="1" applyFill="1" applyAlignment="1">
      <alignment horizontal="center" vertical="center" wrapText="1"/>
    </xf>
    <xf numFmtId="0" fontId="8" fillId="622" borderId="0" xfId="0" applyFont="1" applyFill="1" applyAlignment="1">
      <alignment horizontal="center" vertical="center" wrapText="1"/>
    </xf>
    <xf numFmtId="0" fontId="8" fillId="623" borderId="0" xfId="0" applyFont="1" applyFill="1" applyAlignment="1">
      <alignment horizontal="center" vertical="center" wrapText="1"/>
    </xf>
    <xf numFmtId="0" fontId="8" fillId="624" borderId="0" xfId="0" applyFont="1" applyFill="1" applyAlignment="1">
      <alignment horizontal="center" vertical="center" wrapText="1"/>
    </xf>
    <xf numFmtId="0" fontId="8" fillId="625" borderId="0" xfId="0" applyFont="1" applyFill="1" applyAlignment="1">
      <alignment horizontal="center" vertical="center" wrapText="1"/>
    </xf>
    <xf numFmtId="0" fontId="8" fillId="626" borderId="0" xfId="0" applyFont="1" applyFill="1" applyAlignment="1">
      <alignment horizontal="center" vertical="center" wrapText="1"/>
    </xf>
    <xf numFmtId="0" fontId="8" fillId="627" borderId="0" xfId="0" applyFont="1" applyFill="1" applyAlignment="1">
      <alignment horizontal="center" vertical="center" wrapText="1"/>
    </xf>
    <xf numFmtId="0" fontId="8" fillId="628" borderId="0" xfId="0" applyFont="1" applyFill="1" applyAlignment="1">
      <alignment horizontal="center" vertical="center" wrapText="1"/>
    </xf>
    <xf numFmtId="0" fontId="8" fillId="629" borderId="0" xfId="0" applyFont="1" applyFill="1" applyAlignment="1">
      <alignment horizontal="center" vertical="center" wrapText="1"/>
    </xf>
    <xf numFmtId="0" fontId="8" fillId="630" borderId="0" xfId="0" applyFont="1" applyFill="1" applyAlignment="1">
      <alignment horizontal="center" vertical="center" wrapText="1"/>
    </xf>
    <xf numFmtId="0" fontId="8" fillId="631" borderId="0" xfId="0" applyFont="1" applyFill="1" applyAlignment="1">
      <alignment horizontal="center" vertical="center" wrapText="1"/>
    </xf>
    <xf numFmtId="0" fontId="8" fillId="632" borderId="0" xfId="0" applyFont="1" applyFill="1" applyAlignment="1">
      <alignment horizontal="center" vertical="center" wrapText="1"/>
    </xf>
    <xf numFmtId="0" fontId="8" fillId="633" borderId="0" xfId="0" applyFont="1" applyFill="1" applyAlignment="1">
      <alignment horizontal="center" vertical="center" wrapText="1"/>
    </xf>
    <xf numFmtId="0" fontId="8" fillId="634" borderId="0" xfId="0" applyFont="1" applyFill="1" applyAlignment="1">
      <alignment horizontal="center" vertical="center" wrapText="1"/>
    </xf>
    <xf numFmtId="0" fontId="8" fillId="635" borderId="0" xfId="0" applyFont="1" applyFill="1" applyAlignment="1">
      <alignment horizontal="center" vertical="center" wrapText="1"/>
    </xf>
    <xf numFmtId="0" fontId="8" fillId="636" borderId="0" xfId="0" applyFont="1" applyFill="1" applyAlignment="1">
      <alignment horizontal="center" vertical="center" wrapText="1"/>
    </xf>
    <xf numFmtId="0" fontId="8" fillId="637" borderId="0" xfId="0" applyFont="1" applyFill="1" applyAlignment="1">
      <alignment horizontal="center" vertical="center" wrapText="1"/>
    </xf>
    <xf numFmtId="0" fontId="8" fillId="638" borderId="0" xfId="0" applyFont="1" applyFill="1" applyAlignment="1">
      <alignment horizontal="center" vertical="center" wrapText="1"/>
    </xf>
    <xf numFmtId="0" fontId="8" fillId="639" borderId="0" xfId="0" applyFont="1" applyFill="1" applyAlignment="1">
      <alignment horizontal="center" vertical="center" wrapText="1"/>
    </xf>
    <xf numFmtId="0" fontId="8" fillId="640" borderId="0" xfId="0" applyFont="1" applyFill="1" applyAlignment="1">
      <alignment horizontal="center" vertical="center" wrapText="1"/>
    </xf>
    <xf numFmtId="0" fontId="8" fillId="641" borderId="0" xfId="0" applyFont="1" applyFill="1" applyAlignment="1">
      <alignment horizontal="center" vertical="center" wrapText="1"/>
    </xf>
    <xf numFmtId="0" fontId="8" fillId="642" borderId="0" xfId="0" applyFont="1" applyFill="1" applyAlignment="1">
      <alignment horizontal="center" vertical="center" wrapText="1"/>
    </xf>
    <xf numFmtId="0" fontId="8" fillId="643" borderId="0" xfId="0" applyFont="1" applyFill="1" applyAlignment="1">
      <alignment horizontal="center" vertical="center" wrapText="1"/>
    </xf>
    <xf numFmtId="0" fontId="8" fillId="644" borderId="0" xfId="0" applyFont="1" applyFill="1" applyAlignment="1">
      <alignment horizontal="center" vertical="center" wrapText="1"/>
    </xf>
    <xf numFmtId="0" fontId="8" fillId="645" borderId="0" xfId="0" applyFont="1" applyFill="1" applyAlignment="1">
      <alignment horizontal="center" vertical="center" wrapText="1"/>
    </xf>
    <xf numFmtId="0" fontId="8" fillId="646" borderId="0" xfId="0" applyFont="1" applyFill="1" applyAlignment="1">
      <alignment horizontal="center" vertical="center" wrapText="1"/>
    </xf>
    <xf numFmtId="0" fontId="8" fillId="647" borderId="0" xfId="0" applyFont="1" applyFill="1" applyAlignment="1">
      <alignment horizontal="center" vertical="center" wrapText="1"/>
    </xf>
    <xf numFmtId="0" fontId="8" fillId="648" borderId="0" xfId="0" applyFont="1" applyFill="1" applyAlignment="1">
      <alignment horizontal="center" vertical="center" wrapText="1"/>
    </xf>
    <xf numFmtId="0" fontId="8" fillId="649" borderId="0" xfId="0" applyFont="1" applyFill="1" applyAlignment="1">
      <alignment horizontal="center" vertical="center" wrapText="1"/>
    </xf>
    <xf numFmtId="0" fontId="8" fillId="650" borderId="0" xfId="0" applyFont="1" applyFill="1" applyAlignment="1">
      <alignment horizontal="center" vertical="center" wrapText="1"/>
    </xf>
    <xf numFmtId="0" fontId="8" fillId="651" borderId="0" xfId="0" applyFont="1" applyFill="1" applyAlignment="1">
      <alignment horizontal="center" vertical="center" wrapText="1"/>
    </xf>
    <xf numFmtId="0" fontId="8" fillId="652" borderId="0" xfId="0" applyFont="1" applyFill="1" applyAlignment="1">
      <alignment horizontal="center" vertical="center" wrapText="1"/>
    </xf>
    <xf numFmtId="0" fontId="8" fillId="653" borderId="0" xfId="0" applyFont="1" applyFill="1" applyAlignment="1">
      <alignment horizontal="center" vertical="center" wrapText="1"/>
    </xf>
    <xf numFmtId="0" fontId="8" fillId="654" borderId="0" xfId="0" applyFont="1" applyFill="1" applyAlignment="1">
      <alignment horizontal="center" vertical="center" wrapText="1"/>
    </xf>
    <xf numFmtId="0" fontId="8" fillId="655" borderId="0" xfId="0" applyFont="1" applyFill="1" applyAlignment="1">
      <alignment horizontal="center" vertical="center" wrapText="1"/>
    </xf>
    <xf numFmtId="0" fontId="8" fillId="656" borderId="0" xfId="0" applyFont="1" applyFill="1" applyAlignment="1">
      <alignment horizontal="center" vertical="center" wrapText="1"/>
    </xf>
    <xf numFmtId="0" fontId="8" fillId="657" borderId="0" xfId="0" applyFont="1" applyFill="1" applyAlignment="1">
      <alignment horizontal="center" vertical="center" wrapText="1"/>
    </xf>
    <xf numFmtId="0" fontId="8" fillId="658" borderId="0" xfId="0" applyFont="1" applyFill="1" applyAlignment="1">
      <alignment horizontal="center" vertical="center" wrapText="1"/>
    </xf>
    <xf numFmtId="0" fontId="8" fillId="659" borderId="0" xfId="0" applyFont="1" applyFill="1" applyAlignment="1">
      <alignment horizontal="center" vertical="center" wrapText="1"/>
    </xf>
    <xf numFmtId="0" fontId="8" fillId="660" borderId="0" xfId="0" applyFont="1" applyFill="1" applyAlignment="1">
      <alignment horizontal="center" vertical="center" wrapText="1"/>
    </xf>
    <xf numFmtId="0" fontId="8" fillId="661" borderId="0" xfId="0" applyFont="1" applyFill="1" applyAlignment="1">
      <alignment horizontal="center" vertical="center" wrapText="1"/>
    </xf>
    <xf numFmtId="0" fontId="8" fillId="662" borderId="0" xfId="0" applyFont="1" applyFill="1" applyAlignment="1">
      <alignment horizontal="center" vertical="center" wrapText="1"/>
    </xf>
    <xf numFmtId="0" fontId="8" fillId="663" borderId="0" xfId="0" applyFont="1" applyFill="1" applyAlignment="1">
      <alignment horizontal="center" vertical="center" wrapText="1"/>
    </xf>
    <xf numFmtId="0" fontId="8" fillId="664" borderId="0" xfId="0" applyFont="1" applyFill="1" applyAlignment="1">
      <alignment horizontal="center" vertical="center" wrapText="1"/>
    </xf>
    <xf numFmtId="0" fontId="8" fillId="665" borderId="0" xfId="0" applyFont="1" applyFill="1" applyAlignment="1">
      <alignment horizontal="center" vertical="center" wrapText="1"/>
    </xf>
    <xf numFmtId="0" fontId="8" fillId="666" borderId="0" xfId="0" applyFont="1" applyFill="1" applyAlignment="1">
      <alignment horizontal="center" vertical="center" wrapText="1"/>
    </xf>
    <xf numFmtId="0" fontId="8" fillId="667" borderId="0" xfId="0" applyFont="1" applyFill="1" applyAlignment="1">
      <alignment horizontal="center" vertical="center" wrapText="1"/>
    </xf>
    <xf numFmtId="0" fontId="8" fillId="668" borderId="0" xfId="0" applyFont="1" applyFill="1" applyAlignment="1">
      <alignment horizontal="center" vertical="center" wrapText="1"/>
    </xf>
    <xf numFmtId="0" fontId="8" fillId="669" borderId="0" xfId="0" applyFont="1" applyFill="1" applyAlignment="1">
      <alignment horizontal="center" vertical="center" wrapText="1"/>
    </xf>
    <xf numFmtId="0" fontId="8" fillId="670" borderId="0" xfId="0" applyFont="1" applyFill="1" applyAlignment="1">
      <alignment horizontal="center" vertical="center" wrapText="1"/>
    </xf>
    <xf numFmtId="0" fontId="8" fillId="671" borderId="0" xfId="0" applyFont="1" applyFill="1" applyAlignment="1">
      <alignment horizontal="center" vertical="center" wrapText="1"/>
    </xf>
    <xf numFmtId="0" fontId="8" fillId="672" borderId="0" xfId="0" applyFont="1" applyFill="1" applyAlignment="1">
      <alignment horizontal="center" vertical="center" wrapText="1"/>
    </xf>
    <xf numFmtId="0" fontId="8" fillId="673" borderId="0" xfId="0" applyFont="1" applyFill="1" applyAlignment="1">
      <alignment horizontal="center" vertical="center" wrapText="1"/>
    </xf>
    <xf numFmtId="0" fontId="8" fillId="674" borderId="0" xfId="0" applyFont="1" applyFill="1" applyAlignment="1">
      <alignment horizontal="center" vertical="center" wrapText="1"/>
    </xf>
    <xf numFmtId="0" fontId="8" fillId="675" borderId="0" xfId="0" applyFont="1" applyFill="1" applyAlignment="1">
      <alignment horizontal="center" vertical="center" wrapText="1"/>
    </xf>
    <xf numFmtId="0" fontId="8" fillId="676" borderId="0" xfId="0" applyFont="1" applyFill="1" applyAlignment="1">
      <alignment horizontal="center" vertical="center" wrapText="1"/>
    </xf>
    <xf numFmtId="0" fontId="8" fillId="677" borderId="0" xfId="0" applyFont="1" applyFill="1" applyAlignment="1">
      <alignment horizontal="center" vertical="center" wrapText="1"/>
    </xf>
    <xf numFmtId="0" fontId="8" fillId="678" borderId="0" xfId="0" applyFont="1" applyFill="1" applyAlignment="1">
      <alignment horizontal="center" vertical="center" wrapText="1"/>
    </xf>
    <xf numFmtId="0" fontId="8" fillId="679" borderId="0" xfId="0" applyFont="1" applyFill="1" applyAlignment="1">
      <alignment horizontal="center" vertical="center" wrapText="1"/>
    </xf>
    <xf numFmtId="0" fontId="8" fillId="680" borderId="0" xfId="0" applyFont="1" applyFill="1" applyAlignment="1">
      <alignment horizontal="center" vertical="center" wrapText="1"/>
    </xf>
    <xf numFmtId="0" fontId="8" fillId="681" borderId="0" xfId="0" applyFont="1" applyFill="1" applyAlignment="1">
      <alignment horizontal="center" vertical="center" wrapText="1"/>
    </xf>
    <xf numFmtId="0" fontId="8" fillId="682" borderId="0" xfId="0" applyFont="1" applyFill="1" applyAlignment="1">
      <alignment horizontal="center" vertical="center" wrapText="1"/>
    </xf>
    <xf numFmtId="0" fontId="8" fillId="683" borderId="0" xfId="0" applyFont="1" applyFill="1" applyAlignment="1">
      <alignment horizontal="center" vertical="center" wrapText="1"/>
    </xf>
    <xf numFmtId="0" fontId="8" fillId="684" borderId="0" xfId="0" applyFont="1" applyFill="1" applyAlignment="1">
      <alignment horizontal="center" vertical="center" wrapText="1"/>
    </xf>
    <xf numFmtId="0" fontId="8" fillId="685" borderId="0" xfId="0" applyFont="1" applyFill="1" applyAlignment="1">
      <alignment horizontal="center" vertical="center" wrapText="1"/>
    </xf>
    <xf numFmtId="0" fontId="8" fillId="686" borderId="0" xfId="0" applyFont="1" applyFill="1" applyAlignment="1">
      <alignment horizontal="center" vertical="center" wrapText="1"/>
    </xf>
    <xf numFmtId="0" fontId="8" fillId="687" borderId="0" xfId="0" applyFont="1" applyFill="1" applyAlignment="1">
      <alignment horizontal="center" vertical="center" wrapText="1"/>
    </xf>
    <xf numFmtId="0" fontId="8" fillId="688" borderId="0" xfId="0" applyFont="1" applyFill="1" applyAlignment="1">
      <alignment horizontal="center" vertical="center" wrapText="1"/>
    </xf>
    <xf numFmtId="0" fontId="8" fillId="689" borderId="0" xfId="0" applyFont="1" applyFill="1" applyAlignment="1">
      <alignment horizontal="center" vertical="center" wrapText="1"/>
    </xf>
    <xf numFmtId="0" fontId="8" fillId="690" borderId="0" xfId="0" applyFont="1" applyFill="1" applyAlignment="1">
      <alignment horizontal="center" vertical="center" wrapText="1"/>
    </xf>
    <xf numFmtId="0" fontId="8" fillId="691" borderId="0" xfId="0" applyFont="1" applyFill="1" applyAlignment="1">
      <alignment horizontal="center" vertical="center" wrapText="1"/>
    </xf>
    <xf numFmtId="0" fontId="8" fillId="692" borderId="0" xfId="0" applyFont="1" applyFill="1" applyAlignment="1">
      <alignment horizontal="center" vertical="center" wrapText="1"/>
    </xf>
    <xf numFmtId="0" fontId="8" fillId="693" borderId="0" xfId="0" applyFont="1" applyFill="1" applyAlignment="1">
      <alignment horizontal="center" vertical="center" wrapText="1"/>
    </xf>
    <xf numFmtId="0" fontId="8" fillId="694" borderId="0" xfId="0" applyFont="1" applyFill="1" applyAlignment="1">
      <alignment horizontal="center" vertical="center" wrapText="1"/>
    </xf>
    <xf numFmtId="0" fontId="8" fillId="695" borderId="0" xfId="0" applyFont="1" applyFill="1" applyAlignment="1">
      <alignment horizontal="center" vertical="center" wrapText="1"/>
    </xf>
    <xf numFmtId="0" fontId="8" fillId="696" borderId="0" xfId="0" applyFont="1" applyFill="1" applyAlignment="1">
      <alignment horizontal="center" vertical="center" wrapText="1"/>
    </xf>
    <xf numFmtId="0" fontId="8" fillId="697" borderId="0" xfId="0" applyFont="1" applyFill="1" applyAlignment="1">
      <alignment horizontal="center" vertical="center" wrapText="1"/>
    </xf>
    <xf numFmtId="0" fontId="8" fillId="698" borderId="0" xfId="0" applyFont="1" applyFill="1" applyAlignment="1">
      <alignment horizontal="center" vertical="center" wrapText="1"/>
    </xf>
    <xf numFmtId="0" fontId="8" fillId="699" borderId="0" xfId="0" applyFont="1" applyFill="1" applyAlignment="1">
      <alignment horizontal="center" vertical="center" wrapText="1"/>
    </xf>
    <xf numFmtId="0" fontId="8" fillId="700" borderId="0" xfId="0" applyFont="1" applyFill="1" applyAlignment="1">
      <alignment horizontal="center" vertical="center" wrapText="1"/>
    </xf>
    <xf numFmtId="0" fontId="8" fillId="701" borderId="0" xfId="0" applyFont="1" applyFill="1" applyAlignment="1">
      <alignment horizontal="center" vertical="center" wrapText="1"/>
    </xf>
    <xf numFmtId="0" fontId="8" fillId="702" borderId="0" xfId="0" applyFont="1" applyFill="1" applyAlignment="1">
      <alignment horizontal="center" vertical="center" wrapText="1"/>
    </xf>
    <xf numFmtId="0" fontId="8" fillId="703" borderId="0" xfId="0" applyFont="1" applyFill="1" applyAlignment="1">
      <alignment horizontal="center" vertical="center" wrapText="1"/>
    </xf>
    <xf numFmtId="0" fontId="8" fillId="704" borderId="0" xfId="0" applyFont="1" applyFill="1" applyAlignment="1">
      <alignment horizontal="center" vertical="center" wrapText="1"/>
    </xf>
    <xf numFmtId="0" fontId="8" fillId="705" borderId="0" xfId="0" applyFont="1" applyFill="1" applyAlignment="1">
      <alignment horizontal="center" vertical="center" wrapText="1"/>
    </xf>
    <xf numFmtId="0" fontId="8" fillId="706" borderId="0" xfId="0" applyFont="1" applyFill="1" applyAlignment="1">
      <alignment horizontal="center" vertical="center" wrapText="1"/>
    </xf>
    <xf numFmtId="0" fontId="8" fillId="707" borderId="0" xfId="0" applyFont="1" applyFill="1" applyAlignment="1">
      <alignment horizontal="center" vertical="center" wrapText="1"/>
    </xf>
    <xf numFmtId="0" fontId="8" fillId="708" borderId="0" xfId="0" applyFont="1" applyFill="1" applyAlignment="1">
      <alignment horizontal="center" vertical="center" wrapText="1"/>
    </xf>
    <xf numFmtId="0" fontId="8" fillId="709" borderId="0" xfId="0" applyFont="1" applyFill="1" applyAlignment="1">
      <alignment horizontal="center" vertical="center" wrapText="1"/>
    </xf>
    <xf numFmtId="0" fontId="8" fillId="710" borderId="0" xfId="0" applyFont="1" applyFill="1" applyAlignment="1">
      <alignment horizontal="center" vertical="center" wrapText="1"/>
    </xf>
    <xf numFmtId="0" fontId="8" fillId="711" borderId="0" xfId="0" applyFont="1" applyFill="1" applyAlignment="1">
      <alignment horizontal="center" vertical="center" wrapText="1"/>
    </xf>
    <xf numFmtId="0" fontId="8" fillId="712" borderId="0" xfId="0" applyFont="1" applyFill="1" applyAlignment="1">
      <alignment horizontal="center" vertical="center" wrapText="1"/>
    </xf>
    <xf numFmtId="0" fontId="8" fillId="713" borderId="0" xfId="0" applyFont="1" applyFill="1" applyAlignment="1">
      <alignment horizontal="center" vertical="center" wrapText="1"/>
    </xf>
    <xf numFmtId="0" fontId="8" fillId="714" borderId="0" xfId="0" applyFont="1" applyFill="1" applyAlignment="1">
      <alignment horizontal="center" vertical="center" wrapText="1"/>
    </xf>
    <xf numFmtId="0" fontId="8" fillId="715" borderId="0" xfId="0" applyFont="1" applyFill="1" applyAlignment="1">
      <alignment horizontal="center" vertical="center" wrapText="1"/>
    </xf>
    <xf numFmtId="0" fontId="8" fillId="716" borderId="0" xfId="0" applyFont="1" applyFill="1" applyAlignment="1">
      <alignment horizontal="center" vertical="center" wrapText="1"/>
    </xf>
    <xf numFmtId="0" fontId="8" fillId="717" borderId="0" xfId="0" applyFont="1" applyFill="1" applyAlignment="1">
      <alignment horizontal="center" vertical="center" wrapText="1"/>
    </xf>
    <xf numFmtId="0" fontId="8" fillId="718" borderId="0" xfId="0" applyFont="1" applyFill="1" applyAlignment="1">
      <alignment horizontal="center" vertical="center" wrapText="1"/>
    </xf>
    <xf numFmtId="0" fontId="8" fillId="719" borderId="0" xfId="0" applyFont="1" applyFill="1" applyAlignment="1">
      <alignment horizontal="center" vertical="center" wrapText="1"/>
    </xf>
    <xf numFmtId="0" fontId="8" fillId="720" borderId="0" xfId="0" applyFont="1" applyFill="1" applyAlignment="1">
      <alignment horizontal="center" vertical="center" wrapText="1"/>
    </xf>
    <xf numFmtId="0" fontId="8" fillId="721" borderId="0" xfId="0" applyFont="1" applyFill="1" applyAlignment="1">
      <alignment horizontal="center" vertical="center" wrapText="1"/>
    </xf>
    <xf numFmtId="0" fontId="8" fillId="722" borderId="0" xfId="0" applyFont="1" applyFill="1" applyAlignment="1">
      <alignment horizontal="center" vertical="center" wrapText="1"/>
    </xf>
    <xf numFmtId="0" fontId="8" fillId="723" borderId="0" xfId="0" applyFont="1" applyFill="1" applyAlignment="1">
      <alignment horizontal="center" vertical="center" wrapText="1"/>
    </xf>
    <xf numFmtId="0" fontId="8" fillId="724" borderId="0" xfId="0" applyFont="1" applyFill="1" applyAlignment="1">
      <alignment horizontal="center" vertical="center" wrapText="1"/>
    </xf>
    <xf numFmtId="0" fontId="8" fillId="725" borderId="0" xfId="0" applyFont="1" applyFill="1" applyAlignment="1">
      <alignment horizontal="center" vertical="center" wrapText="1"/>
    </xf>
    <xf numFmtId="0" fontId="8" fillId="726" borderId="0" xfId="0" applyFont="1" applyFill="1" applyAlignment="1">
      <alignment horizontal="center" vertical="center" wrapText="1"/>
    </xf>
    <xf numFmtId="0" fontId="8" fillId="727" borderId="0" xfId="0" applyFont="1" applyFill="1" applyAlignment="1">
      <alignment horizontal="center" vertical="center" wrapText="1"/>
    </xf>
    <xf numFmtId="0" fontId="8" fillId="728" borderId="0" xfId="0" applyFont="1" applyFill="1" applyAlignment="1">
      <alignment horizontal="center" vertical="center" wrapText="1"/>
    </xf>
    <xf numFmtId="0" fontId="8" fillId="729" borderId="0" xfId="0" applyFont="1" applyFill="1" applyAlignment="1">
      <alignment horizontal="center" vertical="center" wrapText="1"/>
    </xf>
    <xf numFmtId="0" fontId="8" fillId="730" borderId="0" xfId="0" applyFont="1" applyFill="1" applyAlignment="1">
      <alignment horizontal="center" vertical="center" wrapText="1"/>
    </xf>
    <xf numFmtId="0" fontId="8" fillId="731" borderId="0" xfId="0" applyFont="1" applyFill="1" applyAlignment="1">
      <alignment horizontal="center" vertical="center" wrapText="1"/>
    </xf>
    <xf numFmtId="0" fontId="8" fillId="732" borderId="0" xfId="0" applyFont="1" applyFill="1" applyAlignment="1">
      <alignment horizontal="center" vertical="center" wrapText="1"/>
    </xf>
    <xf numFmtId="0" fontId="8" fillId="733" borderId="0" xfId="0" applyFont="1" applyFill="1" applyAlignment="1">
      <alignment horizontal="center" vertical="center" wrapText="1"/>
    </xf>
    <xf numFmtId="0" fontId="8" fillId="734" borderId="0" xfId="0" applyFont="1" applyFill="1" applyAlignment="1">
      <alignment horizontal="center" vertical="center" wrapText="1"/>
    </xf>
    <xf numFmtId="0" fontId="8" fillId="735" borderId="0" xfId="0" applyFont="1" applyFill="1" applyAlignment="1">
      <alignment horizontal="center" vertical="center" wrapText="1"/>
    </xf>
    <xf numFmtId="0" fontId="8" fillId="736" borderId="0" xfId="0" applyFont="1" applyFill="1" applyAlignment="1">
      <alignment horizontal="center" vertical="center" wrapText="1"/>
    </xf>
    <xf numFmtId="0" fontId="8" fillId="737" borderId="0" xfId="0" applyFont="1" applyFill="1" applyAlignment="1">
      <alignment horizontal="center" vertical="center" wrapText="1"/>
    </xf>
    <xf numFmtId="0" fontId="8" fillId="738" borderId="0" xfId="0" applyFont="1" applyFill="1" applyAlignment="1">
      <alignment horizontal="center" vertical="center" wrapText="1"/>
    </xf>
    <xf numFmtId="0" fontId="8" fillId="739" borderId="0" xfId="0" applyFont="1" applyFill="1" applyAlignment="1">
      <alignment horizontal="center" vertical="center" wrapText="1"/>
    </xf>
    <xf numFmtId="0" fontId="8" fillId="740" borderId="0" xfId="0" applyFont="1" applyFill="1" applyAlignment="1">
      <alignment horizontal="center" vertical="center" wrapText="1"/>
    </xf>
    <xf numFmtId="0" fontId="8" fillId="741" borderId="0" xfId="0" applyFont="1" applyFill="1" applyAlignment="1">
      <alignment horizontal="center" vertical="center" wrapText="1"/>
    </xf>
    <xf numFmtId="0" fontId="8" fillId="742" borderId="0" xfId="0" applyFont="1" applyFill="1" applyAlignment="1">
      <alignment horizontal="center" vertical="center" wrapText="1"/>
    </xf>
    <xf numFmtId="0" fontId="8" fillId="743" borderId="0" xfId="0" applyFont="1" applyFill="1" applyAlignment="1">
      <alignment horizontal="center" vertical="center" wrapText="1"/>
    </xf>
    <xf numFmtId="0" fontId="8" fillId="744" borderId="0" xfId="0" applyFont="1" applyFill="1" applyAlignment="1">
      <alignment horizontal="center" vertical="center" wrapText="1"/>
    </xf>
    <xf numFmtId="0" fontId="8" fillId="745" borderId="0" xfId="0" applyFont="1" applyFill="1" applyAlignment="1">
      <alignment horizontal="center" vertical="center" wrapText="1"/>
    </xf>
    <xf numFmtId="0" fontId="8" fillId="746" borderId="0" xfId="0" applyFont="1" applyFill="1" applyAlignment="1">
      <alignment horizontal="center" vertical="center" wrapText="1"/>
    </xf>
    <xf numFmtId="0" fontId="8" fillId="747" borderId="0" xfId="0" applyFont="1" applyFill="1" applyAlignment="1">
      <alignment horizontal="center" vertical="center" wrapText="1"/>
    </xf>
    <xf numFmtId="0" fontId="8" fillId="748" borderId="0" xfId="0" applyFont="1" applyFill="1" applyAlignment="1">
      <alignment horizontal="center" vertical="center" wrapText="1"/>
    </xf>
    <xf numFmtId="0" fontId="8" fillId="749" borderId="0" xfId="0" applyFont="1" applyFill="1" applyAlignment="1">
      <alignment horizontal="center" vertical="center" wrapText="1"/>
    </xf>
    <xf numFmtId="0" fontId="8" fillId="750" borderId="0" xfId="0" applyFont="1" applyFill="1" applyAlignment="1">
      <alignment horizontal="center" vertical="center" wrapText="1"/>
    </xf>
    <xf numFmtId="0" fontId="8" fillId="751" borderId="0" xfId="0" applyFont="1" applyFill="1" applyAlignment="1">
      <alignment horizontal="center" vertical="center" wrapText="1"/>
    </xf>
    <xf numFmtId="0" fontId="8" fillId="752" borderId="0" xfId="0" applyFont="1" applyFill="1" applyAlignment="1">
      <alignment horizontal="center" vertical="center" wrapText="1"/>
    </xf>
    <xf numFmtId="0" fontId="8" fillId="753" borderId="0" xfId="0" applyFont="1" applyFill="1" applyAlignment="1">
      <alignment horizontal="center" vertical="center" wrapText="1"/>
    </xf>
    <xf numFmtId="0" fontId="8" fillId="754" borderId="0" xfId="0" applyFont="1" applyFill="1" applyAlignment="1">
      <alignment horizontal="center" vertical="center" wrapText="1"/>
    </xf>
    <xf numFmtId="0" fontId="8" fillId="755" borderId="0" xfId="0" applyFont="1" applyFill="1" applyAlignment="1">
      <alignment horizontal="center" vertical="center" wrapText="1"/>
    </xf>
    <xf numFmtId="0" fontId="8" fillId="756" borderId="0" xfId="0" applyFont="1" applyFill="1" applyAlignment="1">
      <alignment horizontal="center" vertical="center" wrapText="1"/>
    </xf>
    <xf numFmtId="0" fontId="8" fillId="757" borderId="0" xfId="0" applyFont="1" applyFill="1" applyAlignment="1">
      <alignment horizontal="center" vertical="center" wrapText="1"/>
    </xf>
    <xf numFmtId="0" fontId="8" fillId="758" borderId="0" xfId="0" applyFont="1" applyFill="1" applyAlignment="1">
      <alignment horizontal="center" vertical="center" wrapText="1"/>
    </xf>
    <xf numFmtId="0" fontId="8" fillId="759" borderId="0" xfId="0" applyFont="1" applyFill="1" applyAlignment="1">
      <alignment horizontal="center" vertical="center" wrapText="1"/>
    </xf>
    <xf numFmtId="0" fontId="8" fillId="760" borderId="0" xfId="0" applyFont="1" applyFill="1" applyAlignment="1">
      <alignment horizontal="center" vertical="center" wrapText="1"/>
    </xf>
    <xf numFmtId="0" fontId="8" fillId="761" borderId="0" xfId="0" applyFont="1" applyFill="1" applyAlignment="1">
      <alignment horizontal="center" vertical="center" wrapText="1"/>
    </xf>
    <xf numFmtId="0" fontId="8" fillId="762" borderId="0" xfId="0" applyFont="1" applyFill="1" applyAlignment="1">
      <alignment horizontal="center" vertical="center" wrapText="1"/>
    </xf>
    <xf numFmtId="0" fontId="8" fillId="763" borderId="0" xfId="0" applyFont="1" applyFill="1" applyAlignment="1">
      <alignment horizontal="center" vertical="center" wrapText="1"/>
    </xf>
    <xf numFmtId="0" fontId="8" fillId="764" borderId="0" xfId="0" applyFont="1" applyFill="1" applyAlignment="1">
      <alignment horizontal="center" vertical="center" wrapText="1"/>
    </xf>
    <xf numFmtId="0" fontId="8" fillId="765" borderId="0" xfId="0" applyFont="1" applyFill="1" applyAlignment="1">
      <alignment horizontal="center" vertical="center" wrapText="1"/>
    </xf>
    <xf numFmtId="0" fontId="8" fillId="766" borderId="0" xfId="0" applyFont="1" applyFill="1" applyAlignment="1">
      <alignment horizontal="center" vertical="center" wrapText="1"/>
    </xf>
    <xf numFmtId="0" fontId="8" fillId="767" borderId="0" xfId="0" applyFont="1" applyFill="1" applyAlignment="1">
      <alignment horizontal="center" vertical="center" wrapText="1"/>
    </xf>
    <xf numFmtId="0" fontId="8" fillId="768" borderId="0" xfId="0" applyFont="1" applyFill="1" applyAlignment="1">
      <alignment horizontal="center" vertical="center" wrapText="1"/>
    </xf>
    <xf numFmtId="0" fontId="8" fillId="769" borderId="0" xfId="0" applyFont="1" applyFill="1" applyAlignment="1">
      <alignment horizontal="center" vertical="center" wrapText="1"/>
    </xf>
    <xf numFmtId="0" fontId="8" fillId="770" borderId="0" xfId="0" applyFont="1" applyFill="1" applyAlignment="1">
      <alignment horizontal="center" vertical="center" wrapText="1"/>
    </xf>
    <xf numFmtId="0" fontId="8" fillId="771" borderId="0" xfId="0" applyFont="1" applyFill="1" applyAlignment="1">
      <alignment horizontal="center" vertical="center" wrapText="1"/>
    </xf>
    <xf numFmtId="0" fontId="8" fillId="772" borderId="0" xfId="0" applyFont="1" applyFill="1" applyAlignment="1">
      <alignment horizontal="center" vertical="center" wrapText="1"/>
    </xf>
    <xf numFmtId="0" fontId="8" fillId="773" borderId="0" xfId="0" applyFont="1" applyFill="1" applyAlignment="1">
      <alignment horizontal="center" vertical="center" wrapText="1"/>
    </xf>
    <xf numFmtId="0" fontId="8" fillId="774" borderId="0" xfId="0" applyFont="1" applyFill="1" applyAlignment="1">
      <alignment horizontal="center" vertical="center" wrapText="1"/>
    </xf>
    <xf numFmtId="0" fontId="8" fillId="775" borderId="0" xfId="0" applyFont="1" applyFill="1" applyAlignment="1">
      <alignment horizontal="center" vertical="center" wrapText="1"/>
    </xf>
    <xf numFmtId="0" fontId="8" fillId="776" borderId="0" xfId="0" applyFont="1" applyFill="1" applyAlignment="1">
      <alignment horizontal="center" vertical="center" wrapText="1"/>
    </xf>
    <xf numFmtId="0" fontId="8" fillId="777" borderId="0" xfId="0" applyFont="1" applyFill="1" applyAlignment="1">
      <alignment horizontal="center" vertical="center" wrapText="1"/>
    </xf>
    <xf numFmtId="0" fontId="8" fillId="778" borderId="0" xfId="0" applyFont="1" applyFill="1" applyAlignment="1">
      <alignment horizontal="center" vertical="center" wrapText="1"/>
    </xf>
    <xf numFmtId="0" fontId="8" fillId="779" borderId="0" xfId="0" applyFont="1" applyFill="1" applyAlignment="1">
      <alignment horizontal="center" vertical="center" wrapText="1"/>
    </xf>
    <xf numFmtId="0" fontId="8" fillId="780" borderId="0" xfId="0" applyFont="1" applyFill="1" applyAlignment="1">
      <alignment horizontal="center" vertical="center" wrapText="1"/>
    </xf>
    <xf numFmtId="0" fontId="8" fillId="781" borderId="0" xfId="0" applyFont="1" applyFill="1" applyAlignment="1">
      <alignment horizontal="center" vertical="center" wrapText="1"/>
    </xf>
    <xf numFmtId="0" fontId="8" fillId="782" borderId="0" xfId="0" applyFont="1" applyFill="1" applyAlignment="1">
      <alignment horizontal="center" vertical="center" wrapText="1"/>
    </xf>
    <xf numFmtId="0" fontId="8" fillId="783" borderId="0" xfId="0" applyFont="1" applyFill="1" applyAlignment="1">
      <alignment horizontal="center" vertical="center" wrapText="1"/>
    </xf>
    <xf numFmtId="0" fontId="8" fillId="784" borderId="0" xfId="0" applyFont="1" applyFill="1" applyAlignment="1">
      <alignment horizontal="center" vertical="center" wrapText="1"/>
    </xf>
    <xf numFmtId="0" fontId="8" fillId="785" borderId="0" xfId="0" applyFont="1" applyFill="1" applyAlignment="1">
      <alignment horizontal="center" vertical="center" wrapText="1"/>
    </xf>
    <xf numFmtId="0" fontId="8" fillId="786" borderId="0" xfId="0" applyFont="1" applyFill="1" applyAlignment="1">
      <alignment horizontal="center" vertical="center" wrapText="1"/>
    </xf>
    <xf numFmtId="0" fontId="8" fillId="787" borderId="0" xfId="0" applyFont="1" applyFill="1" applyAlignment="1">
      <alignment horizontal="center" vertical="center" wrapText="1"/>
    </xf>
    <xf numFmtId="0" fontId="8" fillId="788" borderId="0" xfId="0" applyFont="1" applyFill="1" applyAlignment="1">
      <alignment horizontal="center" vertical="center" wrapText="1"/>
    </xf>
    <xf numFmtId="0" fontId="8" fillId="789" borderId="0" xfId="0" applyFont="1" applyFill="1" applyAlignment="1">
      <alignment horizontal="center" vertical="center" wrapText="1"/>
    </xf>
    <xf numFmtId="0" fontId="8" fillId="790" borderId="0" xfId="0" applyFont="1" applyFill="1" applyAlignment="1">
      <alignment horizontal="center" vertical="center" wrapText="1"/>
    </xf>
    <xf numFmtId="0" fontId="8" fillId="791" borderId="0" xfId="0" applyFont="1" applyFill="1" applyAlignment="1">
      <alignment horizontal="center" vertical="center" wrapText="1"/>
    </xf>
    <xf numFmtId="0" fontId="8" fillId="792" borderId="0" xfId="0" applyFont="1" applyFill="1" applyAlignment="1">
      <alignment horizontal="center" vertical="center" wrapText="1"/>
    </xf>
    <xf numFmtId="0" fontId="8" fillId="793" borderId="0" xfId="0" applyFont="1" applyFill="1" applyAlignment="1">
      <alignment horizontal="center" vertical="center" wrapText="1"/>
    </xf>
    <xf numFmtId="0" fontId="8" fillId="794" borderId="0" xfId="0" applyFont="1" applyFill="1" applyAlignment="1">
      <alignment horizontal="center" vertical="center" wrapText="1"/>
    </xf>
    <xf numFmtId="0" fontId="8" fillId="795" borderId="0" xfId="0" applyFont="1" applyFill="1" applyAlignment="1">
      <alignment horizontal="center" vertical="center" wrapText="1"/>
    </xf>
    <xf numFmtId="0" fontId="8" fillId="796" borderId="0" xfId="0" applyFont="1" applyFill="1" applyAlignment="1">
      <alignment horizontal="center" vertical="center" wrapText="1"/>
    </xf>
    <xf numFmtId="0" fontId="8" fillId="797" borderId="0" xfId="0" applyFont="1" applyFill="1" applyAlignment="1">
      <alignment horizontal="center" vertical="center" wrapText="1"/>
    </xf>
    <xf numFmtId="0" fontId="8" fillId="798" borderId="0" xfId="0" applyFont="1" applyFill="1" applyAlignment="1">
      <alignment horizontal="center" vertical="center" wrapText="1"/>
    </xf>
    <xf numFmtId="0" fontId="8" fillId="799" borderId="0" xfId="0" applyFont="1" applyFill="1" applyAlignment="1">
      <alignment horizontal="center" vertical="center" wrapText="1"/>
    </xf>
    <xf numFmtId="0" fontId="8" fillId="800" borderId="0" xfId="0" applyFont="1" applyFill="1" applyAlignment="1">
      <alignment horizontal="center" vertical="center" wrapText="1"/>
    </xf>
    <xf numFmtId="0" fontId="8" fillId="801" borderId="0" xfId="0" applyFont="1" applyFill="1" applyAlignment="1">
      <alignment horizontal="center" vertical="center" wrapText="1"/>
    </xf>
    <xf numFmtId="0" fontId="8" fillId="802" borderId="0" xfId="0" applyFont="1" applyFill="1" applyAlignment="1">
      <alignment horizontal="center" vertical="center" wrapText="1"/>
    </xf>
    <xf numFmtId="0" fontId="8" fillId="803" borderId="0" xfId="0" applyFont="1" applyFill="1" applyAlignment="1">
      <alignment horizontal="center" vertical="center" wrapText="1"/>
    </xf>
    <xf numFmtId="0" fontId="8" fillId="804" borderId="0" xfId="0" applyFont="1" applyFill="1" applyAlignment="1">
      <alignment horizontal="center" vertical="center" wrapText="1"/>
    </xf>
    <xf numFmtId="0" fontId="8" fillId="805" borderId="0" xfId="0" applyFont="1" applyFill="1" applyAlignment="1">
      <alignment horizontal="center" vertical="center" wrapText="1"/>
    </xf>
    <xf numFmtId="0" fontId="8" fillId="806" borderId="0" xfId="0" applyFont="1" applyFill="1" applyAlignment="1">
      <alignment horizontal="center" vertical="center" wrapText="1"/>
    </xf>
    <xf numFmtId="0" fontId="8" fillId="807" borderId="0" xfId="0" applyFont="1" applyFill="1" applyAlignment="1">
      <alignment horizontal="center" vertical="center" wrapText="1"/>
    </xf>
    <xf numFmtId="0" fontId="8" fillId="808" borderId="0" xfId="0" applyFont="1" applyFill="1" applyAlignment="1">
      <alignment horizontal="center" vertical="center" wrapText="1"/>
    </xf>
    <xf numFmtId="0" fontId="8" fillId="809" borderId="0" xfId="0" applyFont="1" applyFill="1" applyAlignment="1">
      <alignment horizontal="center" vertical="center" wrapText="1"/>
    </xf>
    <xf numFmtId="0" fontId="8" fillId="810" borderId="0" xfId="0" applyFont="1" applyFill="1" applyAlignment="1">
      <alignment horizontal="center" vertical="center" wrapText="1"/>
    </xf>
    <xf numFmtId="0" fontId="8" fillId="811" borderId="0" xfId="0" applyFont="1" applyFill="1" applyAlignment="1">
      <alignment horizontal="center" vertical="center" wrapText="1"/>
    </xf>
    <xf numFmtId="0" fontId="8" fillId="812" borderId="0" xfId="0" applyFont="1" applyFill="1" applyAlignment="1">
      <alignment horizontal="center" vertical="center" wrapText="1"/>
    </xf>
    <xf numFmtId="0" fontId="8" fillId="813" borderId="0" xfId="0" applyFont="1" applyFill="1" applyAlignment="1">
      <alignment horizontal="center" vertical="center" wrapText="1"/>
    </xf>
    <xf numFmtId="0" fontId="8" fillId="814" borderId="0" xfId="0" applyFont="1" applyFill="1" applyAlignment="1">
      <alignment horizontal="center" vertical="center" wrapText="1"/>
    </xf>
    <xf numFmtId="0" fontId="8" fillId="815" borderId="0" xfId="0" applyFont="1" applyFill="1" applyAlignment="1">
      <alignment horizontal="center" vertical="center" wrapText="1"/>
    </xf>
    <xf numFmtId="0" fontId="8" fillId="816" borderId="0" xfId="0" applyFont="1" applyFill="1" applyAlignment="1">
      <alignment horizontal="center" vertical="center" wrapText="1"/>
    </xf>
    <xf numFmtId="0" fontId="8" fillId="817" borderId="0" xfId="0" applyFont="1" applyFill="1" applyAlignment="1">
      <alignment horizontal="center" vertical="center" wrapText="1"/>
    </xf>
    <xf numFmtId="0" fontId="8" fillId="818" borderId="0" xfId="0" applyFont="1" applyFill="1" applyAlignment="1">
      <alignment horizontal="center" vertical="center" wrapText="1"/>
    </xf>
    <xf numFmtId="0" fontId="8" fillId="819" borderId="0" xfId="0" applyFont="1" applyFill="1" applyAlignment="1">
      <alignment horizontal="center" vertical="center" wrapText="1"/>
    </xf>
    <xf numFmtId="0" fontId="8" fillId="820" borderId="0" xfId="0" applyFont="1" applyFill="1" applyAlignment="1">
      <alignment horizontal="center" vertical="center" wrapText="1"/>
    </xf>
    <xf numFmtId="0" fontId="8" fillId="821" borderId="0" xfId="0" applyFont="1" applyFill="1" applyAlignment="1">
      <alignment horizontal="center" vertical="center" wrapText="1"/>
    </xf>
    <xf numFmtId="0" fontId="8" fillId="822" borderId="0" xfId="0" applyFont="1" applyFill="1" applyAlignment="1">
      <alignment horizontal="center" vertical="center" wrapText="1"/>
    </xf>
    <xf numFmtId="0" fontId="8" fillId="823" borderId="0" xfId="0" applyFont="1" applyFill="1" applyAlignment="1">
      <alignment horizontal="center" vertical="center" wrapText="1"/>
    </xf>
    <xf numFmtId="0" fontId="8" fillId="824" borderId="0" xfId="0" applyFont="1" applyFill="1" applyAlignment="1">
      <alignment horizontal="center" vertical="center" wrapText="1"/>
    </xf>
    <xf numFmtId="0" fontId="8" fillId="825" borderId="0" xfId="0" applyFont="1" applyFill="1" applyAlignment="1">
      <alignment horizontal="center" vertical="center" wrapText="1"/>
    </xf>
    <xf numFmtId="0" fontId="8" fillId="826" borderId="0" xfId="0" applyFont="1" applyFill="1" applyAlignment="1">
      <alignment horizontal="center" vertical="center" wrapText="1"/>
    </xf>
    <xf numFmtId="0" fontId="8" fillId="827" borderId="0" xfId="0" applyFont="1" applyFill="1" applyAlignment="1">
      <alignment horizontal="center" vertical="center" wrapText="1"/>
    </xf>
    <xf numFmtId="0" fontId="8" fillId="828" borderId="0" xfId="0" applyFont="1" applyFill="1" applyAlignment="1">
      <alignment horizontal="center" vertical="center" wrapText="1"/>
    </xf>
    <xf numFmtId="0" fontId="8" fillId="829" borderId="0" xfId="0" applyFont="1" applyFill="1" applyAlignment="1">
      <alignment horizontal="center" vertical="center" wrapText="1"/>
    </xf>
    <xf numFmtId="0" fontId="8" fillId="830" borderId="0" xfId="0" applyFont="1" applyFill="1" applyAlignment="1">
      <alignment horizontal="center" vertical="center" wrapText="1"/>
    </xf>
    <xf numFmtId="0" fontId="8" fillId="831" borderId="0" xfId="0" applyFont="1" applyFill="1" applyAlignment="1">
      <alignment horizontal="center" vertical="center" wrapText="1"/>
    </xf>
    <xf numFmtId="0" fontId="8" fillId="832" borderId="0" xfId="0" applyFont="1" applyFill="1" applyAlignment="1">
      <alignment horizontal="center" vertical="center" wrapText="1"/>
    </xf>
    <xf numFmtId="0" fontId="8" fillId="833" borderId="0" xfId="0" applyFont="1" applyFill="1" applyAlignment="1">
      <alignment horizontal="center" vertical="center" wrapText="1"/>
    </xf>
    <xf numFmtId="0" fontId="8" fillId="834" borderId="0" xfId="0" applyFont="1" applyFill="1" applyAlignment="1">
      <alignment horizontal="center" vertical="center" wrapText="1"/>
    </xf>
    <xf numFmtId="0" fontId="8" fillId="835" borderId="0" xfId="0" applyFont="1" applyFill="1" applyAlignment="1">
      <alignment horizontal="center" vertical="center" wrapText="1"/>
    </xf>
    <xf numFmtId="0" fontId="8" fillId="836" borderId="0" xfId="0" applyFont="1" applyFill="1" applyAlignment="1">
      <alignment horizontal="center" vertical="center" wrapText="1"/>
    </xf>
    <xf numFmtId="0" fontId="8" fillId="837" borderId="0" xfId="0" applyFont="1" applyFill="1" applyAlignment="1">
      <alignment horizontal="center" vertical="center" wrapText="1"/>
    </xf>
    <xf numFmtId="0" fontId="8" fillId="838" borderId="0" xfId="0" applyFont="1" applyFill="1" applyAlignment="1">
      <alignment horizontal="center" vertical="center" wrapText="1"/>
    </xf>
    <xf numFmtId="0" fontId="8" fillId="839" borderId="0" xfId="0" applyFont="1" applyFill="1" applyAlignment="1">
      <alignment horizontal="center" vertical="center" wrapText="1"/>
    </xf>
    <xf numFmtId="0" fontId="8" fillId="840" borderId="0" xfId="0" applyFont="1" applyFill="1" applyAlignment="1">
      <alignment horizontal="center" vertical="center" wrapText="1"/>
    </xf>
    <xf numFmtId="0" fontId="8" fillId="841" borderId="0" xfId="0" applyFont="1" applyFill="1" applyAlignment="1">
      <alignment horizontal="center" vertical="center" wrapText="1"/>
    </xf>
    <xf numFmtId="0" fontId="8" fillId="842" borderId="0" xfId="0" applyFont="1" applyFill="1" applyAlignment="1">
      <alignment horizontal="center" vertical="center" wrapText="1"/>
    </xf>
    <xf numFmtId="0" fontId="8" fillId="843" borderId="0" xfId="0" applyFont="1" applyFill="1" applyAlignment="1">
      <alignment horizontal="center" vertical="center" wrapText="1"/>
    </xf>
    <xf numFmtId="0" fontId="8" fillId="844" borderId="0" xfId="0" applyFont="1" applyFill="1" applyAlignment="1">
      <alignment horizontal="center" vertical="center" wrapText="1"/>
    </xf>
    <xf numFmtId="0" fontId="8" fillId="845" borderId="0" xfId="0" applyFont="1" applyFill="1" applyAlignment="1">
      <alignment horizontal="center" vertical="center" wrapText="1"/>
    </xf>
    <xf numFmtId="0" fontId="8" fillId="846" borderId="0" xfId="0" applyFont="1" applyFill="1" applyAlignment="1">
      <alignment horizontal="center" vertical="center" wrapText="1"/>
    </xf>
    <xf numFmtId="0" fontId="8" fillId="847" borderId="0" xfId="0" applyFont="1" applyFill="1" applyAlignment="1">
      <alignment horizontal="center" vertical="center" wrapText="1"/>
    </xf>
    <xf numFmtId="0" fontId="8" fillId="848" borderId="0" xfId="0" applyFont="1" applyFill="1" applyAlignment="1">
      <alignment horizontal="center" vertical="center" wrapText="1"/>
    </xf>
    <xf numFmtId="0" fontId="8" fillId="849" borderId="0" xfId="0" applyFont="1" applyFill="1" applyAlignment="1">
      <alignment horizontal="center" vertical="center" wrapText="1"/>
    </xf>
    <xf numFmtId="0" fontId="8" fillId="850" borderId="0" xfId="0" applyFont="1" applyFill="1" applyAlignment="1">
      <alignment horizontal="center" vertical="center" wrapText="1"/>
    </xf>
    <xf numFmtId="0" fontId="8" fillId="851" borderId="0" xfId="0" applyFont="1" applyFill="1" applyAlignment="1">
      <alignment horizontal="center" vertical="center" wrapText="1"/>
    </xf>
    <xf numFmtId="0" fontId="8" fillId="852" borderId="0" xfId="0" applyFont="1" applyFill="1" applyAlignment="1">
      <alignment horizontal="center" vertical="center" wrapText="1"/>
    </xf>
    <xf numFmtId="0" fontId="8" fillId="853" borderId="0" xfId="0" applyFont="1" applyFill="1" applyAlignment="1">
      <alignment horizontal="center" vertical="center" wrapText="1"/>
    </xf>
    <xf numFmtId="0" fontId="8" fillId="854" borderId="0" xfId="0" applyFont="1" applyFill="1" applyAlignment="1">
      <alignment horizontal="center" vertical="center" wrapText="1"/>
    </xf>
    <xf numFmtId="0" fontId="8" fillId="855" borderId="0" xfId="0" applyFont="1" applyFill="1" applyAlignment="1">
      <alignment horizontal="center" vertical="center" wrapText="1"/>
    </xf>
    <xf numFmtId="0" fontId="8" fillId="856" borderId="0" xfId="0" applyFont="1" applyFill="1" applyAlignment="1">
      <alignment horizontal="center" vertical="center" wrapText="1"/>
    </xf>
    <xf numFmtId="0" fontId="8" fillId="857" borderId="0" xfId="0" applyFont="1" applyFill="1" applyAlignment="1">
      <alignment horizontal="center" vertical="center" wrapText="1"/>
    </xf>
    <xf numFmtId="0" fontId="8" fillId="858" borderId="0" xfId="0" applyFont="1" applyFill="1" applyAlignment="1">
      <alignment horizontal="center" vertical="center" wrapText="1"/>
    </xf>
    <xf numFmtId="0" fontId="8" fillId="859" borderId="0" xfId="0" applyFont="1" applyFill="1" applyAlignment="1">
      <alignment horizontal="center" vertical="center" wrapText="1"/>
    </xf>
    <xf numFmtId="0" fontId="8" fillId="860" borderId="0" xfId="0" applyFont="1" applyFill="1" applyAlignment="1">
      <alignment horizontal="center" vertical="center" wrapText="1"/>
    </xf>
    <xf numFmtId="0" fontId="8" fillId="861" borderId="0" xfId="0" applyFont="1" applyFill="1" applyAlignment="1">
      <alignment horizontal="center" vertical="center" wrapText="1"/>
    </xf>
    <xf numFmtId="0" fontId="8" fillId="862" borderId="0" xfId="0" applyFont="1" applyFill="1" applyAlignment="1">
      <alignment horizontal="center" vertical="center" wrapText="1"/>
    </xf>
    <xf numFmtId="0" fontId="8" fillId="863" borderId="0" xfId="0" applyFont="1" applyFill="1" applyAlignment="1">
      <alignment horizontal="center" vertical="center" wrapText="1"/>
    </xf>
    <xf numFmtId="0" fontId="8" fillId="864" borderId="0" xfId="0" applyFont="1" applyFill="1" applyAlignment="1">
      <alignment horizontal="center" vertical="center" wrapText="1"/>
    </xf>
    <xf numFmtId="0" fontId="8" fillId="865" borderId="0" xfId="0" applyFont="1" applyFill="1" applyAlignment="1">
      <alignment horizontal="center" vertical="center" wrapText="1"/>
    </xf>
    <xf numFmtId="0" fontId="8" fillId="866" borderId="0" xfId="0" applyFont="1" applyFill="1" applyAlignment="1">
      <alignment horizontal="center" vertical="center" wrapText="1"/>
    </xf>
    <xf numFmtId="0" fontId="8" fillId="867" borderId="0" xfId="0" applyFont="1" applyFill="1" applyAlignment="1">
      <alignment horizontal="center" vertical="center" wrapText="1"/>
    </xf>
    <xf numFmtId="0" fontId="8" fillId="868" borderId="0" xfId="0" applyFont="1" applyFill="1" applyAlignment="1">
      <alignment horizontal="center" vertical="center" wrapText="1"/>
    </xf>
    <xf numFmtId="0" fontId="8" fillId="869" borderId="0" xfId="0" applyFont="1" applyFill="1" applyAlignment="1">
      <alignment horizontal="center" vertical="center" wrapText="1"/>
    </xf>
    <xf numFmtId="0" fontId="8" fillId="870" borderId="0" xfId="0" applyFont="1" applyFill="1" applyAlignment="1">
      <alignment horizontal="center" vertical="center" wrapText="1"/>
    </xf>
    <xf numFmtId="0" fontId="8" fillId="871" borderId="0" xfId="0" applyFont="1" applyFill="1" applyAlignment="1">
      <alignment horizontal="center" vertical="center" wrapText="1"/>
    </xf>
    <xf numFmtId="0" fontId="8" fillId="872" borderId="0" xfId="0" applyFont="1" applyFill="1" applyAlignment="1">
      <alignment horizontal="center" vertical="center" wrapText="1"/>
    </xf>
    <xf numFmtId="0" fontId="8" fillId="873" borderId="0" xfId="0" applyFont="1" applyFill="1" applyAlignment="1">
      <alignment horizontal="center" vertical="center" wrapText="1"/>
    </xf>
    <xf numFmtId="0" fontId="8" fillId="874" borderId="0" xfId="0" applyFont="1" applyFill="1" applyAlignment="1">
      <alignment horizontal="center" vertical="center" wrapText="1"/>
    </xf>
    <xf numFmtId="0" fontId="8" fillId="875" borderId="0" xfId="0" applyFont="1" applyFill="1" applyAlignment="1">
      <alignment horizontal="center" vertical="center" wrapText="1"/>
    </xf>
    <xf numFmtId="0" fontId="8" fillId="876" borderId="0" xfId="0" applyFont="1" applyFill="1" applyAlignment="1">
      <alignment horizontal="center" vertical="center" wrapText="1"/>
    </xf>
    <xf numFmtId="0" fontId="8" fillId="877" borderId="0" xfId="0" applyFont="1" applyFill="1" applyAlignment="1">
      <alignment horizontal="center" vertical="center" wrapText="1"/>
    </xf>
    <xf numFmtId="0" fontId="8" fillId="878" borderId="0" xfId="0" applyFont="1" applyFill="1" applyAlignment="1">
      <alignment horizontal="center" vertical="center" wrapText="1"/>
    </xf>
    <xf numFmtId="0" fontId="8" fillId="879" borderId="0" xfId="0" applyFont="1" applyFill="1" applyAlignment="1">
      <alignment horizontal="center" vertical="center" wrapText="1"/>
    </xf>
    <xf numFmtId="0" fontId="8" fillId="880" borderId="0" xfId="0" applyFont="1" applyFill="1" applyAlignment="1">
      <alignment horizontal="center" vertical="center" wrapText="1"/>
    </xf>
    <xf numFmtId="0" fontId="8" fillId="881" borderId="0" xfId="0" applyFont="1" applyFill="1" applyAlignment="1">
      <alignment horizontal="center" vertical="center" wrapText="1"/>
    </xf>
    <xf numFmtId="0" fontId="8" fillId="882" borderId="0" xfId="0" applyFont="1" applyFill="1" applyAlignment="1">
      <alignment horizontal="center" vertical="center" wrapText="1"/>
    </xf>
    <xf numFmtId="0" fontId="8" fillId="883" borderId="0" xfId="0" applyFont="1" applyFill="1" applyAlignment="1">
      <alignment horizontal="center" vertical="center" wrapText="1"/>
    </xf>
    <xf numFmtId="0" fontId="8" fillId="884" borderId="0" xfId="0" applyFont="1" applyFill="1" applyAlignment="1">
      <alignment horizontal="center" vertical="center" wrapText="1"/>
    </xf>
    <xf numFmtId="0" fontId="8" fillId="885" borderId="0" xfId="0" applyFont="1" applyFill="1" applyAlignment="1">
      <alignment horizontal="center" vertical="center" wrapText="1"/>
    </xf>
    <xf numFmtId="0" fontId="8" fillId="886" borderId="0" xfId="0" applyFont="1" applyFill="1" applyAlignment="1">
      <alignment horizontal="center" vertical="center" wrapText="1"/>
    </xf>
    <xf numFmtId="0" fontId="8" fillId="887" borderId="0" xfId="0" applyFont="1" applyFill="1" applyAlignment="1">
      <alignment horizontal="center" vertical="center" wrapText="1"/>
    </xf>
    <xf numFmtId="0" fontId="8" fillId="888" borderId="0" xfId="0" applyFont="1" applyFill="1" applyAlignment="1">
      <alignment horizontal="center" vertical="center" wrapText="1"/>
    </xf>
    <xf numFmtId="0" fontId="8" fillId="889" borderId="0" xfId="0" applyFont="1" applyFill="1" applyAlignment="1">
      <alignment horizontal="center" vertical="center" wrapText="1"/>
    </xf>
    <xf numFmtId="0" fontId="8" fillId="890" borderId="0" xfId="0" applyFont="1" applyFill="1" applyAlignment="1">
      <alignment horizontal="center" vertical="center" wrapText="1"/>
    </xf>
    <xf numFmtId="0" fontId="8" fillId="891" borderId="0" xfId="0" applyFont="1" applyFill="1" applyAlignment="1">
      <alignment horizontal="center" vertical="center" wrapText="1"/>
    </xf>
    <xf numFmtId="0" fontId="8" fillId="892" borderId="0" xfId="0" applyFont="1" applyFill="1" applyAlignment="1">
      <alignment horizontal="center" vertical="center" wrapText="1"/>
    </xf>
    <xf numFmtId="0" fontId="8" fillId="893" borderId="0" xfId="0" applyFont="1" applyFill="1" applyAlignment="1">
      <alignment horizontal="center" vertical="center" wrapText="1"/>
    </xf>
    <xf numFmtId="0" fontId="8" fillId="894" borderId="0" xfId="0" applyFont="1" applyFill="1" applyAlignment="1">
      <alignment horizontal="center" vertical="center" wrapText="1"/>
    </xf>
    <xf numFmtId="0" fontId="8" fillId="895" borderId="0" xfId="0" applyFont="1" applyFill="1" applyAlignment="1">
      <alignment horizontal="center" vertical="center" wrapText="1"/>
    </xf>
    <xf numFmtId="0" fontId="8" fillId="896" borderId="0" xfId="0" applyFont="1" applyFill="1" applyAlignment="1">
      <alignment horizontal="center" vertical="center" wrapText="1"/>
    </xf>
    <xf numFmtId="0" fontId="8" fillId="897" borderId="0" xfId="0" applyFont="1" applyFill="1" applyAlignment="1">
      <alignment horizontal="center" vertical="center" wrapText="1"/>
    </xf>
    <xf numFmtId="0" fontId="8" fillId="898" borderId="0" xfId="0" applyFont="1" applyFill="1" applyAlignment="1">
      <alignment horizontal="center" vertical="center" wrapText="1"/>
    </xf>
    <xf numFmtId="0" fontId="8" fillId="899" borderId="0" xfId="0" applyFont="1" applyFill="1" applyAlignment="1">
      <alignment horizontal="center" vertical="center" wrapText="1"/>
    </xf>
    <xf numFmtId="0" fontId="8" fillId="900" borderId="0" xfId="0" applyFont="1" applyFill="1" applyAlignment="1">
      <alignment horizontal="center" vertical="center" wrapText="1"/>
    </xf>
    <xf numFmtId="0" fontId="8" fillId="901" borderId="0" xfId="0" applyFont="1" applyFill="1" applyAlignment="1">
      <alignment horizontal="center" vertical="center" wrapText="1"/>
    </xf>
    <xf numFmtId="0" fontId="8" fillId="902" borderId="0" xfId="0" applyFont="1" applyFill="1" applyAlignment="1">
      <alignment horizontal="center" vertical="center" wrapText="1"/>
    </xf>
    <xf numFmtId="0" fontId="8" fillId="903" borderId="0" xfId="0" applyFont="1" applyFill="1" applyAlignment="1">
      <alignment horizontal="center" vertical="center" wrapText="1"/>
    </xf>
    <xf numFmtId="0" fontId="8" fillId="904" borderId="0" xfId="0" applyFont="1" applyFill="1" applyAlignment="1">
      <alignment horizontal="center" vertical="center" wrapText="1"/>
    </xf>
    <xf numFmtId="0" fontId="8" fillId="905" borderId="0" xfId="0" applyFont="1" applyFill="1" applyAlignment="1">
      <alignment horizontal="center" vertical="center" wrapText="1"/>
    </xf>
    <xf numFmtId="0" fontId="8" fillId="906" borderId="0" xfId="0" applyFont="1" applyFill="1" applyAlignment="1">
      <alignment horizontal="center" vertical="center" wrapText="1"/>
    </xf>
    <xf numFmtId="0" fontId="8" fillId="907" borderId="0" xfId="0" applyFont="1" applyFill="1" applyAlignment="1">
      <alignment horizontal="center" vertical="center" wrapText="1"/>
    </xf>
    <xf numFmtId="0" fontId="8" fillId="908" borderId="0" xfId="0" applyFont="1" applyFill="1" applyAlignment="1">
      <alignment horizontal="center" vertical="center" wrapText="1"/>
    </xf>
    <xf numFmtId="0" fontId="8" fillId="909" borderId="0" xfId="0" applyFont="1" applyFill="1" applyAlignment="1">
      <alignment horizontal="center" vertical="center" wrapText="1"/>
    </xf>
    <xf numFmtId="0" fontId="8" fillId="910" borderId="0" xfId="0" applyFont="1" applyFill="1" applyAlignment="1">
      <alignment horizontal="center" vertical="center" wrapText="1"/>
    </xf>
    <xf numFmtId="0" fontId="8" fillId="911" borderId="0" xfId="0" applyFont="1" applyFill="1" applyAlignment="1">
      <alignment horizontal="center" vertical="center" wrapText="1"/>
    </xf>
    <xf numFmtId="0" fontId="8" fillId="912" borderId="0" xfId="0" applyFont="1" applyFill="1" applyAlignment="1">
      <alignment horizontal="center" vertical="center" wrapText="1"/>
    </xf>
    <xf numFmtId="0" fontId="8" fillId="913" borderId="0" xfId="0" applyFont="1" applyFill="1" applyAlignment="1">
      <alignment horizontal="center" vertical="center" wrapText="1"/>
    </xf>
    <xf numFmtId="0" fontId="8" fillId="914" borderId="0" xfId="0" applyFont="1" applyFill="1" applyAlignment="1">
      <alignment horizontal="center" vertical="center" wrapText="1"/>
    </xf>
    <xf numFmtId="0" fontId="8" fillId="915" borderId="0" xfId="0" applyFont="1" applyFill="1" applyAlignment="1">
      <alignment horizontal="center" vertical="center" wrapText="1"/>
    </xf>
    <xf numFmtId="0" fontId="8" fillId="916" borderId="0" xfId="0" applyFont="1" applyFill="1" applyAlignment="1">
      <alignment horizontal="center" vertical="center" wrapText="1"/>
    </xf>
    <xf numFmtId="0" fontId="8" fillId="917" borderId="0" xfId="0" applyFont="1" applyFill="1" applyAlignment="1">
      <alignment horizontal="center" vertical="center" wrapText="1"/>
    </xf>
    <xf numFmtId="0" fontId="8" fillId="918" borderId="0" xfId="0" applyFont="1" applyFill="1" applyAlignment="1">
      <alignment horizontal="center" vertical="center" wrapText="1"/>
    </xf>
    <xf numFmtId="0" fontId="8" fillId="919" borderId="0" xfId="0" applyFont="1" applyFill="1" applyAlignment="1">
      <alignment horizontal="center" vertical="center" wrapText="1"/>
    </xf>
    <xf numFmtId="0" fontId="8" fillId="920" borderId="0" xfId="0" applyFont="1" applyFill="1" applyAlignment="1">
      <alignment horizontal="center" vertical="center" wrapText="1"/>
    </xf>
    <xf numFmtId="0" fontId="8" fillId="921" borderId="0" xfId="0" applyFont="1" applyFill="1" applyAlignment="1">
      <alignment horizontal="center" vertical="center" wrapText="1"/>
    </xf>
    <xf numFmtId="0" fontId="8" fillId="922" borderId="0" xfId="0" applyFont="1" applyFill="1" applyAlignment="1">
      <alignment horizontal="center" vertical="center" wrapText="1"/>
    </xf>
    <xf numFmtId="0" fontId="8" fillId="923" borderId="0" xfId="0" applyFont="1" applyFill="1" applyAlignment="1">
      <alignment horizontal="center" vertical="center" wrapText="1"/>
    </xf>
    <xf numFmtId="0" fontId="8" fillId="924" borderId="0" xfId="0" applyFont="1" applyFill="1" applyAlignment="1">
      <alignment horizontal="center" vertical="center" wrapText="1"/>
    </xf>
    <xf numFmtId="0" fontId="8" fillId="925" borderId="0" xfId="0" applyFont="1" applyFill="1" applyAlignment="1">
      <alignment horizontal="center" vertical="center" wrapText="1"/>
    </xf>
    <xf numFmtId="0" fontId="10" fillId="926" borderId="0" xfId="0" applyFont="1" applyFill="1"/>
    <xf numFmtId="0" fontId="8" fillId="927" borderId="0" xfId="0" applyFont="1" applyFill="1" applyAlignment="1">
      <alignment horizontal="center" vertical="center" wrapText="1"/>
    </xf>
    <xf numFmtId="0" fontId="8" fillId="928" borderId="0" xfId="0" applyFont="1" applyFill="1" applyAlignment="1">
      <alignment horizontal="center" vertical="center" wrapText="1"/>
    </xf>
    <xf numFmtId="0" fontId="8" fillId="929" borderId="0" xfId="0" applyFont="1" applyFill="1" applyAlignment="1">
      <alignment horizontal="center" vertical="center" wrapText="1"/>
    </xf>
    <xf numFmtId="0" fontId="8" fillId="930" borderId="0" xfId="0" applyFont="1" applyFill="1" applyAlignment="1">
      <alignment horizontal="center" vertical="center" wrapText="1"/>
    </xf>
    <xf numFmtId="0" fontId="8" fillId="931" borderId="0" xfId="0" applyFont="1" applyFill="1" applyAlignment="1">
      <alignment horizontal="center" vertical="center" wrapText="1"/>
    </xf>
    <xf numFmtId="0" fontId="8" fillId="933" borderId="0" xfId="0" applyFont="1" applyFill="1" applyAlignment="1">
      <alignment horizontal="center" vertical="center" wrapText="1"/>
    </xf>
    <xf numFmtId="0" fontId="8" fillId="934" borderId="0" xfId="0" applyFont="1" applyFill="1" applyAlignment="1">
      <alignment horizontal="center" vertical="center" wrapText="1"/>
    </xf>
    <xf numFmtId="0" fontId="8" fillId="935" borderId="0" xfId="0" applyFont="1" applyFill="1" applyAlignment="1">
      <alignment horizontal="center" vertical="center" wrapText="1"/>
    </xf>
    <xf numFmtId="0" fontId="8" fillId="936" borderId="0" xfId="0" applyFont="1" applyFill="1" applyAlignment="1">
      <alignment horizontal="center" vertical="center" wrapText="1"/>
    </xf>
    <xf numFmtId="0" fontId="8" fillId="937" borderId="0" xfId="0" applyFont="1" applyFill="1" applyAlignment="1">
      <alignment horizontal="center" vertical="center" wrapText="1"/>
    </xf>
    <xf numFmtId="0" fontId="8" fillId="938" borderId="0" xfId="0" applyFont="1" applyFill="1" applyAlignment="1">
      <alignment horizontal="center" vertical="center" wrapText="1"/>
    </xf>
    <xf numFmtId="0" fontId="8" fillId="939" borderId="0" xfId="0" applyFont="1" applyFill="1" applyAlignment="1">
      <alignment horizontal="center" vertical="center" wrapText="1"/>
    </xf>
    <xf numFmtId="0" fontId="8" fillId="940" borderId="0" xfId="0" applyFont="1" applyFill="1" applyAlignment="1">
      <alignment horizontal="center" vertical="center" wrapText="1"/>
    </xf>
    <xf numFmtId="0" fontId="8" fillId="941" borderId="0" xfId="0" applyFont="1" applyFill="1" applyAlignment="1">
      <alignment horizontal="center" vertical="center" wrapText="1"/>
    </xf>
    <xf numFmtId="0" fontId="8" fillId="942" borderId="0" xfId="0" applyFont="1" applyFill="1" applyAlignment="1">
      <alignment horizontal="center" vertical="center" wrapText="1"/>
    </xf>
    <xf numFmtId="0" fontId="8" fillId="943" borderId="0" xfId="0" applyFont="1" applyFill="1" applyAlignment="1">
      <alignment horizontal="center" vertical="center" wrapText="1"/>
    </xf>
    <xf numFmtId="0" fontId="8" fillId="944" borderId="0" xfId="0" applyFont="1" applyFill="1" applyAlignment="1">
      <alignment horizontal="center" vertical="center" wrapText="1"/>
    </xf>
    <xf numFmtId="0" fontId="8" fillId="945" borderId="0" xfId="0" applyFont="1" applyFill="1" applyAlignment="1">
      <alignment horizontal="center" vertical="center" wrapText="1"/>
    </xf>
    <xf numFmtId="0" fontId="8" fillId="946" borderId="0" xfId="0" applyFont="1" applyFill="1" applyAlignment="1">
      <alignment horizontal="center" vertical="center" wrapText="1"/>
    </xf>
    <xf numFmtId="0" fontId="8" fillId="947" borderId="0" xfId="0" applyFont="1" applyFill="1" applyAlignment="1">
      <alignment horizontal="center" vertical="center" wrapText="1"/>
    </xf>
    <xf numFmtId="0" fontId="8" fillId="948" borderId="0" xfId="0" applyFont="1" applyFill="1" applyAlignment="1">
      <alignment horizontal="center" vertical="center" wrapText="1"/>
    </xf>
    <xf numFmtId="0" fontId="8" fillId="949" borderId="0" xfId="0" applyFont="1" applyFill="1" applyAlignment="1">
      <alignment horizontal="center" vertical="center" wrapText="1"/>
    </xf>
    <xf numFmtId="0" fontId="8" fillId="950" borderId="0" xfId="0" applyFont="1" applyFill="1" applyAlignment="1">
      <alignment horizontal="center" vertical="center" wrapText="1"/>
    </xf>
    <xf numFmtId="0" fontId="8" fillId="952" borderId="0" xfId="0" applyFont="1" applyFill="1" applyAlignment="1">
      <alignment horizontal="center" vertical="center" wrapText="1"/>
    </xf>
    <xf numFmtId="0" fontId="8" fillId="953" borderId="0" xfId="0" applyFont="1" applyFill="1" applyAlignment="1">
      <alignment horizontal="center" vertical="center" wrapText="1"/>
    </xf>
    <xf numFmtId="0" fontId="8" fillId="954" borderId="0" xfId="0" applyFont="1" applyFill="1" applyAlignment="1">
      <alignment horizontal="center" vertical="center" wrapText="1"/>
    </xf>
    <xf numFmtId="0" fontId="8" fillId="955" borderId="0" xfId="0" applyFont="1" applyFill="1" applyAlignment="1">
      <alignment horizontal="center" vertical="center" wrapText="1"/>
    </xf>
    <xf numFmtId="0" fontId="8" fillId="956" borderId="0" xfId="0" applyFont="1" applyFill="1" applyAlignment="1">
      <alignment horizontal="center" vertical="center" wrapText="1"/>
    </xf>
    <xf numFmtId="0" fontId="8" fillId="959" borderId="0" xfId="0" applyFont="1" applyFill="1" applyAlignment="1">
      <alignment horizontal="center" vertical="center" wrapText="1"/>
    </xf>
    <xf numFmtId="0" fontId="8" fillId="961" borderId="0" xfId="0" applyFont="1" applyFill="1" applyAlignment="1">
      <alignment horizontal="center" vertical="center" wrapText="1"/>
    </xf>
    <xf numFmtId="0" fontId="8" fillId="962" borderId="0" xfId="0" applyFont="1" applyFill="1" applyAlignment="1">
      <alignment horizontal="center" vertical="center" wrapText="1"/>
    </xf>
    <xf numFmtId="0" fontId="8" fillId="963" borderId="0" xfId="0" applyFont="1" applyFill="1" applyAlignment="1">
      <alignment horizontal="center" vertical="center" wrapText="1"/>
    </xf>
    <xf numFmtId="0" fontId="8" fillId="964" borderId="0" xfId="0" applyFont="1" applyFill="1" applyAlignment="1">
      <alignment horizontal="center" vertical="center" wrapText="1"/>
    </xf>
    <xf numFmtId="0" fontId="8" fillId="965" borderId="0" xfId="0" applyFont="1" applyFill="1" applyAlignment="1">
      <alignment horizontal="center" vertical="center" wrapText="1"/>
    </xf>
    <xf numFmtId="0" fontId="8" fillId="966" borderId="0" xfId="0" applyFont="1" applyFill="1" applyAlignment="1">
      <alignment horizontal="center" vertical="center" wrapText="1"/>
    </xf>
    <xf numFmtId="0" fontId="8" fillId="967" borderId="0" xfId="0" applyFont="1" applyFill="1" applyAlignment="1">
      <alignment horizontal="center" vertical="center" wrapText="1"/>
    </xf>
    <xf numFmtId="0" fontId="8" fillId="968" borderId="0" xfId="0" applyFont="1" applyFill="1" applyAlignment="1">
      <alignment horizontal="center" vertical="center" wrapText="1"/>
    </xf>
    <xf numFmtId="0" fontId="8" fillId="969" borderId="0" xfId="0" applyFont="1" applyFill="1" applyAlignment="1">
      <alignment horizontal="center" vertical="center" wrapText="1"/>
    </xf>
    <xf numFmtId="0" fontId="8" fillId="970" borderId="0" xfId="0" applyFont="1" applyFill="1" applyAlignment="1">
      <alignment horizontal="center" vertical="center" wrapText="1"/>
    </xf>
    <xf numFmtId="0" fontId="8" fillId="971" borderId="0" xfId="0" applyFont="1" applyFill="1" applyAlignment="1">
      <alignment horizontal="center" vertical="center" wrapText="1"/>
    </xf>
    <xf numFmtId="0" fontId="8" fillId="972" borderId="0" xfId="0" applyFont="1" applyFill="1" applyAlignment="1">
      <alignment horizontal="center" vertical="center" wrapText="1"/>
    </xf>
    <xf numFmtId="0" fontId="8" fillId="973" borderId="0" xfId="0" applyFont="1" applyFill="1" applyAlignment="1">
      <alignment horizontal="center" vertical="center" wrapText="1"/>
    </xf>
    <xf numFmtId="0" fontId="8" fillId="974" borderId="0" xfId="0" applyFont="1" applyFill="1" applyAlignment="1">
      <alignment horizontal="center" vertical="center" wrapText="1"/>
    </xf>
    <xf numFmtId="0" fontId="8" fillId="975" borderId="0" xfId="0" applyFont="1" applyFill="1" applyAlignment="1">
      <alignment horizontal="center" vertical="center" wrapText="1"/>
    </xf>
    <xf numFmtId="0" fontId="8" fillId="976" borderId="0" xfId="0" applyFont="1" applyFill="1" applyAlignment="1">
      <alignment horizontal="center" vertical="center" wrapText="1"/>
    </xf>
    <xf numFmtId="0" fontId="8" fillId="977" borderId="0" xfId="0" applyFont="1" applyFill="1" applyAlignment="1">
      <alignment horizontal="center" vertical="center" wrapText="1"/>
    </xf>
    <xf numFmtId="0" fontId="8" fillId="979" borderId="0" xfId="0" applyFont="1" applyFill="1" applyAlignment="1">
      <alignment horizontal="center" vertical="center" wrapText="1"/>
    </xf>
    <xf numFmtId="0" fontId="8" fillId="981" borderId="0" xfId="0" applyFont="1" applyFill="1" applyAlignment="1">
      <alignment horizontal="center" vertical="center" wrapText="1"/>
    </xf>
    <xf numFmtId="0" fontId="8" fillId="983" borderId="0" xfId="0" applyFont="1" applyFill="1" applyAlignment="1">
      <alignment horizontal="center" vertical="center" wrapText="1"/>
    </xf>
    <xf numFmtId="0" fontId="8" fillId="984" borderId="0" xfId="0" applyFont="1" applyFill="1" applyAlignment="1">
      <alignment horizontal="center" vertical="center" wrapText="1"/>
    </xf>
    <xf numFmtId="0" fontId="8" fillId="985" borderId="0" xfId="0" applyFont="1" applyFill="1" applyAlignment="1">
      <alignment horizontal="center" vertical="center" wrapText="1"/>
    </xf>
    <xf numFmtId="0" fontId="8" fillId="987" borderId="0" xfId="0" applyFont="1" applyFill="1" applyAlignment="1">
      <alignment horizontal="center" vertical="center" wrapText="1"/>
    </xf>
    <xf numFmtId="0" fontId="8" fillId="988" borderId="0" xfId="0" applyFont="1" applyFill="1" applyAlignment="1">
      <alignment horizontal="center" vertical="center" wrapText="1"/>
    </xf>
    <xf numFmtId="0" fontId="8" fillId="989" borderId="0" xfId="0" applyFont="1" applyFill="1" applyAlignment="1">
      <alignment horizontal="center" vertical="center" wrapText="1"/>
    </xf>
    <xf numFmtId="0" fontId="8" fillId="992" borderId="0" xfId="0" applyFont="1" applyFill="1" applyAlignment="1">
      <alignment horizontal="center" vertical="center" wrapText="1"/>
    </xf>
    <xf numFmtId="0" fontId="8" fillId="993" borderId="0" xfId="0" applyFont="1" applyFill="1" applyAlignment="1">
      <alignment horizontal="center" vertical="center" wrapText="1"/>
    </xf>
    <xf numFmtId="0" fontId="8" fillId="995" borderId="0" xfId="0" applyFont="1" applyFill="1" applyAlignment="1">
      <alignment horizontal="center" vertical="center" wrapText="1"/>
    </xf>
    <xf numFmtId="0" fontId="8" fillId="996" borderId="0" xfId="0" applyFont="1" applyFill="1" applyAlignment="1">
      <alignment horizontal="center" vertical="center" wrapText="1"/>
    </xf>
    <xf numFmtId="0" fontId="8" fillId="997" borderId="0" xfId="0" applyFont="1" applyFill="1" applyAlignment="1">
      <alignment horizontal="center" vertical="center" wrapText="1"/>
    </xf>
    <xf numFmtId="0" fontId="8" fillId="1001" borderId="0" xfId="0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8" fillId="526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978" borderId="4" xfId="0" applyFont="1" applyFill="1" applyBorder="1" applyAlignment="1">
      <alignment horizontal="center" vertical="center" wrapText="1"/>
    </xf>
    <xf numFmtId="0" fontId="8" fillId="527" borderId="7" xfId="0" applyFont="1" applyFill="1" applyBorder="1" applyAlignment="1">
      <alignment horizontal="center" vertical="center" wrapText="1"/>
    </xf>
    <xf numFmtId="0" fontId="8" fillId="1002" borderId="4" xfId="0" applyFont="1" applyFill="1" applyBorder="1" applyAlignment="1">
      <alignment horizontal="center" vertical="center" wrapText="1"/>
    </xf>
    <xf numFmtId="0" fontId="8" fillId="528" borderId="7" xfId="0" applyFont="1" applyFill="1" applyBorder="1" applyAlignment="1">
      <alignment horizontal="center" vertical="center" wrapText="1"/>
    </xf>
    <xf numFmtId="0" fontId="8" fillId="980" borderId="4" xfId="0" applyFont="1" applyFill="1" applyBorder="1" applyAlignment="1">
      <alignment horizontal="center" vertical="center" wrapText="1"/>
    </xf>
    <xf numFmtId="0" fontId="8" fillId="529" borderId="7" xfId="0" applyFont="1" applyFill="1" applyBorder="1" applyAlignment="1">
      <alignment horizontal="center" vertical="center" wrapText="1"/>
    </xf>
    <xf numFmtId="0" fontId="8" fillId="994" borderId="4" xfId="0" applyFont="1" applyFill="1" applyBorder="1" applyAlignment="1">
      <alignment horizontal="center" vertical="center" wrapText="1"/>
    </xf>
    <xf numFmtId="0" fontId="8" fillId="530" borderId="7" xfId="0" applyFont="1" applyFill="1" applyBorder="1" applyAlignment="1">
      <alignment horizontal="center" vertical="center" wrapText="1"/>
    </xf>
    <xf numFmtId="0" fontId="8" fillId="982" borderId="4" xfId="0" applyFont="1" applyFill="1" applyBorder="1" applyAlignment="1">
      <alignment horizontal="center" vertical="center" wrapText="1"/>
    </xf>
    <xf numFmtId="0" fontId="8" fillId="531" borderId="7" xfId="0" applyFont="1" applyFill="1" applyBorder="1" applyAlignment="1">
      <alignment horizontal="center" vertical="center" wrapText="1"/>
    </xf>
    <xf numFmtId="0" fontId="8" fillId="951" borderId="4" xfId="0" applyFont="1" applyFill="1" applyBorder="1" applyAlignment="1">
      <alignment horizontal="center" vertical="center" wrapText="1"/>
    </xf>
    <xf numFmtId="0" fontId="8" fillId="532" borderId="7" xfId="0" applyFont="1" applyFill="1" applyBorder="1" applyAlignment="1">
      <alignment horizontal="center" vertical="center" wrapText="1"/>
    </xf>
    <xf numFmtId="0" fontId="8" fillId="932" borderId="4" xfId="0" applyFont="1" applyFill="1" applyBorder="1" applyAlignment="1">
      <alignment horizontal="center" vertical="center" wrapText="1"/>
    </xf>
    <xf numFmtId="0" fontId="8" fillId="533" borderId="7" xfId="0" applyFont="1" applyFill="1" applyBorder="1" applyAlignment="1">
      <alignment horizontal="center" vertical="center" wrapText="1"/>
    </xf>
    <xf numFmtId="0" fontId="8" fillId="1003" borderId="4" xfId="0" applyFont="1" applyFill="1" applyBorder="1" applyAlignment="1">
      <alignment horizontal="center" vertical="center" wrapText="1"/>
    </xf>
    <xf numFmtId="0" fontId="8" fillId="534" borderId="7" xfId="0" applyFont="1" applyFill="1" applyBorder="1" applyAlignment="1">
      <alignment horizontal="center" vertical="center" wrapText="1"/>
    </xf>
    <xf numFmtId="0" fontId="8" fillId="1004" borderId="4" xfId="0" applyFont="1" applyFill="1" applyBorder="1" applyAlignment="1">
      <alignment horizontal="center" vertical="center" wrapText="1"/>
    </xf>
    <xf numFmtId="0" fontId="8" fillId="535" borderId="7" xfId="0" applyFont="1" applyFill="1" applyBorder="1" applyAlignment="1">
      <alignment horizontal="center" vertical="center" wrapText="1"/>
    </xf>
    <xf numFmtId="0" fontId="8" fillId="1005" borderId="4" xfId="0" applyFont="1" applyFill="1" applyBorder="1" applyAlignment="1">
      <alignment horizontal="center" vertical="center" wrapText="1"/>
    </xf>
    <xf numFmtId="0" fontId="8" fillId="536" borderId="7" xfId="0" applyFont="1" applyFill="1" applyBorder="1" applyAlignment="1">
      <alignment horizontal="center" vertical="center" wrapText="1"/>
    </xf>
    <xf numFmtId="0" fontId="8" fillId="986" borderId="4" xfId="0" applyFont="1" applyFill="1" applyBorder="1" applyAlignment="1">
      <alignment horizontal="center" vertical="center" wrapText="1"/>
    </xf>
    <xf numFmtId="0" fontId="8" fillId="537" borderId="7" xfId="0" applyFont="1" applyFill="1" applyBorder="1" applyAlignment="1">
      <alignment horizontal="center" vertical="center" wrapText="1"/>
    </xf>
    <xf numFmtId="0" fontId="8" fillId="998" borderId="4" xfId="0" applyFont="1" applyFill="1" applyBorder="1" applyAlignment="1">
      <alignment horizontal="center" vertical="center" wrapText="1"/>
    </xf>
    <xf numFmtId="0" fontId="8" fillId="538" borderId="7" xfId="0" applyFont="1" applyFill="1" applyBorder="1" applyAlignment="1">
      <alignment horizontal="center" vertical="center" wrapText="1"/>
    </xf>
    <xf numFmtId="0" fontId="8" fillId="957" borderId="4" xfId="0" applyFont="1" applyFill="1" applyBorder="1" applyAlignment="1">
      <alignment horizontal="center" vertical="center" wrapText="1"/>
    </xf>
    <xf numFmtId="0" fontId="8" fillId="539" borderId="7" xfId="0" applyFont="1" applyFill="1" applyBorder="1" applyAlignment="1">
      <alignment horizontal="center" vertical="center" wrapText="1"/>
    </xf>
    <xf numFmtId="0" fontId="8" fillId="958" borderId="4" xfId="0" applyFont="1" applyFill="1" applyBorder="1" applyAlignment="1">
      <alignment horizontal="center" vertical="center" wrapText="1"/>
    </xf>
    <xf numFmtId="0" fontId="8" fillId="540" borderId="7" xfId="0" applyFont="1" applyFill="1" applyBorder="1" applyAlignment="1">
      <alignment horizontal="center" vertical="center" wrapText="1"/>
    </xf>
    <xf numFmtId="0" fontId="8" fillId="999" borderId="4" xfId="0" applyFont="1" applyFill="1" applyBorder="1" applyAlignment="1">
      <alignment horizontal="center" vertical="center" wrapText="1"/>
    </xf>
    <xf numFmtId="0" fontId="8" fillId="541" borderId="7" xfId="0" applyFont="1" applyFill="1" applyBorder="1" applyAlignment="1">
      <alignment horizontal="center" vertical="center" wrapText="1"/>
    </xf>
    <xf numFmtId="0" fontId="8" fillId="1000" borderId="4" xfId="0" applyFont="1" applyFill="1" applyBorder="1" applyAlignment="1">
      <alignment horizontal="center" vertical="center" wrapText="1"/>
    </xf>
    <xf numFmtId="0" fontId="8" fillId="542" borderId="7" xfId="0" applyFont="1" applyFill="1" applyBorder="1" applyAlignment="1">
      <alignment horizontal="center" vertical="center" wrapText="1"/>
    </xf>
    <xf numFmtId="0" fontId="8" fillId="960" borderId="4" xfId="0" applyFont="1" applyFill="1" applyBorder="1" applyAlignment="1">
      <alignment horizontal="center" vertical="center" wrapText="1"/>
    </xf>
    <xf numFmtId="0" fontId="8" fillId="543" borderId="7" xfId="0" applyFont="1" applyFill="1" applyBorder="1" applyAlignment="1">
      <alignment horizontal="center" vertical="center" wrapText="1"/>
    </xf>
    <xf numFmtId="0" fontId="8" fillId="990" borderId="4" xfId="0" applyFont="1" applyFill="1" applyBorder="1" applyAlignment="1">
      <alignment horizontal="center" vertical="center" wrapText="1"/>
    </xf>
    <xf numFmtId="0" fontId="8" fillId="544" borderId="7" xfId="0" applyFont="1" applyFill="1" applyBorder="1" applyAlignment="1">
      <alignment horizontal="center" vertical="center" wrapText="1"/>
    </xf>
    <xf numFmtId="0" fontId="8" fillId="991" borderId="4" xfId="0" applyFont="1" applyFill="1" applyBorder="1" applyAlignment="1">
      <alignment horizontal="center" vertical="center" wrapText="1"/>
    </xf>
    <xf numFmtId="0" fontId="8" fillId="545" borderId="7" xfId="0" applyFont="1" applyFill="1" applyBorder="1" applyAlignment="1">
      <alignment horizontal="center" vertical="center" wrapText="1"/>
    </xf>
    <xf numFmtId="0" fontId="8" fillId="1006" borderId="4" xfId="0" applyFont="1" applyFill="1" applyBorder="1" applyAlignment="1">
      <alignment horizontal="center" vertical="center" wrapText="1"/>
    </xf>
    <xf numFmtId="0" fontId="7" fillId="0" borderId="0" xfId="0" applyFont="1"/>
    <xf numFmtId="0" fontId="1" fillId="7" borderId="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98" borderId="4" xfId="0" applyFont="1" applyFill="1" applyBorder="1" applyAlignment="1">
      <alignment horizontal="center" vertical="center" wrapText="1"/>
    </xf>
    <xf numFmtId="0" fontId="1" fillId="157" borderId="7" xfId="0" applyFont="1" applyFill="1" applyBorder="1" applyAlignment="1">
      <alignment horizontal="center" vertical="center" wrapText="1"/>
    </xf>
    <xf numFmtId="0" fontId="1" fillId="456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1008" borderId="1" xfId="0" applyFill="1" applyBorder="1" applyAlignment="1">
      <alignment horizontal="center"/>
    </xf>
    <xf numFmtId="0" fontId="0" fillId="1008" borderId="0" xfId="0" applyFill="1" applyAlignment="1">
      <alignment horizontal="center"/>
    </xf>
    <xf numFmtId="0" fontId="0" fillId="1008" borderId="3" xfId="0" applyFill="1" applyBorder="1" applyAlignment="1">
      <alignment horizontal="center"/>
    </xf>
    <xf numFmtId="0" fontId="0" fillId="1008" borderId="4" xfId="0" applyFill="1" applyBorder="1" applyAlignment="1">
      <alignment horizontal="center"/>
    </xf>
    <xf numFmtId="0" fontId="0" fillId="1008" borderId="6" xfId="0" applyFill="1" applyBorder="1" applyAlignment="1">
      <alignment horizontal="center"/>
    </xf>
    <xf numFmtId="0" fontId="0" fillId="1008" borderId="7" xfId="0" applyFill="1" applyBorder="1" applyAlignment="1">
      <alignment horizontal="center"/>
    </xf>
    <xf numFmtId="0" fontId="0" fillId="1008" borderId="8" xfId="0" applyFill="1" applyBorder="1" applyAlignment="1">
      <alignment horizontal="center"/>
    </xf>
    <xf numFmtId="0" fontId="0" fillId="1008" borderId="2" xfId="0" applyFill="1" applyBorder="1" applyAlignment="1">
      <alignment horizontal="center"/>
    </xf>
    <xf numFmtId="0" fontId="0" fillId="1008" borderId="5" xfId="0" applyFill="1" applyBorder="1" applyAlignment="1">
      <alignment horizontal="center"/>
    </xf>
    <xf numFmtId="0" fontId="0" fillId="1008" borderId="0" xfId="0" applyFill="1" applyAlignment="1">
      <alignment horizontal="left"/>
    </xf>
    <xf numFmtId="0" fontId="0" fillId="0" borderId="7" xfId="0" applyBorder="1" applyAlignment="1">
      <alignment horizontal="center"/>
    </xf>
    <xf numFmtId="0" fontId="4" fillId="1008" borderId="7" xfId="0" applyFont="1" applyFill="1" applyBorder="1" applyAlignment="1">
      <alignment horizontal="center" vertical="center" wrapText="1"/>
    </xf>
    <xf numFmtId="0" fontId="0" fillId="1008" borderId="6" xfId="0" applyFill="1" applyBorder="1"/>
    <xf numFmtId="0" fontId="0" fillId="1008" borderId="7" xfId="0" applyFill="1" applyBorder="1"/>
    <xf numFmtId="0" fontId="0" fillId="1008" borderId="8" xfId="0" applyFill="1" applyBorder="1"/>
    <xf numFmtId="0" fontId="7" fillId="1008" borderId="1" xfId="0" applyFont="1" applyFill="1" applyBorder="1" applyAlignment="1">
      <alignment horizontal="center"/>
    </xf>
    <xf numFmtId="0" fontId="7" fillId="1008" borderId="0" xfId="0" applyFont="1" applyFill="1"/>
    <xf numFmtId="0" fontId="0" fillId="1008" borderId="2" xfId="0" applyFill="1" applyBorder="1"/>
    <xf numFmtId="0" fontId="7" fillId="1008" borderId="33" xfId="0" applyFont="1" applyFill="1" applyBorder="1"/>
    <xf numFmtId="0" fontId="7" fillId="1008" borderId="34" xfId="0" applyFont="1" applyFill="1" applyBorder="1"/>
    <xf numFmtId="0" fontId="0" fillId="1008" borderId="34" xfId="0" applyFill="1" applyBorder="1"/>
    <xf numFmtId="0" fontId="0" fillId="1008" borderId="35" xfId="0" applyFill="1" applyBorder="1"/>
    <xf numFmtId="0" fontId="0" fillId="1008" borderId="0" xfId="0" applyFill="1"/>
    <xf numFmtId="0" fontId="0" fillId="1008" borderId="33" xfId="0" applyFill="1" applyBorder="1"/>
    <xf numFmtId="0" fontId="0" fillId="1008" borderId="3" xfId="0" applyFill="1" applyBorder="1"/>
    <xf numFmtId="0" fontId="0" fillId="1008" borderId="4" xfId="0" applyFill="1" applyBorder="1"/>
    <xf numFmtId="0" fontId="0" fillId="1008" borderId="5" xfId="0" applyFill="1" applyBorder="1"/>
    <xf numFmtId="164" fontId="0" fillId="1008" borderId="19" xfId="0" applyNumberFormat="1" applyFill="1" applyBorder="1" applyAlignment="1">
      <alignment horizontal="center" vertical="center"/>
    </xf>
    <xf numFmtId="0" fontId="0" fillId="1008" borderId="1" xfId="0" applyFill="1" applyBorder="1"/>
    <xf numFmtId="0" fontId="0" fillId="1008" borderId="19" xfId="0" applyFill="1" applyBorder="1" applyAlignment="1">
      <alignment horizontal="center"/>
    </xf>
    <xf numFmtId="0" fontId="0" fillId="492" borderId="43" xfId="0" applyFill="1" applyBorder="1" applyAlignment="1">
      <alignment horizontal="center"/>
    </xf>
    <xf numFmtId="0" fontId="0" fillId="492" borderId="44" xfId="0" applyFill="1" applyBorder="1" applyAlignment="1">
      <alignment horizontal="center"/>
    </xf>
    <xf numFmtId="0" fontId="14" fillId="1008" borderId="11" xfId="0" applyFont="1" applyFill="1" applyBorder="1"/>
    <xf numFmtId="0" fontId="14" fillId="1008" borderId="9" xfId="0" applyFont="1" applyFill="1" applyBorder="1" applyAlignment="1">
      <alignment horizontal="right"/>
    </xf>
    <xf numFmtId="17" fontId="14" fillId="1008" borderId="11" xfId="0" applyNumberFormat="1" applyFont="1" applyFill="1" applyBorder="1" applyAlignment="1">
      <alignment horizontal="left"/>
    </xf>
    <xf numFmtId="0" fontId="14" fillId="1008" borderId="10" xfId="0" applyFont="1" applyFill="1" applyBorder="1" applyAlignment="1">
      <alignment horizontal="right"/>
    </xf>
    <xf numFmtId="0" fontId="14" fillId="1008" borderId="0" xfId="0" applyFont="1" applyFill="1" applyAlignment="1">
      <alignment vertical="center" wrapText="1"/>
    </xf>
    <xf numFmtId="0" fontId="0" fillId="1008" borderId="0" xfId="0" applyFill="1" applyAlignment="1">
      <alignment vertical="center"/>
    </xf>
    <xf numFmtId="0" fontId="12" fillId="1008" borderId="0" xfId="0" applyFont="1" applyFill="1" applyAlignment="1">
      <alignment horizontal="center" vertical="center"/>
    </xf>
    <xf numFmtId="0" fontId="12" fillId="1008" borderId="0" xfId="0" applyFont="1" applyFill="1"/>
    <xf numFmtId="0" fontId="1" fillId="1007" borderId="0" xfId="0" applyFont="1" applyFill="1" applyAlignment="1">
      <alignment horizontal="center" vertical="center" wrapText="1"/>
    </xf>
    <xf numFmtId="0" fontId="17" fillId="1009" borderId="0" xfId="0" applyFont="1" applyFill="1"/>
    <xf numFmtId="0" fontId="17" fillId="1011" borderId="0" xfId="0" applyFont="1" applyFill="1"/>
    <xf numFmtId="0" fontId="17" fillId="1010" borderId="0" xfId="0" applyFont="1" applyFill="1"/>
    <xf numFmtId="0" fontId="17" fillId="1012" borderId="0" xfId="0" applyFont="1" applyFill="1"/>
    <xf numFmtId="0" fontId="17" fillId="1013" borderId="0" xfId="0" applyFont="1" applyFill="1"/>
    <xf numFmtId="0" fontId="17" fillId="1014" borderId="0" xfId="0" applyFont="1" applyFill="1"/>
    <xf numFmtId="0" fontId="17" fillId="1015" borderId="0" xfId="0" applyFont="1" applyFill="1"/>
    <xf numFmtId="0" fontId="17" fillId="1016" borderId="0" xfId="0" applyFont="1" applyFill="1"/>
    <xf numFmtId="0" fontId="17" fillId="1017" borderId="0" xfId="0" applyFont="1" applyFill="1"/>
    <xf numFmtId="0" fontId="17" fillId="1018" borderId="0" xfId="0" applyFont="1" applyFill="1"/>
    <xf numFmtId="0" fontId="17" fillId="1019" borderId="0" xfId="0" applyFont="1" applyFill="1"/>
    <xf numFmtId="0" fontId="1" fillId="1020" borderId="0" xfId="0" applyFont="1" applyFill="1" applyAlignment="1">
      <alignment horizontal="center" vertical="center" wrapText="1"/>
    </xf>
    <xf numFmtId="0" fontId="1" fillId="1022" borderId="0" xfId="0" applyFont="1" applyFill="1" applyAlignment="1">
      <alignment horizontal="center" vertical="center" wrapText="1"/>
    </xf>
    <xf numFmtId="0" fontId="1" fillId="1023" borderId="0" xfId="0" applyFont="1" applyFill="1" applyAlignment="1">
      <alignment horizontal="center" vertical="center" wrapText="1"/>
    </xf>
    <xf numFmtId="0" fontId="1" fillId="1024" borderId="0" xfId="0" applyFont="1" applyFill="1" applyAlignment="1">
      <alignment horizontal="center" vertical="center" wrapText="1"/>
    </xf>
    <xf numFmtId="0" fontId="1" fillId="1021" borderId="0" xfId="0" applyFont="1" applyFill="1" applyAlignment="1">
      <alignment horizontal="center" vertical="center" wrapText="1"/>
    </xf>
    <xf numFmtId="0" fontId="1" fillId="423" borderId="4" xfId="0" applyFont="1" applyFill="1" applyBorder="1" applyAlignment="1">
      <alignment horizontal="center" vertical="center" wrapText="1"/>
    </xf>
    <xf numFmtId="0" fontId="1" fillId="417" borderId="4" xfId="0" applyFont="1" applyFill="1" applyBorder="1" applyAlignment="1">
      <alignment horizontal="center" vertical="center" wrapText="1"/>
    </xf>
    <xf numFmtId="0" fontId="1" fillId="405" borderId="4" xfId="0" applyFont="1" applyFill="1" applyBorder="1" applyAlignment="1">
      <alignment horizontal="center" vertical="center" wrapText="1"/>
    </xf>
    <xf numFmtId="0" fontId="1" fillId="1025" borderId="0" xfId="0" applyFont="1" applyFill="1" applyAlignment="1">
      <alignment horizontal="center" vertical="center" wrapText="1"/>
    </xf>
    <xf numFmtId="0" fontId="1" fillId="1026" borderId="0" xfId="0" applyFont="1" applyFill="1" applyAlignment="1">
      <alignment horizontal="center" vertical="center" wrapText="1"/>
    </xf>
    <xf numFmtId="0" fontId="1" fillId="1027" borderId="0" xfId="0" applyFont="1" applyFill="1" applyAlignment="1">
      <alignment horizontal="center" vertical="center" wrapText="1"/>
    </xf>
    <xf numFmtId="0" fontId="7" fillId="1028" borderId="0" xfId="0" applyFont="1" applyFill="1"/>
    <xf numFmtId="0" fontId="7" fillId="1028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25" fillId="0" borderId="0" xfId="0" applyFont="1"/>
    <xf numFmtId="49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17" fontId="2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492" borderId="12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left"/>
      <protection locked="0"/>
    </xf>
    <xf numFmtId="0" fontId="1" fillId="492" borderId="3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2" xfId="0" applyFont="1" applyBorder="1" applyProtection="1"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Protection="1">
      <protection locked="0"/>
    </xf>
    <xf numFmtId="0" fontId="10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5" xfId="0" applyBorder="1" applyProtection="1">
      <protection locked="0"/>
    </xf>
    <xf numFmtId="0" fontId="0" fillId="1008" borderId="0" xfId="0" applyFill="1" applyAlignment="1">
      <alignment horizontal="center" vertical="center"/>
    </xf>
    <xf numFmtId="0" fontId="0" fillId="492" borderId="0" xfId="0" applyFill="1" applyAlignment="1" applyProtection="1">
      <alignment horizontal="center" vertical="center"/>
      <protection locked="0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8" borderId="1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455" borderId="19" xfId="0" applyFont="1" applyFill="1" applyBorder="1" applyAlignment="1">
      <alignment horizontal="center" vertical="center" wrapText="1"/>
    </xf>
    <xf numFmtId="0" fontId="1" fillId="456" borderId="19" xfId="0" applyFont="1" applyFill="1" applyBorder="1" applyAlignment="1">
      <alignment horizontal="center" vertical="center" wrapText="1"/>
    </xf>
    <xf numFmtId="0" fontId="1" fillId="457" borderId="19" xfId="0" applyFont="1" applyFill="1" applyBorder="1" applyAlignment="1">
      <alignment horizontal="center" vertical="center" wrapText="1"/>
    </xf>
    <xf numFmtId="0" fontId="1" fillId="458" borderId="19" xfId="0" applyFont="1" applyFill="1" applyBorder="1" applyAlignment="1">
      <alignment horizontal="center" vertical="center" wrapText="1"/>
    </xf>
    <xf numFmtId="0" fontId="1" fillId="459" borderId="19" xfId="0" applyFont="1" applyFill="1" applyBorder="1" applyAlignment="1">
      <alignment horizontal="center" vertical="center" wrapText="1"/>
    </xf>
    <xf numFmtId="0" fontId="1" fillId="460" borderId="19" xfId="0" applyFont="1" applyFill="1" applyBorder="1" applyAlignment="1">
      <alignment horizontal="center" vertical="center" wrapText="1"/>
    </xf>
    <xf numFmtId="0" fontId="1" fillId="95" borderId="19" xfId="0" applyFont="1" applyFill="1" applyBorder="1" applyAlignment="1">
      <alignment horizontal="center" vertical="center" wrapText="1"/>
    </xf>
    <xf numFmtId="0" fontId="1" fillId="461" borderId="19" xfId="0" applyFont="1" applyFill="1" applyBorder="1" applyAlignment="1">
      <alignment horizontal="center" vertical="center" wrapText="1"/>
    </xf>
    <xf numFmtId="0" fontId="1" fillId="462" borderId="19" xfId="0" applyFont="1" applyFill="1" applyBorder="1" applyAlignment="1">
      <alignment horizontal="center" vertical="center" wrapText="1"/>
    </xf>
    <xf numFmtId="0" fontId="1" fillId="463" borderId="19" xfId="0" applyFont="1" applyFill="1" applyBorder="1" applyAlignment="1">
      <alignment horizontal="center" vertical="center" wrapText="1"/>
    </xf>
    <xf numFmtId="0" fontId="1" fillId="464" borderId="19" xfId="0" applyFont="1" applyFill="1" applyBorder="1" applyAlignment="1">
      <alignment horizontal="center" vertical="center" wrapText="1"/>
    </xf>
    <xf numFmtId="0" fontId="1" fillId="465" borderId="19" xfId="0" applyFont="1" applyFill="1" applyBorder="1" applyAlignment="1">
      <alignment horizontal="center" vertical="center" wrapText="1"/>
    </xf>
    <xf numFmtId="0" fontId="1" fillId="466" borderId="19" xfId="0" applyFont="1" applyFill="1" applyBorder="1" applyAlignment="1">
      <alignment horizontal="center" vertical="center" wrapText="1"/>
    </xf>
    <xf numFmtId="0" fontId="1" fillId="467" borderId="19" xfId="0" applyFont="1" applyFill="1" applyBorder="1" applyAlignment="1">
      <alignment horizontal="center" vertical="center" wrapText="1"/>
    </xf>
    <xf numFmtId="0" fontId="1" fillId="468" borderId="19" xfId="0" applyFont="1" applyFill="1" applyBorder="1" applyAlignment="1">
      <alignment horizontal="center" vertical="center" wrapText="1"/>
    </xf>
    <xf numFmtId="0" fontId="1" fillId="469" borderId="19" xfId="0" applyFont="1" applyFill="1" applyBorder="1" applyAlignment="1">
      <alignment horizontal="center" vertical="center" wrapText="1"/>
    </xf>
    <xf numFmtId="0" fontId="1" fillId="470" borderId="19" xfId="0" applyFont="1" applyFill="1" applyBorder="1" applyAlignment="1">
      <alignment horizontal="center" vertical="center" wrapText="1"/>
    </xf>
    <xf numFmtId="0" fontId="1" fillId="471" borderId="19" xfId="0" applyFont="1" applyFill="1" applyBorder="1" applyAlignment="1">
      <alignment horizontal="center" vertical="center" wrapText="1"/>
    </xf>
    <xf numFmtId="0" fontId="1" fillId="472" borderId="19" xfId="0" applyFont="1" applyFill="1" applyBorder="1" applyAlignment="1">
      <alignment horizontal="center" vertical="center" wrapText="1"/>
    </xf>
    <xf numFmtId="0" fontId="1" fillId="473" borderId="19" xfId="0" applyFont="1" applyFill="1" applyBorder="1" applyAlignment="1">
      <alignment horizontal="center" vertical="center" wrapText="1"/>
    </xf>
    <xf numFmtId="0" fontId="1" fillId="474" borderId="19" xfId="0" applyFont="1" applyFill="1" applyBorder="1" applyAlignment="1">
      <alignment horizontal="center" vertical="center" wrapText="1"/>
    </xf>
    <xf numFmtId="0" fontId="1" fillId="475" borderId="19" xfId="0" applyFont="1" applyFill="1" applyBorder="1" applyAlignment="1">
      <alignment horizontal="center" vertical="center" wrapText="1"/>
    </xf>
    <xf numFmtId="0" fontId="1" fillId="476" borderId="19" xfId="0" applyFont="1" applyFill="1" applyBorder="1" applyAlignment="1">
      <alignment horizontal="center" vertical="center" wrapText="1"/>
    </xf>
    <xf numFmtId="0" fontId="1" fillId="477" borderId="19" xfId="0" applyFont="1" applyFill="1" applyBorder="1" applyAlignment="1">
      <alignment horizontal="center" vertical="center" wrapText="1"/>
    </xf>
    <xf numFmtId="0" fontId="1" fillId="478" borderId="19" xfId="0" applyFont="1" applyFill="1" applyBorder="1" applyAlignment="1">
      <alignment horizontal="center" vertical="center" wrapText="1"/>
    </xf>
    <xf numFmtId="0" fontId="1" fillId="479" borderId="19" xfId="0" applyFont="1" applyFill="1" applyBorder="1" applyAlignment="1">
      <alignment horizontal="center" vertical="center" wrapText="1"/>
    </xf>
    <xf numFmtId="0" fontId="1" fillId="480" borderId="19" xfId="0" applyFont="1" applyFill="1" applyBorder="1" applyAlignment="1">
      <alignment horizontal="center" vertical="center" wrapText="1"/>
    </xf>
    <xf numFmtId="0" fontId="1" fillId="481" borderId="19" xfId="0" applyFont="1" applyFill="1" applyBorder="1" applyAlignment="1">
      <alignment horizontal="center" vertical="center" wrapText="1"/>
    </xf>
    <xf numFmtId="0" fontId="1" fillId="482" borderId="19" xfId="0" applyFont="1" applyFill="1" applyBorder="1" applyAlignment="1">
      <alignment horizontal="center" vertical="center" wrapText="1"/>
    </xf>
    <xf numFmtId="0" fontId="1" fillId="483" borderId="19" xfId="0" applyFont="1" applyFill="1" applyBorder="1" applyAlignment="1">
      <alignment horizontal="center" vertical="center" wrapText="1"/>
    </xf>
    <xf numFmtId="0" fontId="1" fillId="484" borderId="19" xfId="0" applyFont="1" applyFill="1" applyBorder="1" applyAlignment="1">
      <alignment horizontal="center" vertical="center" wrapText="1"/>
    </xf>
    <xf numFmtId="0" fontId="1" fillId="485" borderId="19" xfId="0" applyFont="1" applyFill="1" applyBorder="1" applyAlignment="1">
      <alignment horizontal="center" vertical="center" wrapText="1"/>
    </xf>
    <xf numFmtId="0" fontId="1" fillId="486" borderId="19" xfId="0" applyFont="1" applyFill="1" applyBorder="1" applyAlignment="1">
      <alignment horizontal="center" vertical="center" wrapText="1"/>
    </xf>
    <xf numFmtId="0" fontId="1" fillId="487" borderId="19" xfId="0" applyFont="1" applyFill="1" applyBorder="1" applyAlignment="1">
      <alignment horizontal="center" vertical="center" wrapText="1"/>
    </xf>
    <xf numFmtId="0" fontId="1" fillId="488" borderId="19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7" borderId="19" xfId="0" applyFont="1" applyFill="1" applyBorder="1" applyAlignment="1">
      <alignment horizontal="center" vertical="center" wrapText="1"/>
    </xf>
    <xf numFmtId="0" fontId="1" fillId="19" borderId="19" xfId="0" applyFont="1" applyFill="1" applyBorder="1" applyAlignment="1">
      <alignment horizontal="center" vertical="center" wrapText="1"/>
    </xf>
    <xf numFmtId="0" fontId="1" fillId="21" borderId="19" xfId="0" applyFont="1" applyFill="1" applyBorder="1" applyAlignment="1">
      <alignment horizontal="center" vertical="center" wrapText="1"/>
    </xf>
    <xf numFmtId="0" fontId="1" fillId="23" borderId="19" xfId="0" applyFont="1" applyFill="1" applyBorder="1" applyAlignment="1">
      <alignment horizontal="center" vertical="center" wrapText="1"/>
    </xf>
    <xf numFmtId="0" fontId="1" fillId="25" borderId="19" xfId="0" applyFont="1" applyFill="1" applyBorder="1" applyAlignment="1">
      <alignment horizontal="center" vertical="center" wrapText="1"/>
    </xf>
    <xf numFmtId="0" fontId="1" fillId="27" borderId="19" xfId="0" applyFont="1" applyFill="1" applyBorder="1" applyAlignment="1">
      <alignment horizontal="center" vertical="center" wrapText="1"/>
    </xf>
    <xf numFmtId="0" fontId="1" fillId="29" borderId="19" xfId="0" applyFont="1" applyFill="1" applyBorder="1" applyAlignment="1">
      <alignment horizontal="center" vertical="center" wrapText="1"/>
    </xf>
    <xf numFmtId="0" fontId="1" fillId="31" borderId="19" xfId="0" applyFont="1" applyFill="1" applyBorder="1" applyAlignment="1">
      <alignment horizontal="center" vertical="center" wrapText="1"/>
    </xf>
    <xf numFmtId="0" fontId="1" fillId="33" borderId="19" xfId="0" applyFont="1" applyFill="1" applyBorder="1" applyAlignment="1">
      <alignment horizontal="center" vertical="center" wrapText="1"/>
    </xf>
    <xf numFmtId="0" fontId="1" fillId="35" borderId="19" xfId="0" applyFont="1" applyFill="1" applyBorder="1" applyAlignment="1">
      <alignment horizontal="center" vertical="center" wrapText="1"/>
    </xf>
    <xf numFmtId="0" fontId="1" fillId="37" borderId="19" xfId="0" applyFont="1" applyFill="1" applyBorder="1" applyAlignment="1">
      <alignment horizontal="center" vertical="center" wrapText="1"/>
    </xf>
    <xf numFmtId="0" fontId="1" fillId="39" borderId="19" xfId="0" applyFont="1" applyFill="1" applyBorder="1" applyAlignment="1">
      <alignment horizontal="center" vertical="center" wrapText="1"/>
    </xf>
    <xf numFmtId="0" fontId="1" fillId="41" borderId="19" xfId="0" applyFont="1" applyFill="1" applyBorder="1" applyAlignment="1">
      <alignment horizontal="center" vertical="center" wrapText="1"/>
    </xf>
    <xf numFmtId="0" fontId="1" fillId="43" borderId="19" xfId="0" applyFont="1" applyFill="1" applyBorder="1" applyAlignment="1">
      <alignment horizontal="center" vertical="center" wrapText="1"/>
    </xf>
    <xf numFmtId="0" fontId="1" fillId="45" borderId="19" xfId="0" applyFont="1" applyFill="1" applyBorder="1" applyAlignment="1">
      <alignment horizontal="center" vertical="center" wrapText="1"/>
    </xf>
    <xf numFmtId="0" fontId="1" fillId="47" borderId="19" xfId="0" applyFont="1" applyFill="1" applyBorder="1" applyAlignment="1">
      <alignment horizontal="center" vertical="center" wrapText="1"/>
    </xf>
    <xf numFmtId="0" fontId="1" fillId="49" borderId="19" xfId="0" applyFont="1" applyFill="1" applyBorder="1" applyAlignment="1">
      <alignment horizontal="center" vertical="center" wrapText="1"/>
    </xf>
    <xf numFmtId="0" fontId="1" fillId="51" borderId="19" xfId="0" applyFont="1" applyFill="1" applyBorder="1" applyAlignment="1">
      <alignment horizontal="center" vertical="center" wrapText="1"/>
    </xf>
    <xf numFmtId="0" fontId="1" fillId="53" borderId="19" xfId="0" applyFont="1" applyFill="1" applyBorder="1" applyAlignment="1">
      <alignment horizontal="center" vertical="center" wrapText="1"/>
    </xf>
    <xf numFmtId="0" fontId="1" fillId="55" borderId="19" xfId="0" applyFont="1" applyFill="1" applyBorder="1" applyAlignment="1">
      <alignment horizontal="center" vertical="center" wrapText="1"/>
    </xf>
    <xf numFmtId="0" fontId="1" fillId="57" borderId="19" xfId="0" applyFont="1" applyFill="1" applyBorder="1" applyAlignment="1">
      <alignment horizontal="center" vertical="center" wrapText="1"/>
    </xf>
    <xf numFmtId="0" fontId="1" fillId="59" borderId="19" xfId="0" applyFont="1" applyFill="1" applyBorder="1" applyAlignment="1">
      <alignment horizontal="center" vertical="center" wrapText="1"/>
    </xf>
    <xf numFmtId="0" fontId="1" fillId="61" borderId="19" xfId="0" applyFont="1" applyFill="1" applyBorder="1" applyAlignment="1">
      <alignment horizontal="center" vertical="center" wrapText="1"/>
    </xf>
    <xf numFmtId="0" fontId="1" fillId="63" borderId="19" xfId="0" applyFont="1" applyFill="1" applyBorder="1" applyAlignment="1">
      <alignment horizontal="center" vertical="center" wrapText="1"/>
    </xf>
    <xf numFmtId="0" fontId="1" fillId="65" borderId="19" xfId="0" applyFont="1" applyFill="1" applyBorder="1" applyAlignment="1">
      <alignment horizontal="center" vertical="center" wrapText="1"/>
    </xf>
    <xf numFmtId="0" fontId="1" fillId="67" borderId="19" xfId="0" applyFont="1" applyFill="1" applyBorder="1" applyAlignment="1">
      <alignment horizontal="center" vertical="center" wrapText="1"/>
    </xf>
    <xf numFmtId="0" fontId="1" fillId="69" borderId="19" xfId="0" applyFont="1" applyFill="1" applyBorder="1" applyAlignment="1">
      <alignment horizontal="center" vertical="center" wrapText="1"/>
    </xf>
    <xf numFmtId="0" fontId="1" fillId="71" borderId="19" xfId="0" applyFont="1" applyFill="1" applyBorder="1" applyAlignment="1">
      <alignment horizontal="center" vertical="center" wrapText="1"/>
    </xf>
    <xf numFmtId="0" fontId="1" fillId="73" borderId="19" xfId="0" applyFont="1" applyFill="1" applyBorder="1" applyAlignment="1">
      <alignment horizontal="center" vertical="center" wrapText="1"/>
    </xf>
    <xf numFmtId="0" fontId="1" fillId="75" borderId="19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78" borderId="19" xfId="0" applyFont="1" applyFill="1" applyBorder="1" applyAlignment="1">
      <alignment horizontal="center" vertical="center" wrapText="1"/>
    </xf>
    <xf numFmtId="0" fontId="1" fillId="80" borderId="19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center" vertical="center" wrapText="1"/>
    </xf>
    <xf numFmtId="0" fontId="1" fillId="12" borderId="19" xfId="0" applyFont="1" applyFill="1" applyBorder="1" applyAlignment="1">
      <alignment horizontal="center" vertical="center" wrapText="1"/>
    </xf>
    <xf numFmtId="0" fontId="0" fillId="0" borderId="19" xfId="0" applyBorder="1"/>
    <xf numFmtId="0" fontId="26" fillId="1029" borderId="19" xfId="0" applyFont="1" applyFill="1" applyBorder="1" applyAlignment="1">
      <alignment horizontal="center" vertical="center" wrapText="1"/>
    </xf>
    <xf numFmtId="0" fontId="26" fillId="1029" borderId="29" xfId="0" applyFont="1" applyFill="1" applyBorder="1" applyAlignment="1">
      <alignment vertical="center" wrapText="1"/>
    </xf>
    <xf numFmtId="0" fontId="26" fillId="1029" borderId="2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1" fillId="18" borderId="19" xfId="0" applyFont="1" applyFill="1" applyBorder="1" applyAlignment="1">
      <alignment horizontal="center" vertical="center" wrapText="1"/>
    </xf>
    <xf numFmtId="0" fontId="1" fillId="20" borderId="19" xfId="0" applyFont="1" applyFill="1" applyBorder="1" applyAlignment="1">
      <alignment horizontal="center" vertical="center" wrapText="1"/>
    </xf>
    <xf numFmtId="0" fontId="1" fillId="22" borderId="19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1" fillId="26" borderId="19" xfId="0" applyFont="1" applyFill="1" applyBorder="1" applyAlignment="1">
      <alignment horizontal="center" vertical="center" wrapText="1"/>
    </xf>
    <xf numFmtId="0" fontId="1" fillId="28" borderId="19" xfId="0" applyFont="1" applyFill="1" applyBorder="1" applyAlignment="1">
      <alignment horizontal="center" vertical="center" wrapText="1"/>
    </xf>
    <xf numFmtId="0" fontId="1" fillId="30" borderId="19" xfId="0" applyFont="1" applyFill="1" applyBorder="1" applyAlignment="1">
      <alignment horizontal="center" vertical="center" wrapText="1"/>
    </xf>
    <xf numFmtId="0" fontId="1" fillId="32" borderId="19" xfId="0" applyFont="1" applyFill="1" applyBorder="1" applyAlignment="1">
      <alignment horizontal="center" vertical="center" wrapText="1"/>
    </xf>
    <xf numFmtId="0" fontId="1" fillId="34" borderId="19" xfId="0" applyFont="1" applyFill="1" applyBorder="1" applyAlignment="1">
      <alignment horizontal="center" vertical="center" wrapText="1"/>
    </xf>
    <xf numFmtId="0" fontId="1" fillId="36" borderId="19" xfId="0" applyFont="1" applyFill="1" applyBorder="1" applyAlignment="1">
      <alignment horizontal="center" vertical="center" wrapText="1"/>
    </xf>
    <xf numFmtId="0" fontId="1" fillId="38" borderId="19" xfId="0" applyFont="1" applyFill="1" applyBorder="1" applyAlignment="1">
      <alignment horizontal="center" vertical="center" wrapText="1"/>
    </xf>
    <xf numFmtId="0" fontId="1" fillId="40" borderId="19" xfId="0" applyFont="1" applyFill="1" applyBorder="1" applyAlignment="1">
      <alignment horizontal="center" vertical="center" wrapText="1"/>
    </xf>
    <xf numFmtId="0" fontId="1" fillId="42" borderId="19" xfId="0" applyFont="1" applyFill="1" applyBorder="1" applyAlignment="1">
      <alignment horizontal="center" vertical="center" wrapText="1"/>
    </xf>
    <xf numFmtId="0" fontId="1" fillId="44" borderId="19" xfId="0" applyFont="1" applyFill="1" applyBorder="1" applyAlignment="1">
      <alignment horizontal="center" vertical="center" wrapText="1"/>
    </xf>
    <xf numFmtId="0" fontId="1" fillId="46" borderId="19" xfId="0" applyFont="1" applyFill="1" applyBorder="1" applyAlignment="1">
      <alignment horizontal="center" vertical="center" wrapText="1"/>
    </xf>
    <xf numFmtId="0" fontId="1" fillId="48" borderId="19" xfId="0" applyFont="1" applyFill="1" applyBorder="1" applyAlignment="1">
      <alignment horizontal="center" vertical="center" wrapText="1"/>
    </xf>
    <xf numFmtId="0" fontId="1" fillId="50" borderId="19" xfId="0" applyFont="1" applyFill="1" applyBorder="1" applyAlignment="1">
      <alignment horizontal="center" vertical="center" wrapText="1"/>
    </xf>
    <xf numFmtId="0" fontId="1" fillId="52" borderId="19" xfId="0" applyFont="1" applyFill="1" applyBorder="1" applyAlignment="1">
      <alignment horizontal="center" vertical="center" wrapText="1"/>
    </xf>
    <xf numFmtId="0" fontId="1" fillId="54" borderId="19" xfId="0" applyFont="1" applyFill="1" applyBorder="1" applyAlignment="1">
      <alignment horizontal="center" vertical="center" wrapText="1"/>
    </xf>
    <xf numFmtId="0" fontId="1" fillId="56" borderId="19" xfId="0" applyFont="1" applyFill="1" applyBorder="1" applyAlignment="1">
      <alignment horizontal="center" vertical="center" wrapText="1"/>
    </xf>
    <xf numFmtId="0" fontId="1" fillId="58" borderId="19" xfId="0" applyFont="1" applyFill="1" applyBorder="1" applyAlignment="1">
      <alignment horizontal="center" vertical="center" wrapText="1"/>
    </xf>
    <xf numFmtId="0" fontId="1" fillId="60" borderId="19" xfId="0" applyFont="1" applyFill="1" applyBorder="1" applyAlignment="1">
      <alignment horizontal="center" vertical="center" wrapText="1"/>
    </xf>
    <xf numFmtId="0" fontId="1" fillId="62" borderId="19" xfId="0" applyFont="1" applyFill="1" applyBorder="1" applyAlignment="1">
      <alignment horizontal="center" vertical="center" wrapText="1"/>
    </xf>
    <xf numFmtId="0" fontId="1" fillId="64" borderId="19" xfId="0" applyFont="1" applyFill="1" applyBorder="1" applyAlignment="1">
      <alignment horizontal="center" vertical="center" wrapText="1"/>
    </xf>
    <xf numFmtId="0" fontId="1" fillId="66" borderId="19" xfId="0" applyFont="1" applyFill="1" applyBorder="1" applyAlignment="1">
      <alignment horizontal="center" vertical="center" wrapText="1"/>
    </xf>
    <xf numFmtId="0" fontId="1" fillId="68" borderId="19" xfId="0" applyFont="1" applyFill="1" applyBorder="1" applyAlignment="1">
      <alignment horizontal="center" vertical="center" wrapText="1"/>
    </xf>
    <xf numFmtId="0" fontId="1" fillId="70" borderId="19" xfId="0" applyFont="1" applyFill="1" applyBorder="1" applyAlignment="1">
      <alignment horizontal="center" vertical="center" wrapText="1"/>
    </xf>
    <xf numFmtId="0" fontId="1" fillId="72" borderId="19" xfId="0" applyFont="1" applyFill="1" applyBorder="1" applyAlignment="1">
      <alignment horizontal="center" vertical="center" wrapText="1"/>
    </xf>
    <xf numFmtId="0" fontId="1" fillId="74" borderId="19" xfId="0" applyFont="1" applyFill="1" applyBorder="1" applyAlignment="1">
      <alignment horizontal="center" vertical="center" wrapText="1"/>
    </xf>
    <xf numFmtId="0" fontId="1" fillId="76" borderId="19" xfId="0" applyFont="1" applyFill="1" applyBorder="1" applyAlignment="1">
      <alignment horizontal="center" vertical="center" wrapText="1"/>
    </xf>
    <xf numFmtId="0" fontId="1" fillId="77" borderId="19" xfId="0" applyFont="1" applyFill="1" applyBorder="1" applyAlignment="1">
      <alignment horizontal="center" vertical="center" wrapText="1"/>
    </xf>
    <xf numFmtId="0" fontId="1" fillId="79" borderId="19" xfId="0" applyFont="1" applyFill="1" applyBorder="1" applyAlignment="1">
      <alignment horizontal="center" vertical="center" wrapText="1"/>
    </xf>
    <xf numFmtId="0" fontId="1" fillId="81" borderId="19" xfId="0" applyFont="1" applyFill="1" applyBorder="1" applyAlignment="1">
      <alignment horizontal="center" vertical="center" wrapText="1"/>
    </xf>
    <xf numFmtId="0" fontId="1" fillId="82" borderId="19" xfId="0" applyFont="1" applyFill="1" applyBorder="1" applyAlignment="1">
      <alignment horizontal="center" vertical="center" wrapText="1"/>
    </xf>
    <xf numFmtId="0" fontId="1" fillId="84" borderId="19" xfId="0" applyFont="1" applyFill="1" applyBorder="1" applyAlignment="1">
      <alignment horizontal="center" vertical="center" wrapText="1"/>
    </xf>
    <xf numFmtId="0" fontId="1" fillId="86" borderId="19" xfId="0" applyFont="1" applyFill="1" applyBorder="1" applyAlignment="1">
      <alignment horizontal="center" vertical="center" wrapText="1"/>
    </xf>
    <xf numFmtId="0" fontId="1" fillId="88" borderId="19" xfId="0" applyFont="1" applyFill="1" applyBorder="1" applyAlignment="1">
      <alignment horizontal="center" vertical="center" wrapText="1"/>
    </xf>
    <xf numFmtId="0" fontId="1" fillId="89" borderId="19" xfId="0" applyFont="1" applyFill="1" applyBorder="1" applyAlignment="1">
      <alignment horizontal="center" vertical="center" wrapText="1"/>
    </xf>
    <xf numFmtId="0" fontId="1" fillId="91" borderId="19" xfId="0" applyFont="1" applyFill="1" applyBorder="1" applyAlignment="1">
      <alignment horizontal="center" vertical="center" wrapText="1"/>
    </xf>
    <xf numFmtId="0" fontId="1" fillId="93" borderId="19" xfId="0" applyFont="1" applyFill="1" applyBorder="1" applyAlignment="1">
      <alignment horizontal="center" vertical="center" wrapText="1"/>
    </xf>
    <xf numFmtId="0" fontId="1" fillId="97" borderId="19" xfId="0" applyFont="1" applyFill="1" applyBorder="1" applyAlignment="1">
      <alignment horizontal="center" vertical="center" wrapText="1"/>
    </xf>
    <xf numFmtId="0" fontId="1" fillId="99" borderId="19" xfId="0" applyFont="1" applyFill="1" applyBorder="1" applyAlignment="1">
      <alignment horizontal="center" vertical="center" wrapText="1"/>
    </xf>
    <xf numFmtId="0" fontId="1" fillId="101" borderId="19" xfId="0" applyFont="1" applyFill="1" applyBorder="1" applyAlignment="1">
      <alignment horizontal="center" vertical="center" wrapText="1"/>
    </xf>
    <xf numFmtId="0" fontId="1" fillId="103" borderId="19" xfId="0" applyFont="1" applyFill="1" applyBorder="1" applyAlignment="1">
      <alignment horizontal="center" vertical="center" wrapText="1"/>
    </xf>
    <xf numFmtId="0" fontId="1" fillId="105" borderId="19" xfId="0" applyFont="1" applyFill="1" applyBorder="1" applyAlignment="1">
      <alignment horizontal="center" vertical="center" wrapText="1"/>
    </xf>
    <xf numFmtId="0" fontId="1" fillId="107" borderId="19" xfId="0" applyFont="1" applyFill="1" applyBorder="1" applyAlignment="1">
      <alignment horizontal="center" vertical="center" wrapText="1"/>
    </xf>
    <xf numFmtId="0" fontId="1" fillId="109" borderId="19" xfId="0" applyFont="1" applyFill="1" applyBorder="1" applyAlignment="1">
      <alignment horizontal="center" vertical="center" wrapText="1"/>
    </xf>
    <xf numFmtId="0" fontId="1" fillId="111" borderId="19" xfId="0" applyFont="1" applyFill="1" applyBorder="1" applyAlignment="1">
      <alignment horizontal="center" vertical="center" wrapText="1"/>
    </xf>
    <xf numFmtId="0" fontId="1" fillId="113" borderId="19" xfId="0" applyFont="1" applyFill="1" applyBorder="1" applyAlignment="1">
      <alignment horizontal="center" vertical="center" wrapText="1"/>
    </xf>
    <xf numFmtId="0" fontId="1" fillId="115" borderId="19" xfId="0" applyFont="1" applyFill="1" applyBorder="1" applyAlignment="1">
      <alignment horizontal="center" vertical="center" wrapText="1"/>
    </xf>
    <xf numFmtId="0" fontId="1" fillId="490" borderId="19" xfId="0" applyFont="1" applyFill="1" applyBorder="1" applyAlignment="1">
      <alignment horizontal="center" vertical="center" wrapText="1"/>
    </xf>
    <xf numFmtId="0" fontId="1" fillId="118" borderId="19" xfId="0" applyFont="1" applyFill="1" applyBorder="1" applyAlignment="1">
      <alignment horizontal="center" vertical="center" wrapText="1"/>
    </xf>
    <xf numFmtId="0" fontId="1" fillId="120" borderId="19" xfId="0" applyFont="1" applyFill="1" applyBorder="1" applyAlignment="1">
      <alignment horizontal="center" vertical="center" wrapText="1"/>
    </xf>
    <xf numFmtId="0" fontId="1" fillId="122" borderId="19" xfId="0" applyFont="1" applyFill="1" applyBorder="1" applyAlignment="1">
      <alignment horizontal="center" vertical="center" wrapText="1"/>
    </xf>
    <xf numFmtId="0" fontId="1" fillId="124" borderId="19" xfId="0" applyFont="1" applyFill="1" applyBorder="1" applyAlignment="1">
      <alignment horizontal="center" vertical="center" wrapText="1"/>
    </xf>
    <xf numFmtId="0" fontId="1" fillId="126" borderId="19" xfId="0" applyFont="1" applyFill="1" applyBorder="1" applyAlignment="1">
      <alignment horizontal="center" vertical="center" wrapText="1"/>
    </xf>
    <xf numFmtId="0" fontId="1" fillId="128" borderId="19" xfId="0" applyFont="1" applyFill="1" applyBorder="1" applyAlignment="1">
      <alignment horizontal="center" vertical="center" wrapText="1"/>
    </xf>
    <xf numFmtId="0" fontId="1" fillId="130" borderId="19" xfId="0" applyFont="1" applyFill="1" applyBorder="1" applyAlignment="1">
      <alignment horizontal="center" vertical="center" wrapText="1"/>
    </xf>
    <xf numFmtId="0" fontId="1" fillId="132" borderId="19" xfId="0" applyFont="1" applyFill="1" applyBorder="1" applyAlignment="1">
      <alignment horizontal="center" vertical="center" wrapText="1"/>
    </xf>
    <xf numFmtId="0" fontId="1" fillId="134" borderId="19" xfId="0" applyFont="1" applyFill="1" applyBorder="1" applyAlignment="1">
      <alignment horizontal="center" vertical="center" wrapText="1"/>
    </xf>
    <xf numFmtId="0" fontId="1" fillId="136" borderId="19" xfId="0" applyFont="1" applyFill="1" applyBorder="1" applyAlignment="1">
      <alignment horizontal="center" vertical="center" wrapText="1"/>
    </xf>
    <xf numFmtId="0" fontId="1" fillId="138" borderId="19" xfId="0" applyFont="1" applyFill="1" applyBorder="1" applyAlignment="1">
      <alignment horizontal="center" vertical="center" wrapText="1"/>
    </xf>
    <xf numFmtId="0" fontId="1" fillId="140" borderId="19" xfId="0" applyFont="1" applyFill="1" applyBorder="1" applyAlignment="1">
      <alignment horizontal="center" vertical="center" wrapText="1"/>
    </xf>
    <xf numFmtId="0" fontId="1" fillId="142" borderId="19" xfId="0" applyFont="1" applyFill="1" applyBorder="1" applyAlignment="1">
      <alignment horizontal="center" vertical="center" wrapText="1"/>
    </xf>
    <xf numFmtId="0" fontId="1" fillId="144" borderId="19" xfId="0" applyFont="1" applyFill="1" applyBorder="1" applyAlignment="1">
      <alignment horizontal="center" vertical="center" wrapText="1"/>
    </xf>
    <xf numFmtId="0" fontId="1" fillId="146" borderId="19" xfId="0" applyFont="1" applyFill="1" applyBorder="1" applyAlignment="1">
      <alignment horizontal="center" vertical="center" wrapText="1"/>
    </xf>
    <xf numFmtId="0" fontId="1" fillId="148" borderId="19" xfId="0" applyFont="1" applyFill="1" applyBorder="1" applyAlignment="1">
      <alignment horizontal="center" vertical="center" wrapText="1"/>
    </xf>
    <xf numFmtId="0" fontId="1" fillId="150" borderId="19" xfId="0" applyFont="1" applyFill="1" applyBorder="1" applyAlignment="1">
      <alignment horizontal="center" vertical="center" wrapText="1"/>
    </xf>
    <xf numFmtId="0" fontId="1" fillId="152" borderId="19" xfId="0" applyFont="1" applyFill="1" applyBorder="1" applyAlignment="1">
      <alignment horizontal="center" vertical="center" wrapText="1"/>
    </xf>
    <xf numFmtId="0" fontId="1" fillId="154" borderId="19" xfId="0" applyFont="1" applyFill="1" applyBorder="1" applyAlignment="1">
      <alignment horizontal="center" vertical="center" wrapText="1"/>
    </xf>
    <xf numFmtId="0" fontId="1" fillId="156" borderId="19" xfId="0" applyFont="1" applyFill="1" applyBorder="1" applyAlignment="1">
      <alignment horizontal="center" vertical="center" wrapText="1"/>
    </xf>
    <xf numFmtId="0" fontId="1" fillId="158" borderId="19" xfId="0" applyFont="1" applyFill="1" applyBorder="1" applyAlignment="1">
      <alignment horizontal="center" vertical="center" wrapText="1"/>
    </xf>
    <xf numFmtId="0" fontId="1" fillId="83" borderId="19" xfId="0" applyFont="1" applyFill="1" applyBorder="1" applyAlignment="1">
      <alignment horizontal="center" vertical="center" wrapText="1"/>
    </xf>
    <xf numFmtId="0" fontId="1" fillId="85" borderId="19" xfId="0" applyFont="1" applyFill="1" applyBorder="1" applyAlignment="1">
      <alignment horizontal="center" vertical="center" wrapText="1"/>
    </xf>
    <xf numFmtId="0" fontId="1" fillId="87" borderId="19" xfId="0" applyFont="1" applyFill="1" applyBorder="1" applyAlignment="1">
      <alignment horizontal="center" vertical="center" wrapText="1"/>
    </xf>
    <xf numFmtId="0" fontId="1" fillId="489" borderId="19" xfId="0" applyFont="1" applyFill="1" applyBorder="1" applyAlignment="1">
      <alignment horizontal="center" vertical="center" wrapText="1"/>
    </xf>
    <xf numFmtId="0" fontId="1" fillId="90" borderId="19" xfId="0" applyFont="1" applyFill="1" applyBorder="1" applyAlignment="1">
      <alignment horizontal="center" vertical="center" wrapText="1"/>
    </xf>
    <xf numFmtId="0" fontId="1" fillId="92" borderId="19" xfId="0" applyFont="1" applyFill="1" applyBorder="1" applyAlignment="1">
      <alignment horizontal="center" vertical="center" wrapText="1"/>
    </xf>
    <xf numFmtId="0" fontId="1" fillId="94" borderId="19" xfId="0" applyFont="1" applyFill="1" applyBorder="1" applyAlignment="1">
      <alignment horizontal="center" vertical="center" wrapText="1"/>
    </xf>
    <xf numFmtId="0" fontId="1" fillId="96" borderId="19" xfId="0" applyFont="1" applyFill="1" applyBorder="1" applyAlignment="1">
      <alignment horizontal="center" vertical="center" wrapText="1"/>
    </xf>
    <xf numFmtId="0" fontId="1" fillId="98" borderId="19" xfId="0" applyFont="1" applyFill="1" applyBorder="1" applyAlignment="1">
      <alignment horizontal="center" vertical="center" wrapText="1"/>
    </xf>
    <xf numFmtId="0" fontId="1" fillId="100" borderId="19" xfId="0" applyFont="1" applyFill="1" applyBorder="1" applyAlignment="1">
      <alignment horizontal="center" vertical="center" wrapText="1"/>
    </xf>
    <xf numFmtId="0" fontId="1" fillId="102" borderId="19" xfId="0" applyFont="1" applyFill="1" applyBorder="1" applyAlignment="1">
      <alignment horizontal="center" vertical="center" wrapText="1"/>
    </xf>
    <xf numFmtId="0" fontId="1" fillId="104" borderId="19" xfId="0" applyFont="1" applyFill="1" applyBorder="1" applyAlignment="1">
      <alignment horizontal="center" vertical="center" wrapText="1"/>
    </xf>
    <xf numFmtId="0" fontId="1" fillId="106" borderId="19" xfId="0" applyFont="1" applyFill="1" applyBorder="1" applyAlignment="1">
      <alignment horizontal="center" vertical="center" wrapText="1"/>
    </xf>
    <xf numFmtId="0" fontId="1" fillId="108" borderId="19" xfId="0" applyFont="1" applyFill="1" applyBorder="1" applyAlignment="1">
      <alignment horizontal="center" vertical="center" wrapText="1"/>
    </xf>
    <xf numFmtId="0" fontId="1" fillId="110" borderId="19" xfId="0" applyFont="1" applyFill="1" applyBorder="1" applyAlignment="1">
      <alignment horizontal="center" vertical="center" wrapText="1"/>
    </xf>
    <xf numFmtId="0" fontId="1" fillId="112" borderId="19" xfId="0" applyFont="1" applyFill="1" applyBorder="1" applyAlignment="1">
      <alignment horizontal="center" vertical="center" wrapText="1"/>
    </xf>
    <xf numFmtId="0" fontId="1" fillId="114" borderId="19" xfId="0" applyFont="1" applyFill="1" applyBorder="1" applyAlignment="1">
      <alignment horizontal="center" vertical="center" wrapText="1"/>
    </xf>
    <xf numFmtId="0" fontId="1" fillId="116" borderId="19" xfId="0" applyFont="1" applyFill="1" applyBorder="1" applyAlignment="1">
      <alignment horizontal="center" vertical="center" wrapText="1"/>
    </xf>
    <xf numFmtId="0" fontId="1" fillId="117" borderId="19" xfId="0" applyFont="1" applyFill="1" applyBorder="1" applyAlignment="1">
      <alignment horizontal="center" vertical="center" wrapText="1"/>
    </xf>
    <xf numFmtId="0" fontId="1" fillId="119" borderId="19" xfId="0" applyFont="1" applyFill="1" applyBorder="1" applyAlignment="1">
      <alignment horizontal="center" vertical="center" wrapText="1"/>
    </xf>
    <xf numFmtId="0" fontId="1" fillId="121" borderId="19" xfId="0" applyFont="1" applyFill="1" applyBorder="1" applyAlignment="1">
      <alignment horizontal="center" vertical="center" wrapText="1"/>
    </xf>
    <xf numFmtId="0" fontId="1" fillId="123" borderId="19" xfId="0" applyFont="1" applyFill="1" applyBorder="1" applyAlignment="1">
      <alignment horizontal="center" vertical="center" wrapText="1"/>
    </xf>
    <xf numFmtId="0" fontId="1" fillId="125" borderId="19" xfId="0" applyFont="1" applyFill="1" applyBorder="1" applyAlignment="1">
      <alignment horizontal="center" vertical="center" wrapText="1"/>
    </xf>
    <xf numFmtId="0" fontId="1" fillId="127" borderId="19" xfId="0" applyFont="1" applyFill="1" applyBorder="1" applyAlignment="1">
      <alignment horizontal="center" vertical="center" wrapText="1"/>
    </xf>
    <xf numFmtId="0" fontId="1" fillId="129" borderId="19" xfId="0" applyFont="1" applyFill="1" applyBorder="1" applyAlignment="1">
      <alignment horizontal="center" vertical="center" wrapText="1"/>
    </xf>
    <xf numFmtId="0" fontId="1" fillId="131" borderId="19" xfId="0" applyFont="1" applyFill="1" applyBorder="1" applyAlignment="1">
      <alignment horizontal="center" vertical="center" wrapText="1"/>
    </xf>
    <xf numFmtId="0" fontId="1" fillId="133" borderId="19" xfId="0" applyFont="1" applyFill="1" applyBorder="1" applyAlignment="1">
      <alignment horizontal="center" vertical="center" wrapText="1"/>
    </xf>
    <xf numFmtId="0" fontId="1" fillId="135" borderId="19" xfId="0" applyFont="1" applyFill="1" applyBorder="1" applyAlignment="1">
      <alignment horizontal="center" vertical="center" wrapText="1"/>
    </xf>
    <xf numFmtId="0" fontId="1" fillId="137" borderId="19" xfId="0" applyFont="1" applyFill="1" applyBorder="1" applyAlignment="1">
      <alignment horizontal="center" vertical="center" wrapText="1"/>
    </xf>
    <xf numFmtId="0" fontId="1" fillId="139" borderId="19" xfId="0" applyFont="1" applyFill="1" applyBorder="1" applyAlignment="1">
      <alignment horizontal="center" vertical="center" wrapText="1"/>
    </xf>
    <xf numFmtId="0" fontId="1" fillId="141" borderId="19" xfId="0" applyFont="1" applyFill="1" applyBorder="1" applyAlignment="1">
      <alignment horizontal="center" vertical="center" wrapText="1"/>
    </xf>
    <xf numFmtId="0" fontId="1" fillId="143" borderId="19" xfId="0" applyFont="1" applyFill="1" applyBorder="1" applyAlignment="1">
      <alignment horizontal="center" vertical="center" wrapText="1"/>
    </xf>
    <xf numFmtId="0" fontId="1" fillId="145" borderId="19" xfId="0" applyFont="1" applyFill="1" applyBorder="1" applyAlignment="1">
      <alignment horizontal="center" vertical="center" wrapText="1"/>
    </xf>
    <xf numFmtId="0" fontId="1" fillId="147" borderId="19" xfId="0" applyFont="1" applyFill="1" applyBorder="1" applyAlignment="1">
      <alignment horizontal="center" vertical="center" wrapText="1"/>
    </xf>
    <xf numFmtId="0" fontId="1" fillId="149" borderId="19" xfId="0" applyFont="1" applyFill="1" applyBorder="1" applyAlignment="1">
      <alignment horizontal="center" vertical="center" wrapText="1"/>
    </xf>
    <xf numFmtId="0" fontId="1" fillId="1025" borderId="19" xfId="0" applyFont="1" applyFill="1" applyBorder="1" applyAlignment="1">
      <alignment horizontal="center" vertical="center" wrapText="1"/>
    </xf>
    <xf numFmtId="0" fontId="1" fillId="151" borderId="19" xfId="0" applyFont="1" applyFill="1" applyBorder="1" applyAlignment="1">
      <alignment horizontal="center" vertical="center" wrapText="1"/>
    </xf>
    <xf numFmtId="0" fontId="1" fillId="153" borderId="19" xfId="0" applyFont="1" applyFill="1" applyBorder="1" applyAlignment="1">
      <alignment horizontal="center" vertical="center" wrapText="1"/>
    </xf>
    <xf numFmtId="0" fontId="1" fillId="155" borderId="19" xfId="0" applyFont="1" applyFill="1" applyBorder="1" applyAlignment="1">
      <alignment horizontal="center" vertical="center" wrapText="1"/>
    </xf>
    <xf numFmtId="0" fontId="1" fillId="157" borderId="19" xfId="0" applyFont="1" applyFill="1" applyBorder="1" applyAlignment="1">
      <alignment horizontal="center" vertical="center" wrapText="1"/>
    </xf>
    <xf numFmtId="0" fontId="1" fillId="159" borderId="19" xfId="0" applyFont="1" applyFill="1" applyBorder="1" applyAlignment="1">
      <alignment horizontal="center" vertical="center" wrapText="1"/>
    </xf>
    <xf numFmtId="0" fontId="1" fillId="160" borderId="19" xfId="0" applyFont="1" applyFill="1" applyBorder="1" applyAlignment="1">
      <alignment horizontal="center" vertical="center" wrapText="1"/>
    </xf>
    <xf numFmtId="0" fontId="1" fillId="162" borderId="19" xfId="0" applyFont="1" applyFill="1" applyBorder="1" applyAlignment="1">
      <alignment horizontal="center" vertical="center" wrapText="1"/>
    </xf>
    <xf numFmtId="0" fontId="1" fillId="164" borderId="19" xfId="0" applyFont="1" applyFill="1" applyBorder="1" applyAlignment="1">
      <alignment horizontal="center" vertical="center" wrapText="1"/>
    </xf>
    <xf numFmtId="0" fontId="1" fillId="166" borderId="19" xfId="0" applyFont="1" applyFill="1" applyBorder="1" applyAlignment="1">
      <alignment horizontal="center" vertical="center" wrapText="1"/>
    </xf>
    <xf numFmtId="0" fontId="1" fillId="168" borderId="19" xfId="0" applyFont="1" applyFill="1" applyBorder="1" applyAlignment="1">
      <alignment horizontal="center" vertical="center" wrapText="1"/>
    </xf>
    <xf numFmtId="0" fontId="1" fillId="170" borderId="19" xfId="0" applyFont="1" applyFill="1" applyBorder="1" applyAlignment="1">
      <alignment horizontal="center" vertical="center" wrapText="1"/>
    </xf>
    <xf numFmtId="0" fontId="1" fillId="172" borderId="19" xfId="0" applyFont="1" applyFill="1" applyBorder="1" applyAlignment="1">
      <alignment horizontal="center" vertical="center" wrapText="1"/>
    </xf>
    <xf numFmtId="0" fontId="1" fillId="174" borderId="19" xfId="0" applyFont="1" applyFill="1" applyBorder="1" applyAlignment="1">
      <alignment horizontal="center" vertical="center" wrapText="1"/>
    </xf>
    <xf numFmtId="0" fontId="1" fillId="176" borderId="19" xfId="0" applyFont="1" applyFill="1" applyBorder="1" applyAlignment="1">
      <alignment horizontal="center" vertical="center" wrapText="1"/>
    </xf>
    <xf numFmtId="0" fontId="1" fillId="178" borderId="19" xfId="0" applyFont="1" applyFill="1" applyBorder="1" applyAlignment="1">
      <alignment horizontal="center" vertical="center" wrapText="1"/>
    </xf>
    <xf numFmtId="0" fontId="1" fillId="180" borderId="19" xfId="0" applyFont="1" applyFill="1" applyBorder="1" applyAlignment="1">
      <alignment horizontal="center" vertical="center" wrapText="1"/>
    </xf>
    <xf numFmtId="0" fontId="1" fillId="182" borderId="19" xfId="0" applyFont="1" applyFill="1" applyBorder="1" applyAlignment="1">
      <alignment horizontal="center" vertical="center" wrapText="1"/>
    </xf>
    <xf numFmtId="0" fontId="1" fillId="184" borderId="19" xfId="0" applyFont="1" applyFill="1" applyBorder="1" applyAlignment="1">
      <alignment horizontal="center" vertical="center" wrapText="1"/>
    </xf>
    <xf numFmtId="0" fontId="1" fillId="186" borderId="19" xfId="0" applyFont="1" applyFill="1" applyBorder="1" applyAlignment="1">
      <alignment horizontal="center" vertical="center" wrapText="1"/>
    </xf>
    <xf numFmtId="0" fontId="1" fillId="188" borderId="19" xfId="0" applyFont="1" applyFill="1" applyBorder="1" applyAlignment="1">
      <alignment horizontal="center" vertical="center" wrapText="1"/>
    </xf>
    <xf numFmtId="0" fontId="1" fillId="190" borderId="19" xfId="0" applyFont="1" applyFill="1" applyBorder="1" applyAlignment="1">
      <alignment horizontal="center" vertical="center" wrapText="1"/>
    </xf>
    <xf numFmtId="0" fontId="1" fillId="192" borderId="19" xfId="0" applyFont="1" applyFill="1" applyBorder="1" applyAlignment="1">
      <alignment horizontal="center" vertical="center" wrapText="1"/>
    </xf>
    <xf numFmtId="0" fontId="1" fillId="194" borderId="19" xfId="0" applyFont="1" applyFill="1" applyBorder="1" applyAlignment="1">
      <alignment horizontal="center" vertical="center" wrapText="1"/>
    </xf>
    <xf numFmtId="0" fontId="1" fillId="196" borderId="19" xfId="0" applyFont="1" applyFill="1" applyBorder="1" applyAlignment="1">
      <alignment horizontal="center" vertical="center" wrapText="1"/>
    </xf>
    <xf numFmtId="0" fontId="1" fillId="198" borderId="19" xfId="0" applyFont="1" applyFill="1" applyBorder="1" applyAlignment="1">
      <alignment horizontal="center" vertical="center" wrapText="1"/>
    </xf>
    <xf numFmtId="0" fontId="1" fillId="200" borderId="19" xfId="0" applyFont="1" applyFill="1" applyBorder="1" applyAlignment="1">
      <alignment horizontal="center" vertical="center" wrapText="1"/>
    </xf>
    <xf numFmtId="0" fontId="1" fillId="202" borderId="19" xfId="0" applyFont="1" applyFill="1" applyBorder="1" applyAlignment="1">
      <alignment horizontal="center" vertical="center" wrapText="1"/>
    </xf>
    <xf numFmtId="0" fontId="1" fillId="204" borderId="19" xfId="0" applyFont="1" applyFill="1" applyBorder="1" applyAlignment="1">
      <alignment horizontal="center" vertical="center" wrapText="1"/>
    </xf>
    <xf numFmtId="0" fontId="1" fillId="206" borderId="19" xfId="0" applyFont="1" applyFill="1" applyBorder="1" applyAlignment="1">
      <alignment horizontal="center" vertical="center" wrapText="1"/>
    </xf>
    <xf numFmtId="0" fontId="1" fillId="208" borderId="19" xfId="0" applyFont="1" applyFill="1" applyBorder="1" applyAlignment="1">
      <alignment horizontal="center" vertical="center" wrapText="1"/>
    </xf>
    <xf numFmtId="0" fontId="1" fillId="210" borderId="19" xfId="0" applyFont="1" applyFill="1" applyBorder="1" applyAlignment="1">
      <alignment horizontal="center" vertical="center" wrapText="1"/>
    </xf>
    <xf numFmtId="0" fontId="1" fillId="212" borderId="19" xfId="0" applyFont="1" applyFill="1" applyBorder="1" applyAlignment="1">
      <alignment horizontal="center" vertical="center" wrapText="1"/>
    </xf>
    <xf numFmtId="0" fontId="1" fillId="214" borderId="19" xfId="0" applyFont="1" applyFill="1" applyBorder="1" applyAlignment="1">
      <alignment horizontal="center" vertical="center" wrapText="1"/>
    </xf>
    <xf numFmtId="0" fontId="1" fillId="216" borderId="19" xfId="0" applyFont="1" applyFill="1" applyBorder="1" applyAlignment="1">
      <alignment horizontal="center" vertical="center" wrapText="1"/>
    </xf>
    <xf numFmtId="0" fontId="1" fillId="218" borderId="19" xfId="0" applyFont="1" applyFill="1" applyBorder="1" applyAlignment="1">
      <alignment horizontal="center" vertical="center" wrapText="1"/>
    </xf>
    <xf numFmtId="0" fontId="1" fillId="220" borderId="19" xfId="0" applyFont="1" applyFill="1" applyBorder="1" applyAlignment="1">
      <alignment horizontal="center" vertical="center" wrapText="1"/>
    </xf>
    <xf numFmtId="0" fontId="1" fillId="222" borderId="19" xfId="0" applyFont="1" applyFill="1" applyBorder="1" applyAlignment="1">
      <alignment horizontal="center" vertical="center" wrapText="1"/>
    </xf>
    <xf numFmtId="0" fontId="1" fillId="223" borderId="19" xfId="0" applyFont="1" applyFill="1" applyBorder="1" applyAlignment="1">
      <alignment horizontal="center" vertical="center" wrapText="1"/>
    </xf>
    <xf numFmtId="0" fontId="1" fillId="225" borderId="19" xfId="0" applyFont="1" applyFill="1" applyBorder="1" applyAlignment="1">
      <alignment horizontal="center" vertical="center" wrapText="1"/>
    </xf>
    <xf numFmtId="0" fontId="1" fillId="227" borderId="19" xfId="0" applyFont="1" applyFill="1" applyBorder="1" applyAlignment="1">
      <alignment horizontal="center" vertical="center" wrapText="1"/>
    </xf>
    <xf numFmtId="0" fontId="1" fillId="229" borderId="19" xfId="0" applyFont="1" applyFill="1" applyBorder="1" applyAlignment="1">
      <alignment horizontal="center" vertical="center" wrapText="1"/>
    </xf>
    <xf numFmtId="0" fontId="1" fillId="231" borderId="19" xfId="0" applyFont="1" applyFill="1" applyBorder="1" applyAlignment="1">
      <alignment horizontal="center" vertical="center" wrapText="1"/>
    </xf>
    <xf numFmtId="0" fontId="1" fillId="233" borderId="19" xfId="0" applyFont="1" applyFill="1" applyBorder="1" applyAlignment="1">
      <alignment horizontal="center" vertical="center" wrapText="1"/>
    </xf>
    <xf numFmtId="0" fontId="1" fillId="235" borderId="19" xfId="0" applyFont="1" applyFill="1" applyBorder="1" applyAlignment="1">
      <alignment horizontal="center" vertical="center" wrapText="1"/>
    </xf>
    <xf numFmtId="0" fontId="1" fillId="237" borderId="19" xfId="0" applyFont="1" applyFill="1" applyBorder="1" applyAlignment="1">
      <alignment horizontal="center" vertical="center" wrapText="1"/>
    </xf>
    <xf numFmtId="0" fontId="1" fillId="161" borderId="19" xfId="0" applyFont="1" applyFill="1" applyBorder="1" applyAlignment="1">
      <alignment horizontal="center" vertical="center" wrapText="1"/>
    </xf>
    <xf numFmtId="0" fontId="1" fillId="163" borderId="19" xfId="0" applyFont="1" applyFill="1" applyBorder="1" applyAlignment="1">
      <alignment horizontal="center" vertical="center" wrapText="1"/>
    </xf>
    <xf numFmtId="0" fontId="1" fillId="165" borderId="19" xfId="0" applyFont="1" applyFill="1" applyBorder="1" applyAlignment="1">
      <alignment horizontal="center" vertical="center" wrapText="1"/>
    </xf>
    <xf numFmtId="0" fontId="1" fillId="167" borderId="19" xfId="0" applyFont="1" applyFill="1" applyBorder="1" applyAlignment="1">
      <alignment horizontal="center" vertical="center" wrapText="1"/>
    </xf>
    <xf numFmtId="0" fontId="1" fillId="171" borderId="19" xfId="0" applyFont="1" applyFill="1" applyBorder="1" applyAlignment="1">
      <alignment horizontal="center" vertical="center" wrapText="1"/>
    </xf>
    <xf numFmtId="0" fontId="1" fillId="173" borderId="19" xfId="0" applyFont="1" applyFill="1" applyBorder="1" applyAlignment="1">
      <alignment horizontal="center" vertical="center" wrapText="1"/>
    </xf>
    <xf numFmtId="0" fontId="1" fillId="175" borderId="19" xfId="0" applyFont="1" applyFill="1" applyBorder="1" applyAlignment="1">
      <alignment horizontal="center" vertical="center" wrapText="1"/>
    </xf>
    <xf numFmtId="0" fontId="1" fillId="177" borderId="19" xfId="0" applyFont="1" applyFill="1" applyBorder="1" applyAlignment="1">
      <alignment horizontal="center" vertical="center" wrapText="1"/>
    </xf>
    <xf numFmtId="0" fontId="1" fillId="179" borderId="19" xfId="0" applyFont="1" applyFill="1" applyBorder="1" applyAlignment="1">
      <alignment horizontal="center" vertical="center" wrapText="1"/>
    </xf>
    <xf numFmtId="0" fontId="1" fillId="181" borderId="19" xfId="0" applyFont="1" applyFill="1" applyBorder="1" applyAlignment="1">
      <alignment horizontal="center" vertical="center" wrapText="1"/>
    </xf>
    <xf numFmtId="0" fontId="1" fillId="169" borderId="19" xfId="0" applyFont="1" applyFill="1" applyBorder="1" applyAlignment="1">
      <alignment horizontal="center" vertical="center" wrapText="1"/>
    </xf>
    <xf numFmtId="0" fontId="1" fillId="183" borderId="19" xfId="0" applyFont="1" applyFill="1" applyBorder="1" applyAlignment="1">
      <alignment horizontal="center" vertical="center" wrapText="1"/>
    </xf>
    <xf numFmtId="0" fontId="1" fillId="185" borderId="19" xfId="0" applyFont="1" applyFill="1" applyBorder="1" applyAlignment="1">
      <alignment horizontal="center" vertical="center" wrapText="1"/>
    </xf>
    <xf numFmtId="0" fontId="1" fillId="187" borderId="19" xfId="0" applyFont="1" applyFill="1" applyBorder="1" applyAlignment="1">
      <alignment horizontal="center" vertical="center" wrapText="1"/>
    </xf>
    <xf numFmtId="0" fontId="1" fillId="189" borderId="19" xfId="0" applyFont="1" applyFill="1" applyBorder="1" applyAlignment="1">
      <alignment horizontal="center" vertical="center" wrapText="1"/>
    </xf>
    <xf numFmtId="0" fontId="1" fillId="191" borderId="19" xfId="0" applyFont="1" applyFill="1" applyBorder="1" applyAlignment="1">
      <alignment horizontal="center" vertical="center" wrapText="1"/>
    </xf>
    <xf numFmtId="0" fontId="1" fillId="193" borderId="19" xfId="0" applyFont="1" applyFill="1" applyBorder="1" applyAlignment="1">
      <alignment horizontal="center" vertical="center" wrapText="1"/>
    </xf>
    <xf numFmtId="0" fontId="1" fillId="195" borderId="19" xfId="0" applyFont="1" applyFill="1" applyBorder="1" applyAlignment="1">
      <alignment horizontal="center" vertical="center" wrapText="1"/>
    </xf>
    <xf numFmtId="0" fontId="1" fillId="197" borderId="19" xfId="0" applyFont="1" applyFill="1" applyBorder="1" applyAlignment="1">
      <alignment horizontal="center" vertical="center" wrapText="1"/>
    </xf>
    <xf numFmtId="0" fontId="1" fillId="199" borderId="19" xfId="0" applyFont="1" applyFill="1" applyBorder="1" applyAlignment="1">
      <alignment horizontal="center" vertical="center" wrapText="1"/>
    </xf>
    <xf numFmtId="0" fontId="1" fillId="201" borderId="19" xfId="0" applyFont="1" applyFill="1" applyBorder="1" applyAlignment="1">
      <alignment horizontal="center" vertical="center" wrapText="1"/>
    </xf>
    <xf numFmtId="0" fontId="1" fillId="203" borderId="19" xfId="0" applyFont="1" applyFill="1" applyBorder="1" applyAlignment="1">
      <alignment horizontal="center" vertical="center" wrapText="1"/>
    </xf>
    <xf numFmtId="0" fontId="1" fillId="205" borderId="19" xfId="0" applyFont="1" applyFill="1" applyBorder="1" applyAlignment="1">
      <alignment horizontal="center" vertical="center" wrapText="1"/>
    </xf>
    <xf numFmtId="0" fontId="1" fillId="207" borderId="19" xfId="0" applyFont="1" applyFill="1" applyBorder="1" applyAlignment="1">
      <alignment horizontal="center" vertical="center" wrapText="1"/>
    </xf>
    <xf numFmtId="0" fontId="1" fillId="209" borderId="19" xfId="0" applyFont="1" applyFill="1" applyBorder="1" applyAlignment="1">
      <alignment horizontal="center" vertical="center" wrapText="1"/>
    </xf>
    <xf numFmtId="0" fontId="1" fillId="211" borderId="19" xfId="0" applyFont="1" applyFill="1" applyBorder="1" applyAlignment="1">
      <alignment horizontal="center" vertical="center" wrapText="1"/>
    </xf>
    <xf numFmtId="0" fontId="1" fillId="213" borderId="19" xfId="0" applyFont="1" applyFill="1" applyBorder="1" applyAlignment="1">
      <alignment horizontal="center" vertical="center" wrapText="1"/>
    </xf>
    <xf numFmtId="0" fontId="1" fillId="215" borderId="19" xfId="0" applyFont="1" applyFill="1" applyBorder="1" applyAlignment="1">
      <alignment horizontal="center" vertical="center" wrapText="1"/>
    </xf>
    <xf numFmtId="0" fontId="1" fillId="217" borderId="19" xfId="0" applyFont="1" applyFill="1" applyBorder="1" applyAlignment="1">
      <alignment horizontal="center" vertical="center" wrapText="1"/>
    </xf>
    <xf numFmtId="0" fontId="1" fillId="219" borderId="19" xfId="0" applyFont="1" applyFill="1" applyBorder="1" applyAlignment="1">
      <alignment horizontal="center" vertical="center" wrapText="1"/>
    </xf>
    <xf numFmtId="0" fontId="1" fillId="221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224" borderId="19" xfId="0" applyFont="1" applyFill="1" applyBorder="1" applyAlignment="1">
      <alignment horizontal="center" vertical="center" wrapText="1"/>
    </xf>
    <xf numFmtId="0" fontId="1" fillId="226" borderId="19" xfId="0" applyFont="1" applyFill="1" applyBorder="1" applyAlignment="1">
      <alignment horizontal="center" vertical="center" wrapText="1"/>
    </xf>
    <xf numFmtId="0" fontId="1" fillId="228" borderId="19" xfId="0" applyFont="1" applyFill="1" applyBorder="1" applyAlignment="1">
      <alignment horizontal="center" vertical="center" wrapText="1"/>
    </xf>
    <xf numFmtId="0" fontId="1" fillId="230" borderId="19" xfId="0" applyFont="1" applyFill="1" applyBorder="1" applyAlignment="1">
      <alignment horizontal="center" vertical="center" wrapText="1"/>
    </xf>
    <xf numFmtId="0" fontId="1" fillId="232" borderId="19" xfId="0" applyFont="1" applyFill="1" applyBorder="1" applyAlignment="1">
      <alignment horizontal="center" vertical="center" wrapText="1"/>
    </xf>
    <xf numFmtId="0" fontId="1" fillId="234" borderId="19" xfId="0" applyFont="1" applyFill="1" applyBorder="1" applyAlignment="1">
      <alignment horizontal="center" vertical="center" wrapText="1"/>
    </xf>
    <xf numFmtId="0" fontId="1" fillId="236" borderId="19" xfId="0" applyFont="1" applyFill="1" applyBorder="1" applyAlignment="1">
      <alignment horizontal="center" vertical="center" wrapText="1"/>
    </xf>
    <xf numFmtId="0" fontId="1" fillId="238" borderId="19" xfId="0" applyFont="1" applyFill="1" applyBorder="1" applyAlignment="1">
      <alignment horizontal="center" vertical="center" wrapText="1"/>
    </xf>
    <xf numFmtId="0" fontId="1" fillId="239" borderId="19" xfId="0" applyFont="1" applyFill="1" applyBorder="1" applyAlignment="1">
      <alignment horizontal="center" vertical="center" wrapText="1"/>
    </xf>
    <xf numFmtId="0" fontId="1" fillId="241" borderId="19" xfId="0" applyFont="1" applyFill="1" applyBorder="1" applyAlignment="1">
      <alignment horizontal="center" vertical="center" wrapText="1"/>
    </xf>
    <xf numFmtId="0" fontId="1" fillId="243" borderId="19" xfId="0" applyFont="1" applyFill="1" applyBorder="1" applyAlignment="1">
      <alignment horizontal="center" vertical="center" wrapText="1"/>
    </xf>
    <xf numFmtId="0" fontId="1" fillId="245" borderId="19" xfId="0" applyFont="1" applyFill="1" applyBorder="1" applyAlignment="1">
      <alignment horizontal="center" vertical="center" wrapText="1"/>
    </xf>
    <xf numFmtId="0" fontId="1" fillId="247" borderId="19" xfId="0" applyFont="1" applyFill="1" applyBorder="1" applyAlignment="1">
      <alignment horizontal="center" vertical="center" wrapText="1"/>
    </xf>
    <xf numFmtId="0" fontId="1" fillId="249" borderId="19" xfId="0" applyFont="1" applyFill="1" applyBorder="1" applyAlignment="1">
      <alignment horizontal="center" vertical="center" wrapText="1"/>
    </xf>
    <xf numFmtId="0" fontId="1" fillId="251" borderId="19" xfId="0" applyFont="1" applyFill="1" applyBorder="1" applyAlignment="1">
      <alignment horizontal="center" vertical="center" wrapText="1"/>
    </xf>
    <xf numFmtId="0" fontId="1" fillId="253" borderId="19" xfId="0" applyFont="1" applyFill="1" applyBorder="1" applyAlignment="1">
      <alignment horizontal="center" vertical="center" wrapText="1"/>
    </xf>
    <xf numFmtId="0" fontId="1" fillId="255" borderId="19" xfId="0" applyFont="1" applyFill="1" applyBorder="1" applyAlignment="1">
      <alignment horizontal="center" vertical="center" wrapText="1"/>
    </xf>
    <xf numFmtId="0" fontId="1" fillId="257" borderId="19" xfId="0" applyFont="1" applyFill="1" applyBorder="1" applyAlignment="1">
      <alignment horizontal="center" vertical="center" wrapText="1"/>
    </xf>
    <xf numFmtId="0" fontId="1" fillId="259" borderId="19" xfId="0" applyFont="1" applyFill="1" applyBorder="1" applyAlignment="1">
      <alignment horizontal="center" vertical="center" wrapText="1"/>
    </xf>
    <xf numFmtId="0" fontId="1" fillId="261" borderId="19" xfId="0" applyFont="1" applyFill="1" applyBorder="1" applyAlignment="1">
      <alignment horizontal="center" vertical="center" wrapText="1"/>
    </xf>
    <xf numFmtId="0" fontId="1" fillId="263" borderId="19" xfId="0" applyFont="1" applyFill="1" applyBorder="1" applyAlignment="1">
      <alignment horizontal="center" vertical="center" wrapText="1"/>
    </xf>
    <xf numFmtId="0" fontId="1" fillId="265" borderId="19" xfId="0" applyFont="1" applyFill="1" applyBorder="1" applyAlignment="1">
      <alignment horizontal="center" vertical="center" wrapText="1"/>
    </xf>
    <xf numFmtId="0" fontId="1" fillId="267" borderId="19" xfId="0" applyFont="1" applyFill="1" applyBorder="1" applyAlignment="1">
      <alignment horizontal="center" vertical="center" wrapText="1"/>
    </xf>
    <xf numFmtId="0" fontId="1" fillId="269" borderId="19" xfId="0" applyFont="1" applyFill="1" applyBorder="1" applyAlignment="1">
      <alignment horizontal="center" vertical="center" wrapText="1"/>
    </xf>
    <xf numFmtId="0" fontId="1" fillId="271" borderId="19" xfId="0" applyFont="1" applyFill="1" applyBorder="1" applyAlignment="1">
      <alignment horizontal="center" vertical="center" wrapText="1"/>
    </xf>
    <xf numFmtId="0" fontId="1" fillId="273" borderId="19" xfId="0" applyFont="1" applyFill="1" applyBorder="1" applyAlignment="1">
      <alignment horizontal="center" vertical="center" wrapText="1"/>
    </xf>
    <xf numFmtId="0" fontId="1" fillId="275" borderId="19" xfId="0" applyFont="1" applyFill="1" applyBorder="1" applyAlignment="1">
      <alignment horizontal="center" vertical="center" wrapText="1"/>
    </xf>
    <xf numFmtId="0" fontId="1" fillId="277" borderId="19" xfId="0" applyFont="1" applyFill="1" applyBorder="1" applyAlignment="1">
      <alignment horizontal="center" vertical="center" wrapText="1"/>
    </xf>
    <xf numFmtId="0" fontId="1" fillId="279" borderId="19" xfId="0" applyFont="1" applyFill="1" applyBorder="1" applyAlignment="1">
      <alignment horizontal="center" vertical="center" wrapText="1"/>
    </xf>
    <xf numFmtId="0" fontId="1" fillId="281" borderId="19" xfId="0" applyFont="1" applyFill="1" applyBorder="1" applyAlignment="1">
      <alignment horizontal="center" vertical="center" wrapText="1"/>
    </xf>
    <xf numFmtId="0" fontId="1" fillId="283" borderId="19" xfId="0" applyFont="1" applyFill="1" applyBorder="1" applyAlignment="1">
      <alignment horizontal="center" vertical="center" wrapText="1"/>
    </xf>
    <xf numFmtId="0" fontId="1" fillId="285" borderId="19" xfId="0" applyFont="1" applyFill="1" applyBorder="1" applyAlignment="1">
      <alignment horizontal="center" vertical="center" wrapText="1"/>
    </xf>
    <xf numFmtId="0" fontId="1" fillId="287" borderId="19" xfId="0" applyFont="1" applyFill="1" applyBorder="1" applyAlignment="1">
      <alignment horizontal="center" vertical="center" wrapText="1"/>
    </xf>
    <xf numFmtId="0" fontId="1" fillId="289" borderId="19" xfId="0" applyFont="1" applyFill="1" applyBorder="1" applyAlignment="1">
      <alignment horizontal="center" vertical="center" wrapText="1"/>
    </xf>
    <xf numFmtId="0" fontId="1" fillId="291" borderId="19" xfId="0" applyFont="1" applyFill="1" applyBorder="1" applyAlignment="1">
      <alignment horizontal="center" vertical="center" wrapText="1"/>
    </xf>
    <xf numFmtId="0" fontId="1" fillId="293" borderId="19" xfId="0" applyFont="1" applyFill="1" applyBorder="1" applyAlignment="1">
      <alignment horizontal="center" vertical="center" wrapText="1"/>
    </xf>
    <xf numFmtId="0" fontId="1" fillId="295" borderId="19" xfId="0" applyFont="1" applyFill="1" applyBorder="1" applyAlignment="1">
      <alignment horizontal="center" vertical="center" wrapText="1"/>
    </xf>
    <xf numFmtId="0" fontId="1" fillId="297" borderId="19" xfId="0" applyFont="1" applyFill="1" applyBorder="1" applyAlignment="1">
      <alignment horizontal="center" vertical="center" wrapText="1"/>
    </xf>
    <xf numFmtId="0" fontId="1" fillId="299" borderId="19" xfId="0" applyFont="1" applyFill="1" applyBorder="1" applyAlignment="1">
      <alignment horizontal="center" vertical="center" wrapText="1"/>
    </xf>
    <xf numFmtId="0" fontId="1" fillId="301" borderId="19" xfId="0" applyFont="1" applyFill="1" applyBorder="1" applyAlignment="1">
      <alignment horizontal="center" vertical="center" wrapText="1"/>
    </xf>
    <xf numFmtId="0" fontId="1" fillId="303" borderId="19" xfId="0" applyFont="1" applyFill="1" applyBorder="1" applyAlignment="1">
      <alignment horizontal="center" vertical="center" wrapText="1"/>
    </xf>
    <xf numFmtId="0" fontId="1" fillId="305" borderId="19" xfId="0" applyFont="1" applyFill="1" applyBorder="1" applyAlignment="1">
      <alignment horizontal="center" vertical="center" wrapText="1"/>
    </xf>
    <xf numFmtId="0" fontId="1" fillId="307" borderId="19" xfId="0" applyFont="1" applyFill="1" applyBorder="1" applyAlignment="1">
      <alignment horizontal="center" vertical="center" wrapText="1"/>
    </xf>
    <xf numFmtId="0" fontId="1" fillId="309" borderId="19" xfId="0" applyFont="1" applyFill="1" applyBorder="1" applyAlignment="1">
      <alignment horizontal="center" vertical="center" wrapText="1"/>
    </xf>
    <xf numFmtId="0" fontId="1" fillId="311" borderId="19" xfId="0" applyFont="1" applyFill="1" applyBorder="1" applyAlignment="1">
      <alignment horizontal="center" vertical="center" wrapText="1"/>
    </xf>
    <xf numFmtId="0" fontId="1" fillId="313" borderId="19" xfId="0" applyFont="1" applyFill="1" applyBorder="1" applyAlignment="1">
      <alignment horizontal="center" vertical="center" wrapText="1"/>
    </xf>
    <xf numFmtId="0" fontId="1" fillId="315" borderId="19" xfId="0" applyFont="1" applyFill="1" applyBorder="1" applyAlignment="1">
      <alignment horizontal="center" vertical="center" wrapText="1"/>
    </xf>
    <xf numFmtId="0" fontId="1" fillId="317" borderId="19" xfId="0" applyFont="1" applyFill="1" applyBorder="1" applyAlignment="1">
      <alignment horizontal="center" vertical="center" wrapText="1"/>
    </xf>
    <xf numFmtId="0" fontId="1" fillId="240" borderId="19" xfId="0" applyFont="1" applyFill="1" applyBorder="1" applyAlignment="1">
      <alignment horizontal="center" vertical="center" wrapText="1"/>
    </xf>
    <xf numFmtId="0" fontId="1" fillId="242" borderId="19" xfId="0" applyFont="1" applyFill="1" applyBorder="1" applyAlignment="1">
      <alignment horizontal="center" vertical="center" wrapText="1"/>
    </xf>
    <xf numFmtId="0" fontId="1" fillId="244" borderId="19" xfId="0" applyFont="1" applyFill="1" applyBorder="1" applyAlignment="1">
      <alignment horizontal="center" vertical="center" wrapText="1"/>
    </xf>
    <xf numFmtId="0" fontId="1" fillId="246" borderId="19" xfId="0" applyFont="1" applyFill="1" applyBorder="1" applyAlignment="1">
      <alignment horizontal="center" vertical="center" wrapText="1"/>
    </xf>
    <xf numFmtId="0" fontId="1" fillId="248" borderId="19" xfId="0" applyFont="1" applyFill="1" applyBorder="1" applyAlignment="1">
      <alignment horizontal="center" vertical="center" wrapText="1"/>
    </xf>
    <xf numFmtId="0" fontId="1" fillId="250" borderId="19" xfId="0" applyFont="1" applyFill="1" applyBorder="1" applyAlignment="1">
      <alignment horizontal="center" vertical="center" wrapText="1"/>
    </xf>
    <xf numFmtId="0" fontId="1" fillId="252" borderId="19" xfId="0" applyFont="1" applyFill="1" applyBorder="1" applyAlignment="1">
      <alignment horizontal="center" vertical="center" wrapText="1"/>
    </xf>
    <xf numFmtId="0" fontId="1" fillId="254" borderId="19" xfId="0" applyFont="1" applyFill="1" applyBorder="1" applyAlignment="1">
      <alignment horizontal="center" vertical="center" wrapText="1"/>
    </xf>
    <xf numFmtId="0" fontId="1" fillId="256" borderId="19" xfId="0" applyFont="1" applyFill="1" applyBorder="1" applyAlignment="1">
      <alignment horizontal="center" vertical="center" wrapText="1"/>
    </xf>
    <xf numFmtId="0" fontId="1" fillId="258" borderId="19" xfId="0" applyFont="1" applyFill="1" applyBorder="1" applyAlignment="1">
      <alignment horizontal="center" vertical="center" wrapText="1"/>
    </xf>
    <xf numFmtId="0" fontId="1" fillId="260" borderId="19" xfId="0" applyFont="1" applyFill="1" applyBorder="1" applyAlignment="1">
      <alignment horizontal="center" vertical="center" wrapText="1"/>
    </xf>
    <xf numFmtId="0" fontId="1" fillId="262" borderId="19" xfId="0" applyFont="1" applyFill="1" applyBorder="1" applyAlignment="1">
      <alignment horizontal="center" vertical="center" wrapText="1"/>
    </xf>
    <xf numFmtId="0" fontId="1" fillId="264" borderId="19" xfId="0" applyFont="1" applyFill="1" applyBorder="1" applyAlignment="1">
      <alignment horizontal="center" vertical="center" wrapText="1"/>
    </xf>
    <xf numFmtId="0" fontId="1" fillId="266" borderId="19" xfId="0" applyFont="1" applyFill="1" applyBorder="1" applyAlignment="1">
      <alignment horizontal="center" vertical="center" wrapText="1"/>
    </xf>
    <xf numFmtId="0" fontId="1" fillId="268" borderId="19" xfId="0" applyFont="1" applyFill="1" applyBorder="1" applyAlignment="1">
      <alignment horizontal="center" vertical="center" wrapText="1"/>
    </xf>
    <xf numFmtId="0" fontId="1" fillId="1026" borderId="19" xfId="0" applyFont="1" applyFill="1" applyBorder="1" applyAlignment="1">
      <alignment horizontal="center" vertical="center" wrapText="1"/>
    </xf>
    <xf numFmtId="0" fontId="1" fillId="270" borderId="19" xfId="0" applyFont="1" applyFill="1" applyBorder="1" applyAlignment="1">
      <alignment horizontal="center" vertical="center" wrapText="1"/>
    </xf>
    <xf numFmtId="0" fontId="1" fillId="272" borderId="19" xfId="0" applyFont="1" applyFill="1" applyBorder="1" applyAlignment="1">
      <alignment horizontal="center" vertical="center" wrapText="1"/>
    </xf>
    <xf numFmtId="0" fontId="1" fillId="274" borderId="19" xfId="0" applyFont="1" applyFill="1" applyBorder="1" applyAlignment="1">
      <alignment horizontal="center" vertical="center" wrapText="1"/>
    </xf>
    <xf numFmtId="0" fontId="1" fillId="276" borderId="19" xfId="0" applyFont="1" applyFill="1" applyBorder="1" applyAlignment="1">
      <alignment horizontal="center" vertical="center" wrapText="1"/>
    </xf>
    <xf numFmtId="0" fontId="1" fillId="278" borderId="19" xfId="0" applyFont="1" applyFill="1" applyBorder="1" applyAlignment="1">
      <alignment horizontal="center" vertical="center" wrapText="1"/>
    </xf>
    <xf numFmtId="0" fontId="1" fillId="280" borderId="19" xfId="0" applyFont="1" applyFill="1" applyBorder="1" applyAlignment="1">
      <alignment horizontal="center" vertical="center" wrapText="1"/>
    </xf>
    <xf numFmtId="0" fontId="1" fillId="282" borderId="19" xfId="0" applyFont="1" applyFill="1" applyBorder="1" applyAlignment="1">
      <alignment horizontal="center" vertical="center" wrapText="1"/>
    </xf>
    <xf numFmtId="0" fontId="1" fillId="284" borderId="19" xfId="0" applyFont="1" applyFill="1" applyBorder="1" applyAlignment="1">
      <alignment horizontal="center" vertical="center" wrapText="1"/>
    </xf>
    <xf numFmtId="0" fontId="1" fillId="286" borderId="19" xfId="0" applyFont="1" applyFill="1" applyBorder="1" applyAlignment="1">
      <alignment horizontal="center" vertical="center" wrapText="1"/>
    </xf>
    <xf numFmtId="0" fontId="1" fillId="288" borderId="19" xfId="0" applyFont="1" applyFill="1" applyBorder="1" applyAlignment="1">
      <alignment horizontal="center" vertical="center" wrapText="1"/>
    </xf>
    <xf numFmtId="0" fontId="1" fillId="290" borderId="19" xfId="0" applyFont="1" applyFill="1" applyBorder="1" applyAlignment="1">
      <alignment horizontal="center" vertical="center" wrapText="1"/>
    </xf>
    <xf numFmtId="0" fontId="1" fillId="292" borderId="19" xfId="0" applyFont="1" applyFill="1" applyBorder="1" applyAlignment="1">
      <alignment horizontal="center" vertical="center" wrapText="1"/>
    </xf>
    <xf numFmtId="0" fontId="1" fillId="294" borderId="19" xfId="0" applyFont="1" applyFill="1" applyBorder="1" applyAlignment="1">
      <alignment horizontal="center" vertical="center" wrapText="1"/>
    </xf>
    <xf numFmtId="0" fontId="1" fillId="296" borderId="19" xfId="0" applyFont="1" applyFill="1" applyBorder="1" applyAlignment="1">
      <alignment horizontal="center" vertical="center" wrapText="1"/>
    </xf>
    <xf numFmtId="0" fontId="1" fillId="298" borderId="19" xfId="0" applyFont="1" applyFill="1" applyBorder="1" applyAlignment="1">
      <alignment horizontal="center" vertical="center" wrapText="1"/>
    </xf>
    <xf numFmtId="0" fontId="1" fillId="300" borderId="19" xfId="0" applyFont="1" applyFill="1" applyBorder="1" applyAlignment="1">
      <alignment horizontal="center" vertical="center" wrapText="1"/>
    </xf>
    <xf numFmtId="0" fontId="1" fillId="302" borderId="19" xfId="0" applyFont="1" applyFill="1" applyBorder="1" applyAlignment="1">
      <alignment horizontal="center" vertical="center" wrapText="1"/>
    </xf>
    <xf numFmtId="0" fontId="1" fillId="304" borderId="19" xfId="0" applyFont="1" applyFill="1" applyBorder="1" applyAlignment="1">
      <alignment horizontal="center" vertical="center" wrapText="1"/>
    </xf>
    <xf numFmtId="0" fontId="1" fillId="306" borderId="19" xfId="0" applyFont="1" applyFill="1" applyBorder="1" applyAlignment="1">
      <alignment horizontal="center" vertical="center" wrapText="1"/>
    </xf>
    <xf numFmtId="0" fontId="1" fillId="308" borderId="19" xfId="0" applyFont="1" applyFill="1" applyBorder="1" applyAlignment="1">
      <alignment horizontal="center" vertical="center" wrapText="1"/>
    </xf>
    <xf numFmtId="0" fontId="1" fillId="310" borderId="19" xfId="0" applyFont="1" applyFill="1" applyBorder="1" applyAlignment="1">
      <alignment horizontal="center" vertical="center" wrapText="1"/>
    </xf>
    <xf numFmtId="0" fontId="1" fillId="312" borderId="19" xfId="0" applyFont="1" applyFill="1" applyBorder="1" applyAlignment="1">
      <alignment horizontal="center" vertical="center" wrapText="1"/>
    </xf>
    <xf numFmtId="0" fontId="1" fillId="314" borderId="19" xfId="0" applyFont="1" applyFill="1" applyBorder="1" applyAlignment="1">
      <alignment horizontal="center" vertical="center" wrapText="1"/>
    </xf>
    <xf numFmtId="0" fontId="1" fillId="316" borderId="19" xfId="0" applyFont="1" applyFill="1" applyBorder="1" applyAlignment="1">
      <alignment horizontal="center" vertical="center" wrapText="1"/>
    </xf>
    <xf numFmtId="0" fontId="1" fillId="318" borderId="19" xfId="0" applyFont="1" applyFill="1" applyBorder="1" applyAlignment="1">
      <alignment horizontal="center" vertical="center" wrapText="1"/>
    </xf>
    <xf numFmtId="0" fontId="1" fillId="319" borderId="19" xfId="0" applyFont="1" applyFill="1" applyBorder="1" applyAlignment="1">
      <alignment horizontal="center" vertical="center" wrapText="1"/>
    </xf>
    <xf numFmtId="0" fontId="1" fillId="321" borderId="19" xfId="0" applyFont="1" applyFill="1" applyBorder="1" applyAlignment="1">
      <alignment horizontal="center" vertical="center" wrapText="1"/>
    </xf>
    <xf numFmtId="0" fontId="1" fillId="323" borderId="19" xfId="0" applyFont="1" applyFill="1" applyBorder="1" applyAlignment="1">
      <alignment horizontal="center" vertical="center" wrapText="1"/>
    </xf>
    <xf numFmtId="0" fontId="1" fillId="325" borderId="19" xfId="0" applyFont="1" applyFill="1" applyBorder="1" applyAlignment="1">
      <alignment horizontal="center" vertical="center" wrapText="1"/>
    </xf>
    <xf numFmtId="0" fontId="1" fillId="327" borderId="19" xfId="0" applyFont="1" applyFill="1" applyBorder="1" applyAlignment="1">
      <alignment horizontal="center" vertical="center" wrapText="1"/>
    </xf>
    <xf numFmtId="0" fontId="1" fillId="329" borderId="19" xfId="0" applyFont="1" applyFill="1" applyBorder="1" applyAlignment="1">
      <alignment horizontal="center" vertical="center" wrapText="1"/>
    </xf>
    <xf numFmtId="0" fontId="1" fillId="331" borderId="19" xfId="0" applyFont="1" applyFill="1" applyBorder="1" applyAlignment="1">
      <alignment horizontal="center" vertical="center" wrapText="1"/>
    </xf>
    <xf numFmtId="0" fontId="1" fillId="333" borderId="19" xfId="0" applyFont="1" applyFill="1" applyBorder="1" applyAlignment="1">
      <alignment horizontal="center" vertical="center" wrapText="1"/>
    </xf>
    <xf numFmtId="0" fontId="1" fillId="335" borderId="19" xfId="0" applyFont="1" applyFill="1" applyBorder="1" applyAlignment="1">
      <alignment horizontal="center" vertical="center" wrapText="1"/>
    </xf>
    <xf numFmtId="0" fontId="1" fillId="337" borderId="19" xfId="0" applyFont="1" applyFill="1" applyBorder="1" applyAlignment="1">
      <alignment horizontal="center" vertical="center" wrapText="1"/>
    </xf>
    <xf numFmtId="0" fontId="1" fillId="339" borderId="19" xfId="0" applyFont="1" applyFill="1" applyBorder="1" applyAlignment="1">
      <alignment horizontal="center" vertical="center" wrapText="1"/>
    </xf>
    <xf numFmtId="0" fontId="1" fillId="341" borderId="19" xfId="0" applyFont="1" applyFill="1" applyBorder="1" applyAlignment="1">
      <alignment horizontal="center" vertical="center" wrapText="1"/>
    </xf>
    <xf numFmtId="0" fontId="1" fillId="343" borderId="19" xfId="0" applyFont="1" applyFill="1" applyBorder="1" applyAlignment="1">
      <alignment horizontal="center" vertical="center" wrapText="1"/>
    </xf>
    <xf numFmtId="0" fontId="1" fillId="345" borderId="19" xfId="0" applyFont="1" applyFill="1" applyBorder="1" applyAlignment="1">
      <alignment horizontal="center" vertical="center" wrapText="1"/>
    </xf>
    <xf numFmtId="0" fontId="1" fillId="347" borderId="19" xfId="0" applyFont="1" applyFill="1" applyBorder="1" applyAlignment="1">
      <alignment horizontal="center" vertical="center" wrapText="1"/>
    </xf>
    <xf numFmtId="0" fontId="1" fillId="349" borderId="19" xfId="0" applyFont="1" applyFill="1" applyBorder="1" applyAlignment="1">
      <alignment horizontal="center" vertical="center" wrapText="1"/>
    </xf>
    <xf numFmtId="0" fontId="1" fillId="351" borderId="19" xfId="0" applyFont="1" applyFill="1" applyBorder="1" applyAlignment="1">
      <alignment horizontal="center" vertical="center" wrapText="1"/>
    </xf>
    <xf numFmtId="0" fontId="1" fillId="353" borderId="19" xfId="0" applyFont="1" applyFill="1" applyBorder="1" applyAlignment="1">
      <alignment horizontal="center" vertical="center" wrapText="1"/>
    </xf>
    <xf numFmtId="0" fontId="1" fillId="355" borderId="19" xfId="0" applyFont="1" applyFill="1" applyBorder="1" applyAlignment="1">
      <alignment horizontal="center" vertical="center" wrapText="1"/>
    </xf>
    <xf numFmtId="0" fontId="1" fillId="357" borderId="19" xfId="0" applyFont="1" applyFill="1" applyBorder="1" applyAlignment="1">
      <alignment horizontal="center" vertical="center" wrapText="1"/>
    </xf>
    <xf numFmtId="0" fontId="1" fillId="359" borderId="19" xfId="0" applyFont="1" applyFill="1" applyBorder="1" applyAlignment="1">
      <alignment horizontal="center" vertical="center" wrapText="1"/>
    </xf>
    <xf numFmtId="0" fontId="1" fillId="361" borderId="19" xfId="0" applyFont="1" applyFill="1" applyBorder="1" applyAlignment="1">
      <alignment horizontal="center" vertical="center" wrapText="1"/>
    </xf>
    <xf numFmtId="0" fontId="1" fillId="363" borderId="19" xfId="0" applyFont="1" applyFill="1" applyBorder="1" applyAlignment="1">
      <alignment horizontal="center" vertical="center" wrapText="1"/>
    </xf>
    <xf numFmtId="0" fontId="1" fillId="365" borderId="19" xfId="0" applyFont="1" applyFill="1" applyBorder="1" applyAlignment="1">
      <alignment horizontal="center" vertical="center" wrapText="1"/>
    </xf>
    <xf numFmtId="0" fontId="1" fillId="367" borderId="19" xfId="0" applyFont="1" applyFill="1" applyBorder="1" applyAlignment="1">
      <alignment horizontal="center" vertical="center" wrapText="1"/>
    </xf>
    <xf numFmtId="0" fontId="1" fillId="369" borderId="19" xfId="0" applyFont="1" applyFill="1" applyBorder="1" applyAlignment="1">
      <alignment horizontal="center" vertical="center" wrapText="1"/>
    </xf>
    <xf numFmtId="0" fontId="1" fillId="1027" borderId="19" xfId="0" applyFont="1" applyFill="1" applyBorder="1" applyAlignment="1">
      <alignment horizontal="center" vertical="center" wrapText="1"/>
    </xf>
    <xf numFmtId="0" fontId="1" fillId="371" borderId="19" xfId="0" applyFont="1" applyFill="1" applyBorder="1" applyAlignment="1">
      <alignment horizontal="center" vertical="center" wrapText="1"/>
    </xf>
    <xf numFmtId="0" fontId="1" fillId="373" borderId="19" xfId="0" applyFont="1" applyFill="1" applyBorder="1" applyAlignment="1">
      <alignment horizontal="center" vertical="center" wrapText="1"/>
    </xf>
    <xf numFmtId="0" fontId="1" fillId="375" borderId="19" xfId="0" applyFont="1" applyFill="1" applyBorder="1" applyAlignment="1">
      <alignment horizontal="center" vertical="center" wrapText="1"/>
    </xf>
    <xf numFmtId="0" fontId="1" fillId="377" borderId="19" xfId="0" applyFont="1" applyFill="1" applyBorder="1" applyAlignment="1">
      <alignment horizontal="center" vertical="center" wrapText="1"/>
    </xf>
    <xf numFmtId="0" fontId="1" fillId="379" borderId="19" xfId="0" applyFont="1" applyFill="1" applyBorder="1" applyAlignment="1">
      <alignment horizontal="center" vertical="center" wrapText="1"/>
    </xf>
    <xf numFmtId="0" fontId="1" fillId="381" borderId="19" xfId="0" applyFont="1" applyFill="1" applyBorder="1" applyAlignment="1">
      <alignment horizontal="center" vertical="center" wrapText="1"/>
    </xf>
    <xf numFmtId="0" fontId="1" fillId="383" borderId="19" xfId="0" applyFont="1" applyFill="1" applyBorder="1" applyAlignment="1">
      <alignment horizontal="center" vertical="center" wrapText="1"/>
    </xf>
    <xf numFmtId="0" fontId="1" fillId="385" borderId="19" xfId="0" applyFont="1" applyFill="1" applyBorder="1" applyAlignment="1">
      <alignment horizontal="center" vertical="center" wrapText="1"/>
    </xf>
    <xf numFmtId="0" fontId="1" fillId="387" borderId="19" xfId="0" applyFont="1" applyFill="1" applyBorder="1" applyAlignment="1">
      <alignment horizontal="center" vertical="center" wrapText="1"/>
    </xf>
    <xf numFmtId="0" fontId="1" fillId="389" borderId="19" xfId="0" applyFont="1" applyFill="1" applyBorder="1" applyAlignment="1">
      <alignment horizontal="center" vertical="center" wrapText="1"/>
    </xf>
    <xf numFmtId="0" fontId="1" fillId="391" borderId="19" xfId="0" applyFont="1" applyFill="1" applyBorder="1" applyAlignment="1">
      <alignment horizontal="center" vertical="center" wrapText="1"/>
    </xf>
    <xf numFmtId="0" fontId="1" fillId="393" borderId="19" xfId="0" applyFont="1" applyFill="1" applyBorder="1" applyAlignment="1">
      <alignment horizontal="center" vertical="center" wrapText="1"/>
    </xf>
    <xf numFmtId="0" fontId="1" fillId="395" borderId="19" xfId="0" applyFont="1" applyFill="1" applyBorder="1" applyAlignment="1">
      <alignment horizontal="center" vertical="center" wrapText="1"/>
    </xf>
    <xf numFmtId="0" fontId="1" fillId="397" borderId="19" xfId="0" applyFont="1" applyFill="1" applyBorder="1" applyAlignment="1">
      <alignment horizontal="center" vertical="center" wrapText="1"/>
    </xf>
    <xf numFmtId="0" fontId="1" fillId="320" borderId="19" xfId="0" applyFont="1" applyFill="1" applyBorder="1" applyAlignment="1">
      <alignment horizontal="center" vertical="center" wrapText="1"/>
    </xf>
    <xf numFmtId="0" fontId="1" fillId="322" borderId="19" xfId="0" applyFont="1" applyFill="1" applyBorder="1" applyAlignment="1">
      <alignment horizontal="center" vertical="center" wrapText="1"/>
    </xf>
    <xf numFmtId="0" fontId="1" fillId="324" borderId="19" xfId="0" applyFont="1" applyFill="1" applyBorder="1" applyAlignment="1">
      <alignment horizontal="center" vertical="center" wrapText="1"/>
    </xf>
    <xf numFmtId="0" fontId="1" fillId="326" borderId="19" xfId="0" applyFont="1" applyFill="1" applyBorder="1" applyAlignment="1">
      <alignment horizontal="center" vertical="center" wrapText="1"/>
    </xf>
    <xf numFmtId="0" fontId="1" fillId="328" borderId="19" xfId="0" applyFont="1" applyFill="1" applyBorder="1" applyAlignment="1">
      <alignment horizontal="center" vertical="center" wrapText="1"/>
    </xf>
    <xf numFmtId="0" fontId="1" fillId="330" borderId="19" xfId="0" applyFont="1" applyFill="1" applyBorder="1" applyAlignment="1">
      <alignment horizontal="center" vertical="center" wrapText="1"/>
    </xf>
    <xf numFmtId="0" fontId="1" fillId="332" borderId="19" xfId="0" applyFont="1" applyFill="1" applyBorder="1" applyAlignment="1">
      <alignment horizontal="center" vertical="center" wrapText="1"/>
    </xf>
    <xf numFmtId="0" fontId="1" fillId="334" borderId="19" xfId="0" applyFont="1" applyFill="1" applyBorder="1" applyAlignment="1">
      <alignment horizontal="center" vertical="center" wrapText="1"/>
    </xf>
    <xf numFmtId="0" fontId="1" fillId="336" borderId="19" xfId="0" applyFont="1" applyFill="1" applyBorder="1" applyAlignment="1">
      <alignment horizontal="center" vertical="center" wrapText="1"/>
    </xf>
    <xf numFmtId="0" fontId="1" fillId="338" borderId="19" xfId="0" applyFont="1" applyFill="1" applyBorder="1" applyAlignment="1">
      <alignment horizontal="center" vertical="center" wrapText="1"/>
    </xf>
    <xf numFmtId="0" fontId="1" fillId="340" borderId="19" xfId="0" applyFont="1" applyFill="1" applyBorder="1" applyAlignment="1">
      <alignment horizontal="center" vertical="center" wrapText="1"/>
    </xf>
    <xf numFmtId="0" fontId="1" fillId="342" borderId="19" xfId="0" applyFont="1" applyFill="1" applyBorder="1" applyAlignment="1">
      <alignment horizontal="center" vertical="center" wrapText="1"/>
    </xf>
    <xf numFmtId="0" fontId="1" fillId="344" borderId="19" xfId="0" applyFont="1" applyFill="1" applyBorder="1" applyAlignment="1">
      <alignment horizontal="center" vertical="center" wrapText="1"/>
    </xf>
    <xf numFmtId="0" fontId="1" fillId="346" borderId="19" xfId="0" applyFont="1" applyFill="1" applyBorder="1" applyAlignment="1">
      <alignment horizontal="center" vertical="center" wrapText="1"/>
    </xf>
    <xf numFmtId="0" fontId="1" fillId="348" borderId="19" xfId="0" applyFont="1" applyFill="1" applyBorder="1" applyAlignment="1">
      <alignment horizontal="center" vertical="center" wrapText="1"/>
    </xf>
    <xf numFmtId="0" fontId="1" fillId="350" borderId="19" xfId="0" applyFont="1" applyFill="1" applyBorder="1" applyAlignment="1">
      <alignment horizontal="center" vertical="center" wrapText="1"/>
    </xf>
    <xf numFmtId="0" fontId="1" fillId="352" borderId="19" xfId="0" applyFont="1" applyFill="1" applyBorder="1" applyAlignment="1">
      <alignment horizontal="center" vertical="center" wrapText="1"/>
    </xf>
    <xf numFmtId="0" fontId="1" fillId="354" borderId="19" xfId="0" applyFont="1" applyFill="1" applyBorder="1" applyAlignment="1">
      <alignment horizontal="center" vertical="center" wrapText="1"/>
    </xf>
    <xf numFmtId="0" fontId="1" fillId="356" borderId="19" xfId="0" applyFont="1" applyFill="1" applyBorder="1" applyAlignment="1">
      <alignment horizontal="center" vertical="center" wrapText="1"/>
    </xf>
    <xf numFmtId="0" fontId="1" fillId="358" borderId="19" xfId="0" applyFont="1" applyFill="1" applyBorder="1" applyAlignment="1">
      <alignment horizontal="center" vertical="center" wrapText="1"/>
    </xf>
    <xf numFmtId="0" fontId="1" fillId="360" borderId="19" xfId="0" applyFont="1" applyFill="1" applyBorder="1" applyAlignment="1">
      <alignment horizontal="center" vertical="center" wrapText="1"/>
    </xf>
    <xf numFmtId="0" fontId="1" fillId="362" borderId="19" xfId="0" applyFont="1" applyFill="1" applyBorder="1" applyAlignment="1">
      <alignment horizontal="center" vertical="center" wrapText="1"/>
    </xf>
    <xf numFmtId="0" fontId="1" fillId="364" borderId="19" xfId="0" applyFont="1" applyFill="1" applyBorder="1" applyAlignment="1">
      <alignment horizontal="center" vertical="center" wrapText="1"/>
    </xf>
    <xf numFmtId="0" fontId="1" fillId="366" borderId="19" xfId="0" applyFont="1" applyFill="1" applyBorder="1" applyAlignment="1">
      <alignment horizontal="center" vertical="center" wrapText="1"/>
    </xf>
    <xf numFmtId="0" fontId="1" fillId="380" borderId="19" xfId="0" applyFont="1" applyFill="1" applyBorder="1" applyAlignment="1">
      <alignment horizontal="center" vertical="center" wrapText="1"/>
    </xf>
    <xf numFmtId="0" fontId="1" fillId="382" borderId="19" xfId="0" applyFont="1" applyFill="1" applyBorder="1" applyAlignment="1">
      <alignment horizontal="center" vertical="center" wrapText="1"/>
    </xf>
    <xf numFmtId="0" fontId="1" fillId="384" borderId="19" xfId="0" applyFont="1" applyFill="1" applyBorder="1" applyAlignment="1">
      <alignment horizontal="center" vertical="center" wrapText="1"/>
    </xf>
    <xf numFmtId="0" fontId="1" fillId="386" borderId="19" xfId="0" applyFont="1" applyFill="1" applyBorder="1" applyAlignment="1">
      <alignment horizontal="center" vertical="center" wrapText="1"/>
    </xf>
    <xf numFmtId="0" fontId="1" fillId="388" borderId="19" xfId="0" applyFont="1" applyFill="1" applyBorder="1" applyAlignment="1">
      <alignment horizontal="center" vertical="center" wrapText="1"/>
    </xf>
    <xf numFmtId="0" fontId="1" fillId="390" borderId="19" xfId="0" applyFont="1" applyFill="1" applyBorder="1" applyAlignment="1">
      <alignment horizontal="center" vertical="center" wrapText="1"/>
    </xf>
    <xf numFmtId="0" fontId="1" fillId="392" borderId="19" xfId="0" applyFont="1" applyFill="1" applyBorder="1" applyAlignment="1">
      <alignment horizontal="center" vertical="center" wrapText="1"/>
    </xf>
    <xf numFmtId="0" fontId="1" fillId="394" borderId="19" xfId="0" applyFont="1" applyFill="1" applyBorder="1" applyAlignment="1">
      <alignment horizontal="center" vertical="center" wrapText="1"/>
    </xf>
    <xf numFmtId="0" fontId="1" fillId="396" borderId="19" xfId="0" applyFont="1" applyFill="1" applyBorder="1" applyAlignment="1">
      <alignment horizontal="center" vertical="center" wrapText="1"/>
    </xf>
    <xf numFmtId="0" fontId="1" fillId="398" borderId="19" xfId="0" applyFont="1" applyFill="1" applyBorder="1" applyAlignment="1">
      <alignment horizontal="center" vertical="center" wrapText="1"/>
    </xf>
    <xf numFmtId="0" fontId="1" fillId="399" borderId="19" xfId="0" applyFont="1" applyFill="1" applyBorder="1" applyAlignment="1">
      <alignment horizontal="center" vertical="center" wrapText="1"/>
    </xf>
    <xf numFmtId="0" fontId="1" fillId="401" borderId="19" xfId="0" applyFont="1" applyFill="1" applyBorder="1" applyAlignment="1">
      <alignment horizontal="center" vertical="center" wrapText="1"/>
    </xf>
    <xf numFmtId="0" fontId="1" fillId="403" borderId="19" xfId="0" applyFont="1" applyFill="1" applyBorder="1" applyAlignment="1">
      <alignment horizontal="center" vertical="center" wrapText="1"/>
    </xf>
    <xf numFmtId="0" fontId="1" fillId="405" borderId="19" xfId="0" applyFont="1" applyFill="1" applyBorder="1" applyAlignment="1">
      <alignment horizontal="center" vertical="center" wrapText="1"/>
    </xf>
    <xf numFmtId="0" fontId="1" fillId="407" borderId="19" xfId="0" applyFont="1" applyFill="1" applyBorder="1" applyAlignment="1">
      <alignment horizontal="center" vertical="center" wrapText="1"/>
    </xf>
    <xf numFmtId="0" fontId="1" fillId="409" borderId="19" xfId="0" applyFont="1" applyFill="1" applyBorder="1" applyAlignment="1">
      <alignment horizontal="center" vertical="center" wrapText="1"/>
    </xf>
    <xf numFmtId="0" fontId="1" fillId="411" borderId="19" xfId="0" applyFont="1" applyFill="1" applyBorder="1" applyAlignment="1">
      <alignment horizontal="center" vertical="center" wrapText="1"/>
    </xf>
    <xf numFmtId="0" fontId="1" fillId="413" borderId="19" xfId="0" applyFont="1" applyFill="1" applyBorder="1" applyAlignment="1">
      <alignment horizontal="center" vertical="center" wrapText="1"/>
    </xf>
    <xf numFmtId="0" fontId="1" fillId="415" borderId="19" xfId="0" applyFont="1" applyFill="1" applyBorder="1" applyAlignment="1">
      <alignment horizontal="center" vertical="center" wrapText="1"/>
    </xf>
    <xf numFmtId="0" fontId="1" fillId="417" borderId="19" xfId="0" applyFont="1" applyFill="1" applyBorder="1" applyAlignment="1">
      <alignment horizontal="center" vertical="center" wrapText="1"/>
    </xf>
    <xf numFmtId="0" fontId="1" fillId="419" borderId="19" xfId="0" applyFont="1" applyFill="1" applyBorder="1" applyAlignment="1">
      <alignment horizontal="center" vertical="center" wrapText="1"/>
    </xf>
    <xf numFmtId="0" fontId="1" fillId="421" borderId="19" xfId="0" applyFont="1" applyFill="1" applyBorder="1" applyAlignment="1">
      <alignment horizontal="center" vertical="center" wrapText="1"/>
    </xf>
    <xf numFmtId="0" fontId="1" fillId="423" borderId="19" xfId="0" applyFont="1" applyFill="1" applyBorder="1" applyAlignment="1">
      <alignment horizontal="center" vertical="center" wrapText="1"/>
    </xf>
    <xf numFmtId="0" fontId="1" fillId="425" borderId="19" xfId="0" applyFont="1" applyFill="1" applyBorder="1" applyAlignment="1">
      <alignment horizontal="center" vertical="center" wrapText="1"/>
    </xf>
    <xf numFmtId="0" fontId="1" fillId="427" borderId="19" xfId="0" applyFont="1" applyFill="1" applyBorder="1" applyAlignment="1">
      <alignment horizontal="center" vertical="center" wrapText="1"/>
    </xf>
    <xf numFmtId="0" fontId="1" fillId="429" borderId="19" xfId="0" applyFont="1" applyFill="1" applyBorder="1" applyAlignment="1">
      <alignment horizontal="center" vertical="center" wrapText="1"/>
    </xf>
    <xf numFmtId="0" fontId="1" fillId="431" borderId="19" xfId="0" applyFont="1" applyFill="1" applyBorder="1" applyAlignment="1">
      <alignment horizontal="center" vertical="center" wrapText="1"/>
    </xf>
    <xf numFmtId="0" fontId="1" fillId="433" borderId="19" xfId="0" applyFont="1" applyFill="1" applyBorder="1" applyAlignment="1">
      <alignment horizontal="center" vertical="center" wrapText="1"/>
    </xf>
    <xf numFmtId="0" fontId="1" fillId="435" borderId="19" xfId="0" applyFont="1" applyFill="1" applyBorder="1" applyAlignment="1">
      <alignment horizontal="center" vertical="center" wrapText="1"/>
    </xf>
    <xf numFmtId="0" fontId="1" fillId="437" borderId="19" xfId="0" applyFont="1" applyFill="1" applyBorder="1" applyAlignment="1">
      <alignment horizontal="center" vertical="center" wrapText="1"/>
    </xf>
    <xf numFmtId="0" fontId="1" fillId="439" borderId="19" xfId="0" applyFont="1" applyFill="1" applyBorder="1" applyAlignment="1">
      <alignment horizontal="center" vertical="center" wrapText="1"/>
    </xf>
    <xf numFmtId="0" fontId="1" fillId="441" borderId="19" xfId="0" applyFont="1" applyFill="1" applyBorder="1" applyAlignment="1">
      <alignment horizontal="center" vertical="center" wrapText="1"/>
    </xf>
    <xf numFmtId="0" fontId="1" fillId="443" borderId="19" xfId="0" applyFont="1" applyFill="1" applyBorder="1" applyAlignment="1">
      <alignment horizontal="center" vertical="center" wrapText="1"/>
    </xf>
    <xf numFmtId="0" fontId="1" fillId="445" borderId="19" xfId="0" applyFont="1" applyFill="1" applyBorder="1" applyAlignment="1">
      <alignment horizontal="center" vertical="center" wrapText="1"/>
    </xf>
    <xf numFmtId="0" fontId="1" fillId="447" borderId="19" xfId="0" applyFont="1" applyFill="1" applyBorder="1" applyAlignment="1">
      <alignment horizontal="center" vertical="center" wrapText="1"/>
    </xf>
    <xf numFmtId="0" fontId="1" fillId="449" borderId="19" xfId="0" applyFont="1" applyFill="1" applyBorder="1" applyAlignment="1">
      <alignment horizontal="center" vertical="center" wrapText="1"/>
    </xf>
    <xf numFmtId="0" fontId="1" fillId="451" borderId="19" xfId="0" applyFont="1" applyFill="1" applyBorder="1" applyAlignment="1">
      <alignment horizontal="center" vertical="center" wrapText="1"/>
    </xf>
    <xf numFmtId="0" fontId="1" fillId="453" borderId="19" xfId="0" applyFont="1" applyFill="1" applyBorder="1" applyAlignment="1">
      <alignment horizontal="center" vertical="center" wrapText="1"/>
    </xf>
    <xf numFmtId="0" fontId="1" fillId="400" borderId="19" xfId="0" applyFont="1" applyFill="1" applyBorder="1" applyAlignment="1">
      <alignment horizontal="center" vertical="center" wrapText="1"/>
    </xf>
    <xf numFmtId="0" fontId="1" fillId="402" borderId="19" xfId="0" applyFont="1" applyFill="1" applyBorder="1" applyAlignment="1">
      <alignment horizontal="center" vertical="center" wrapText="1"/>
    </xf>
    <xf numFmtId="0" fontId="1" fillId="404" borderId="19" xfId="0" applyFont="1" applyFill="1" applyBorder="1" applyAlignment="1">
      <alignment horizontal="center" vertical="center" wrapText="1"/>
    </xf>
    <xf numFmtId="0" fontId="1" fillId="406" borderId="19" xfId="0" applyFont="1" applyFill="1" applyBorder="1" applyAlignment="1">
      <alignment horizontal="center" vertical="center" wrapText="1"/>
    </xf>
    <xf numFmtId="0" fontId="1" fillId="408" borderId="19" xfId="0" applyFont="1" applyFill="1" applyBorder="1" applyAlignment="1">
      <alignment horizontal="center" vertical="center" wrapText="1"/>
    </xf>
    <xf numFmtId="0" fontId="1" fillId="410" borderId="19" xfId="0" applyFont="1" applyFill="1" applyBorder="1" applyAlignment="1">
      <alignment horizontal="center" vertical="center" wrapText="1"/>
    </xf>
    <xf numFmtId="0" fontId="1" fillId="412" borderId="19" xfId="0" applyFont="1" applyFill="1" applyBorder="1" applyAlignment="1">
      <alignment horizontal="center" vertical="center" wrapText="1"/>
    </xf>
    <xf numFmtId="0" fontId="1" fillId="414" borderId="19" xfId="0" applyFont="1" applyFill="1" applyBorder="1" applyAlignment="1">
      <alignment horizontal="center" vertical="center" wrapText="1"/>
    </xf>
    <xf numFmtId="0" fontId="1" fillId="416" borderId="19" xfId="0" applyFont="1" applyFill="1" applyBorder="1" applyAlignment="1">
      <alignment horizontal="center" vertical="center" wrapText="1"/>
    </xf>
    <xf numFmtId="0" fontId="26" fillId="1029" borderId="19" xfId="0" applyFont="1" applyFill="1" applyBorder="1" applyAlignment="1">
      <alignment vertical="center" wrapText="1"/>
    </xf>
    <xf numFmtId="0" fontId="1" fillId="368" borderId="19" xfId="0" applyFont="1" applyFill="1" applyBorder="1" applyAlignment="1">
      <alignment horizontal="center" vertical="center" wrapText="1"/>
    </xf>
    <xf numFmtId="0" fontId="1" fillId="370" borderId="19" xfId="0" applyFont="1" applyFill="1" applyBorder="1" applyAlignment="1">
      <alignment horizontal="center" vertical="center" wrapText="1"/>
    </xf>
    <xf numFmtId="0" fontId="1" fillId="372" borderId="19" xfId="0" applyFont="1" applyFill="1" applyBorder="1" applyAlignment="1">
      <alignment horizontal="center" vertical="center" wrapText="1"/>
    </xf>
    <xf numFmtId="0" fontId="1" fillId="374" borderId="19" xfId="0" applyFont="1" applyFill="1" applyBorder="1" applyAlignment="1">
      <alignment horizontal="center" vertical="center" wrapText="1"/>
    </xf>
    <xf numFmtId="0" fontId="1" fillId="376" borderId="19" xfId="0" applyFont="1" applyFill="1" applyBorder="1" applyAlignment="1">
      <alignment horizontal="center" vertical="center" wrapText="1"/>
    </xf>
    <xf numFmtId="0" fontId="1" fillId="378" borderId="19" xfId="0" applyFont="1" applyFill="1" applyBorder="1" applyAlignment="1">
      <alignment horizontal="center" vertical="center" wrapText="1"/>
    </xf>
    <xf numFmtId="0" fontId="1" fillId="418" borderId="19" xfId="0" applyFont="1" applyFill="1" applyBorder="1" applyAlignment="1">
      <alignment horizontal="center" vertical="center" wrapText="1"/>
    </xf>
    <xf numFmtId="0" fontId="1" fillId="420" borderId="19" xfId="0" applyFont="1" applyFill="1" applyBorder="1" applyAlignment="1">
      <alignment horizontal="center" vertical="center" wrapText="1"/>
    </xf>
    <xf numFmtId="0" fontId="1" fillId="422" borderId="19" xfId="0" applyFont="1" applyFill="1" applyBorder="1" applyAlignment="1">
      <alignment horizontal="center" vertical="center" wrapText="1"/>
    </xf>
    <xf numFmtId="0" fontId="1" fillId="424" borderId="19" xfId="0" applyFont="1" applyFill="1" applyBorder="1" applyAlignment="1">
      <alignment horizontal="center" vertical="center" wrapText="1"/>
    </xf>
    <xf numFmtId="0" fontId="1" fillId="426" borderId="19" xfId="0" applyFont="1" applyFill="1" applyBorder="1" applyAlignment="1">
      <alignment horizontal="center" vertical="center" wrapText="1"/>
    </xf>
    <xf numFmtId="0" fontId="1" fillId="428" borderId="19" xfId="0" applyFont="1" applyFill="1" applyBorder="1" applyAlignment="1">
      <alignment horizontal="center" vertical="center" wrapText="1"/>
    </xf>
    <xf numFmtId="0" fontId="1" fillId="430" borderId="19" xfId="0" applyFont="1" applyFill="1" applyBorder="1" applyAlignment="1">
      <alignment horizontal="center" vertical="center" wrapText="1"/>
    </xf>
    <xf numFmtId="0" fontId="1" fillId="432" borderId="19" xfId="0" applyFont="1" applyFill="1" applyBorder="1" applyAlignment="1">
      <alignment horizontal="center" vertical="center" wrapText="1"/>
    </xf>
    <xf numFmtId="0" fontId="1" fillId="434" borderId="19" xfId="0" applyFont="1" applyFill="1" applyBorder="1" applyAlignment="1">
      <alignment horizontal="center" vertical="center" wrapText="1"/>
    </xf>
    <xf numFmtId="0" fontId="1" fillId="436" borderId="19" xfId="0" applyFont="1" applyFill="1" applyBorder="1" applyAlignment="1">
      <alignment horizontal="center" vertical="center" wrapText="1"/>
    </xf>
    <xf numFmtId="0" fontId="1" fillId="438" borderId="19" xfId="0" applyFont="1" applyFill="1" applyBorder="1" applyAlignment="1">
      <alignment horizontal="center" vertical="center" wrapText="1"/>
    </xf>
    <xf numFmtId="0" fontId="1" fillId="440" borderId="19" xfId="0" applyFont="1" applyFill="1" applyBorder="1" applyAlignment="1">
      <alignment horizontal="center" vertical="center" wrapText="1"/>
    </xf>
    <xf numFmtId="0" fontId="1" fillId="442" borderId="19" xfId="0" applyFont="1" applyFill="1" applyBorder="1" applyAlignment="1">
      <alignment horizontal="center" vertical="center" wrapText="1"/>
    </xf>
    <xf numFmtId="0" fontId="1" fillId="444" borderId="19" xfId="0" applyFont="1" applyFill="1" applyBorder="1" applyAlignment="1">
      <alignment horizontal="center" vertical="center" wrapText="1"/>
    </xf>
    <xf numFmtId="0" fontId="1" fillId="446" borderId="19" xfId="0" applyFont="1" applyFill="1" applyBorder="1" applyAlignment="1">
      <alignment horizontal="center" vertical="center" wrapText="1"/>
    </xf>
    <xf numFmtId="0" fontId="1" fillId="448" borderId="19" xfId="0" applyFont="1" applyFill="1" applyBorder="1" applyAlignment="1">
      <alignment horizontal="center" vertical="center" wrapText="1"/>
    </xf>
    <xf numFmtId="0" fontId="1" fillId="450" borderId="19" xfId="0" applyFont="1" applyFill="1" applyBorder="1" applyAlignment="1">
      <alignment horizontal="center" vertical="center" wrapText="1"/>
    </xf>
    <xf numFmtId="0" fontId="1" fillId="452" borderId="19" xfId="0" applyFont="1" applyFill="1" applyBorder="1" applyAlignment="1">
      <alignment horizontal="center" vertical="center" wrapText="1"/>
    </xf>
    <xf numFmtId="0" fontId="1" fillId="454" borderId="1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 applyProtection="1">
      <alignment horizontal="center"/>
      <protection locked="0"/>
    </xf>
    <xf numFmtId="0" fontId="1" fillId="0" borderId="19" xfId="0" applyFont="1" applyBorder="1"/>
    <xf numFmtId="0" fontId="0" fillId="0" borderId="19" xfId="0" applyBorder="1" applyAlignment="1" applyProtection="1">
      <alignment horizontal="center"/>
      <protection locked="0"/>
    </xf>
    <xf numFmtId="0" fontId="0" fillId="0" borderId="19" xfId="0" applyBorder="1" applyAlignment="1">
      <alignment horizontal="center"/>
    </xf>
    <xf numFmtId="0" fontId="1" fillId="515" borderId="19" xfId="0" applyFont="1" applyFill="1" applyBorder="1" applyAlignment="1">
      <alignment horizontal="center" vertical="center" wrapText="1"/>
    </xf>
    <xf numFmtId="0" fontId="1" fillId="497" borderId="19" xfId="0" applyFont="1" applyFill="1" applyBorder="1" applyAlignment="1">
      <alignment horizontal="center" vertical="center" wrapText="1"/>
    </xf>
    <xf numFmtId="0" fontId="1" fillId="496" borderId="19" xfId="0" applyFont="1" applyFill="1" applyBorder="1" applyAlignment="1">
      <alignment horizontal="center" vertical="center" wrapText="1"/>
    </xf>
    <xf numFmtId="0" fontId="1" fillId="493" borderId="19" xfId="0" applyFont="1" applyFill="1" applyBorder="1" applyAlignment="1">
      <alignment horizontal="center" vertical="center" wrapText="1"/>
    </xf>
    <xf numFmtId="0" fontId="1" fillId="494" borderId="19" xfId="0" applyFont="1" applyFill="1" applyBorder="1" applyAlignment="1">
      <alignment horizontal="center" vertical="center" wrapText="1"/>
    </xf>
    <xf numFmtId="0" fontId="1" fillId="495" borderId="19" xfId="0" applyFont="1" applyFill="1" applyBorder="1" applyAlignment="1">
      <alignment horizontal="center" vertical="center" wrapText="1"/>
    </xf>
    <xf numFmtId="0" fontId="1" fillId="498" borderId="19" xfId="0" applyFont="1" applyFill="1" applyBorder="1" applyAlignment="1">
      <alignment horizontal="center" vertical="center" wrapText="1"/>
    </xf>
    <xf numFmtId="0" fontId="1" fillId="516" borderId="19" xfId="0" applyFont="1" applyFill="1" applyBorder="1"/>
    <xf numFmtId="0" fontId="1" fillId="491" borderId="19" xfId="0" applyFont="1" applyFill="1" applyBorder="1"/>
    <xf numFmtId="0" fontId="1" fillId="492" borderId="19" xfId="0" applyFont="1" applyFill="1" applyBorder="1"/>
    <xf numFmtId="0" fontId="1" fillId="517" borderId="19" xfId="0" applyFont="1" applyFill="1" applyBorder="1" applyAlignment="1">
      <alignment horizontal="center" vertical="center" wrapText="1"/>
    </xf>
    <xf numFmtId="0" fontId="1" fillId="518" borderId="19" xfId="0" applyFont="1" applyFill="1" applyBorder="1" applyAlignment="1">
      <alignment horizontal="center" vertical="center" wrapText="1"/>
    </xf>
    <xf numFmtId="0" fontId="1" fillId="522" borderId="19" xfId="0" applyFont="1" applyFill="1" applyBorder="1" applyAlignment="1">
      <alignment horizontal="center" vertical="center" wrapText="1"/>
    </xf>
    <xf numFmtId="0" fontId="1" fillId="523" borderId="19" xfId="0" applyFont="1" applyFill="1" applyBorder="1" applyAlignment="1">
      <alignment horizontal="center" vertical="center" wrapText="1"/>
    </xf>
    <xf numFmtId="0" fontId="1" fillId="521" borderId="19" xfId="0" applyFont="1" applyFill="1" applyBorder="1" applyAlignment="1">
      <alignment horizontal="center" vertical="center" wrapText="1"/>
    </xf>
    <xf numFmtId="0" fontId="1" fillId="520" borderId="19" xfId="0" applyFont="1" applyFill="1" applyBorder="1"/>
    <xf numFmtId="0" fontId="1" fillId="524" borderId="19" xfId="0" applyFont="1" applyFill="1" applyBorder="1"/>
    <xf numFmtId="0" fontId="1" fillId="525" borderId="19" xfId="0" applyFont="1" applyFill="1" applyBorder="1"/>
    <xf numFmtId="0" fontId="1" fillId="519" borderId="19" xfId="0" applyFont="1" applyFill="1" applyBorder="1"/>
    <xf numFmtId="0" fontId="1" fillId="0" borderId="19" xfId="0" applyFont="1" applyBorder="1" applyAlignment="1" applyProtection="1">
      <alignment horizontal="center" vertical="center"/>
      <protection locked="0"/>
    </xf>
    <xf numFmtId="0" fontId="26" fillId="1029" borderId="43" xfId="0" applyFont="1" applyFill="1" applyBorder="1" applyAlignment="1">
      <alignment horizontal="center" vertical="center" wrapText="1"/>
    </xf>
    <xf numFmtId="0" fontId="26" fillId="1029" borderId="37" xfId="0" applyFont="1" applyFill="1" applyBorder="1" applyAlignment="1">
      <alignment vertical="center" wrapText="1"/>
    </xf>
    <xf numFmtId="0" fontId="26" fillId="1029" borderId="37" xfId="0" applyFont="1" applyFill="1" applyBorder="1" applyAlignment="1">
      <alignment horizontal="center" vertical="center" wrapText="1"/>
    </xf>
    <xf numFmtId="0" fontId="1" fillId="499" borderId="19" xfId="0" applyFont="1" applyFill="1" applyBorder="1" applyAlignment="1">
      <alignment horizontal="center" vertical="center" wrapText="1"/>
    </xf>
    <xf numFmtId="0" fontId="1" fillId="500" borderId="19" xfId="0" applyFont="1" applyFill="1" applyBorder="1" applyAlignment="1">
      <alignment horizontal="center" vertical="center" wrapText="1"/>
    </xf>
    <xf numFmtId="0" fontId="1" fillId="502" borderId="19" xfId="0" applyFont="1" applyFill="1" applyBorder="1"/>
    <xf numFmtId="0" fontId="1" fillId="503" borderId="19" xfId="0" applyFont="1" applyFill="1" applyBorder="1"/>
    <xf numFmtId="0" fontId="1" fillId="504" borderId="19" xfId="0" applyFont="1" applyFill="1" applyBorder="1"/>
    <xf numFmtId="0" fontId="1" fillId="505" borderId="19" xfId="0" applyFont="1" applyFill="1" applyBorder="1"/>
    <xf numFmtId="0" fontId="1" fillId="506" borderId="19" xfId="0" applyFont="1" applyFill="1" applyBorder="1"/>
    <xf numFmtId="0" fontId="1" fillId="507" borderId="19" xfId="0" applyFont="1" applyFill="1" applyBorder="1"/>
    <xf numFmtId="0" fontId="1" fillId="508" borderId="19" xfId="0" applyFont="1" applyFill="1" applyBorder="1"/>
    <xf numFmtId="0" fontId="1" fillId="514" borderId="19" xfId="0" applyFont="1" applyFill="1" applyBorder="1"/>
    <xf numFmtId="0" fontId="1" fillId="513" borderId="19" xfId="0" applyFont="1" applyFill="1" applyBorder="1"/>
    <xf numFmtId="0" fontId="1" fillId="501" borderId="19" xfId="0" applyFont="1" applyFill="1" applyBorder="1" applyAlignment="1">
      <alignment horizontal="center" vertical="center" wrapText="1"/>
    </xf>
    <xf numFmtId="0" fontId="1" fillId="512" borderId="19" xfId="0" applyFont="1" applyFill="1" applyBorder="1"/>
    <xf numFmtId="0" fontId="1" fillId="511" borderId="19" xfId="0" applyFont="1" applyFill="1" applyBorder="1"/>
    <xf numFmtId="0" fontId="1" fillId="510" borderId="19" xfId="0" applyFont="1" applyFill="1" applyBorder="1"/>
    <xf numFmtId="0" fontId="1" fillId="509" borderId="19" xfId="0" applyFont="1" applyFill="1" applyBorder="1"/>
    <xf numFmtId="0" fontId="6" fillId="1008" borderId="0" xfId="0" applyFont="1" applyFill="1" applyAlignment="1">
      <alignment horizontal="center"/>
    </xf>
    <xf numFmtId="0" fontId="1" fillId="1008" borderId="0" xfId="0" applyFont="1" applyFill="1"/>
    <xf numFmtId="0" fontId="1" fillId="1008" borderId="0" xfId="0" applyFont="1" applyFill="1" applyAlignment="1">
      <alignment horizontal="center"/>
    </xf>
    <xf numFmtId="0" fontId="17" fillId="1008" borderId="0" xfId="0" applyFont="1" applyFill="1"/>
    <xf numFmtId="0" fontId="1" fillId="1008" borderId="0" xfId="0" applyFont="1" applyFill="1" applyAlignment="1">
      <alignment horizontal="left"/>
    </xf>
    <xf numFmtId="0" fontId="1" fillId="1008" borderId="0" xfId="0" applyFont="1" applyFill="1" applyAlignment="1">
      <alignment horizontal="left" vertical="center" wrapText="1"/>
    </xf>
    <xf numFmtId="0" fontId="1" fillId="1008" borderId="0" xfId="0" applyFont="1" applyFill="1" applyAlignment="1">
      <alignment horizontal="left" vertical="center"/>
    </xf>
    <xf numFmtId="0" fontId="1" fillId="1008" borderId="0" xfId="0" applyFont="1" applyFill="1" applyAlignment="1">
      <alignment horizontal="center" vertical="center" wrapText="1"/>
    </xf>
    <xf numFmtId="0" fontId="1" fillId="1008" borderId="0" xfId="0" applyFont="1" applyFill="1" applyAlignment="1">
      <alignment vertical="center"/>
    </xf>
    <xf numFmtId="0" fontId="1" fillId="1008" borderId="0" xfId="0" applyFont="1" applyFill="1" applyAlignment="1">
      <alignment horizontal="center" vertical="center"/>
    </xf>
    <xf numFmtId="0" fontId="6" fillId="1008" borderId="0" xfId="0" applyFont="1" applyFill="1" applyAlignment="1">
      <alignment horizontal="center" vertical="top"/>
    </xf>
    <xf numFmtId="0" fontId="0" fillId="1008" borderId="0" xfId="0" applyFill="1" applyAlignment="1">
      <alignment vertical="top"/>
    </xf>
    <xf numFmtId="0" fontId="2" fillId="1008" borderId="0" xfId="129" applyFill="1" applyBorder="1" applyAlignment="1">
      <alignment vertical="center"/>
    </xf>
    <xf numFmtId="0" fontId="19" fillId="1008" borderId="0" xfId="129" applyFont="1" applyFill="1" applyBorder="1"/>
    <xf numFmtId="0" fontId="18" fillId="1008" borderId="0" xfId="0" applyFont="1" applyFill="1" applyAlignment="1">
      <alignment horizontal="center"/>
    </xf>
    <xf numFmtId="0" fontId="18" fillId="1008" borderId="0" xfId="0" applyFont="1" applyFill="1"/>
    <xf numFmtId="0" fontId="7" fillId="1008" borderId="0" xfId="0" applyFont="1" applyFill="1" applyAlignment="1">
      <alignment horizontal="center" vertical="center"/>
    </xf>
    <xf numFmtId="0" fontId="4" fillId="1008" borderId="0" xfId="0" applyFont="1" applyFill="1" applyAlignment="1">
      <alignment horizontal="center" vertical="center" wrapText="1"/>
    </xf>
    <xf numFmtId="0" fontId="0" fillId="1008" borderId="0" xfId="0" applyFill="1" applyAlignment="1">
      <alignment vertical="top" wrapText="1"/>
    </xf>
    <xf numFmtId="0" fontId="0" fillId="1008" borderId="0" xfId="0" applyFill="1" applyAlignment="1">
      <alignment horizontal="left" vertical="top"/>
    </xf>
    <xf numFmtId="0" fontId="2" fillId="1008" borderId="0" xfId="129" applyFill="1" applyBorder="1" applyAlignment="1"/>
    <xf numFmtId="0" fontId="2" fillId="1008" borderId="0" xfId="129" applyFill="1" applyBorder="1"/>
    <xf numFmtId="0" fontId="8" fillId="1008" borderId="0" xfId="0" applyFont="1" applyFill="1" applyAlignment="1">
      <alignment horizontal="center" vertical="center" wrapText="1"/>
    </xf>
    <xf numFmtId="0" fontId="8" fillId="1008" borderId="0" xfId="0" applyFont="1" applyFill="1" applyAlignment="1">
      <alignment vertical="center"/>
    </xf>
    <xf numFmtId="0" fontId="8" fillId="1008" borderId="0" xfId="0" applyFont="1" applyFill="1"/>
    <xf numFmtId="0" fontId="9" fillId="1008" borderId="0" xfId="0" applyFont="1" applyFill="1" applyAlignment="1">
      <alignment horizontal="center" vertical="center" wrapText="1"/>
    </xf>
    <xf numFmtId="0" fontId="9" fillId="1008" borderId="0" xfId="0" applyFont="1" applyFill="1" applyAlignment="1">
      <alignment vertical="center" wrapText="1"/>
    </xf>
    <xf numFmtId="0" fontId="8" fillId="1008" borderId="0" xfId="0" applyFont="1" applyFill="1" applyAlignment="1">
      <alignment horizontal="center"/>
    </xf>
    <xf numFmtId="0" fontId="6" fillId="1008" borderId="0" xfId="0" applyFont="1" applyFill="1" applyAlignment="1">
      <alignment horizontal="right" vertical="top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1008" borderId="0" xfId="0" applyFont="1" applyFill="1" applyAlignment="1">
      <alignment horizontal="center"/>
    </xf>
    <xf numFmtId="0" fontId="4" fillId="1008" borderId="9" xfId="0" applyFont="1" applyFill="1" applyBorder="1" applyAlignment="1" applyProtection="1">
      <alignment horizontal="center" vertical="center" wrapText="1"/>
      <protection locked="0"/>
    </xf>
    <xf numFmtId="0" fontId="4" fillId="1008" borderId="12" xfId="0" applyFont="1" applyFill="1" applyBorder="1" applyAlignment="1" applyProtection="1">
      <alignment horizontal="center" vertical="center" wrapText="1"/>
      <protection locked="0"/>
    </xf>
    <xf numFmtId="0" fontId="12" fillId="1008" borderId="14" xfId="0" applyFont="1" applyFill="1" applyBorder="1" applyAlignment="1">
      <alignment horizontal="center" vertical="center" wrapText="1"/>
    </xf>
    <xf numFmtId="0" fontId="12" fillId="1008" borderId="15" xfId="0" applyFont="1" applyFill="1" applyBorder="1" applyAlignment="1">
      <alignment horizontal="center" vertical="center" wrapText="1"/>
    </xf>
    <xf numFmtId="0" fontId="12" fillId="1008" borderId="16" xfId="0" applyFont="1" applyFill="1" applyBorder="1" applyAlignment="1">
      <alignment horizontal="center" vertical="center" wrapText="1"/>
    </xf>
    <xf numFmtId="0" fontId="12" fillId="1008" borderId="17" xfId="0" applyFont="1" applyFill="1" applyBorder="1" applyAlignment="1">
      <alignment horizontal="center" vertical="center" wrapText="1"/>
    </xf>
    <xf numFmtId="0" fontId="12" fillId="1008" borderId="13" xfId="0" applyFont="1" applyFill="1" applyBorder="1" applyAlignment="1">
      <alignment horizontal="center" vertical="center" wrapText="1"/>
    </xf>
    <xf numFmtId="0" fontId="12" fillId="1008" borderId="18" xfId="0" applyFont="1" applyFill="1" applyBorder="1" applyAlignment="1">
      <alignment horizontal="center" vertical="center" wrapText="1"/>
    </xf>
    <xf numFmtId="49" fontId="12" fillId="1008" borderId="17" xfId="0" applyNumberFormat="1" applyFont="1" applyFill="1" applyBorder="1" applyAlignment="1">
      <alignment horizontal="center" vertical="center" wrapText="1"/>
    </xf>
    <xf numFmtId="0" fontId="12" fillId="1008" borderId="3" xfId="0" applyFont="1" applyFill="1" applyBorder="1" applyAlignment="1">
      <alignment horizontal="center" vertical="center" wrapText="1"/>
    </xf>
    <xf numFmtId="0" fontId="12" fillId="1008" borderId="4" xfId="0" applyFont="1" applyFill="1" applyBorder="1" applyAlignment="1">
      <alignment horizontal="center" vertical="center" wrapText="1"/>
    </xf>
    <xf numFmtId="0" fontId="12" fillId="1008" borderId="5" xfId="0" applyFont="1" applyFill="1" applyBorder="1" applyAlignment="1">
      <alignment horizontal="center" vertical="center" wrapText="1"/>
    </xf>
    <xf numFmtId="0" fontId="4" fillId="1008" borderId="6" xfId="0" applyFont="1" applyFill="1" applyBorder="1" applyAlignment="1">
      <alignment horizontal="center" vertical="center" wrapText="1"/>
    </xf>
    <xf numFmtId="0" fontId="4" fillId="1008" borderId="7" xfId="0" applyFont="1" applyFill="1" applyBorder="1" applyAlignment="1">
      <alignment vertical="center" wrapText="1"/>
    </xf>
    <xf numFmtId="0" fontId="4" fillId="1008" borderId="8" xfId="0" applyFont="1" applyFill="1" applyBorder="1" applyAlignment="1">
      <alignment horizontal="center" vertical="center" wrapText="1"/>
    </xf>
    <xf numFmtId="0" fontId="21" fillId="1008" borderId="6" xfId="0" applyFont="1" applyFill="1" applyBorder="1" applyAlignment="1">
      <alignment horizontal="center" vertical="center" wrapText="1"/>
    </xf>
    <xf numFmtId="0" fontId="21" fillId="1008" borderId="7" xfId="0" applyFont="1" applyFill="1" applyBorder="1" applyAlignment="1">
      <alignment vertical="center" wrapText="1"/>
    </xf>
    <xf numFmtId="0" fontId="21" fillId="1008" borderId="8" xfId="0" applyFont="1" applyFill="1" applyBorder="1" applyAlignment="1">
      <alignment horizontal="center" vertical="center" wrapText="1"/>
    </xf>
    <xf numFmtId="0" fontId="1" fillId="1008" borderId="6" xfId="0" applyFont="1" applyFill="1" applyBorder="1" applyAlignment="1">
      <alignment horizontal="center"/>
    </xf>
    <xf numFmtId="0" fontId="1" fillId="1008" borderId="7" xfId="0" applyFont="1" applyFill="1" applyBorder="1" applyAlignment="1">
      <alignment vertical="center"/>
    </xf>
    <xf numFmtId="0" fontId="1" fillId="1008" borderId="8" xfId="0" applyFont="1" applyFill="1" applyBorder="1" applyAlignment="1">
      <alignment horizontal="center"/>
    </xf>
    <xf numFmtId="0" fontId="1" fillId="1008" borderId="7" xfId="0" applyFont="1" applyFill="1" applyBorder="1"/>
    <xf numFmtId="0" fontId="1" fillId="1008" borderId="6" xfId="0" applyFont="1" applyFill="1" applyBorder="1" applyAlignment="1">
      <alignment horizontal="center" vertical="center" wrapText="1"/>
    </xf>
    <xf numFmtId="0" fontId="1" fillId="1008" borderId="7" xfId="0" applyFont="1" applyFill="1" applyBorder="1" applyAlignment="1">
      <alignment horizontal="left"/>
    </xf>
    <xf numFmtId="0" fontId="1" fillId="1008" borderId="7" xfId="0" applyFont="1" applyFill="1" applyBorder="1" applyAlignment="1">
      <alignment horizontal="center"/>
    </xf>
    <xf numFmtId="0" fontId="1" fillId="1008" borderId="9" xfId="0" applyFont="1" applyFill="1" applyBorder="1" applyAlignment="1">
      <alignment horizontal="center"/>
    </xf>
    <xf numFmtId="0" fontId="1" fillId="1008" borderId="10" xfId="0" applyFont="1" applyFill="1" applyBorder="1" applyAlignment="1">
      <alignment horizontal="center"/>
    </xf>
    <xf numFmtId="0" fontId="1" fillId="1008" borderId="11" xfId="0" applyFont="1" applyFill="1" applyBorder="1" applyAlignment="1">
      <alignment horizontal="center"/>
    </xf>
    <xf numFmtId="0" fontId="20" fillId="1008" borderId="6" xfId="0" applyFont="1" applyFill="1" applyBorder="1" applyAlignment="1">
      <alignment horizontal="center"/>
    </xf>
    <xf numFmtId="0" fontId="20" fillId="1008" borderId="7" xfId="0" applyFont="1" applyFill="1" applyBorder="1" applyAlignment="1">
      <alignment horizontal="center"/>
    </xf>
    <xf numFmtId="0" fontId="20" fillId="1008" borderId="8" xfId="0" applyFont="1" applyFill="1" applyBorder="1" applyAlignment="1">
      <alignment horizontal="center"/>
    </xf>
    <xf numFmtId="0" fontId="1" fillId="1008" borderId="1" xfId="0" applyFont="1" applyFill="1" applyBorder="1" applyAlignment="1">
      <alignment horizontal="center"/>
    </xf>
    <xf numFmtId="0" fontId="1" fillId="1008" borderId="2" xfId="0" applyFont="1" applyFill="1" applyBorder="1" applyAlignment="1">
      <alignment horizontal="center"/>
    </xf>
    <xf numFmtId="0" fontId="1" fillId="1008" borderId="1" xfId="0" applyFont="1" applyFill="1" applyBorder="1" applyAlignment="1">
      <alignment horizontal="center" vertical="center" wrapText="1"/>
    </xf>
    <xf numFmtId="0" fontId="1" fillId="1008" borderId="2" xfId="0" applyFont="1" applyFill="1" applyBorder="1" applyAlignment="1">
      <alignment horizontal="center" vertical="center" wrapText="1"/>
    </xf>
    <xf numFmtId="0" fontId="1" fillId="1008" borderId="3" xfId="0" applyFont="1" applyFill="1" applyBorder="1" applyAlignment="1">
      <alignment horizontal="center"/>
    </xf>
    <xf numFmtId="0" fontId="1" fillId="1008" borderId="4" xfId="0" applyFont="1" applyFill="1" applyBorder="1" applyAlignment="1">
      <alignment horizontal="center"/>
    </xf>
    <xf numFmtId="0" fontId="1" fillId="1008" borderId="5" xfId="0" applyFont="1" applyFill="1" applyBorder="1" applyAlignment="1">
      <alignment horizontal="center"/>
    </xf>
    <xf numFmtId="0" fontId="20" fillId="1008" borderId="1" xfId="0" applyFont="1" applyFill="1" applyBorder="1" applyAlignment="1">
      <alignment horizontal="center"/>
    </xf>
    <xf numFmtId="0" fontId="20" fillId="1008" borderId="0" xfId="0" applyFont="1" applyFill="1" applyAlignment="1">
      <alignment horizontal="center"/>
    </xf>
    <xf numFmtId="0" fontId="20" fillId="1008" borderId="2" xfId="0" applyFont="1" applyFill="1" applyBorder="1" applyAlignment="1">
      <alignment horizontal="center"/>
    </xf>
    <xf numFmtId="0" fontId="20" fillId="1008" borderId="3" xfId="0" applyFont="1" applyFill="1" applyBorder="1" applyAlignment="1">
      <alignment horizontal="center"/>
    </xf>
    <xf numFmtId="0" fontId="20" fillId="1008" borderId="4" xfId="0" applyFont="1" applyFill="1" applyBorder="1" applyAlignment="1">
      <alignment horizontal="center"/>
    </xf>
    <xf numFmtId="0" fontId="20" fillId="1008" borderId="5" xfId="0" applyFont="1" applyFill="1" applyBorder="1" applyAlignment="1">
      <alignment horizontal="center"/>
    </xf>
    <xf numFmtId="0" fontId="1" fillId="1008" borderId="3" xfId="0" applyFont="1" applyFill="1" applyBorder="1" applyAlignment="1">
      <alignment horizontal="center" vertical="center" wrapText="1"/>
    </xf>
    <xf numFmtId="0" fontId="1" fillId="1008" borderId="4" xfId="0" applyFont="1" applyFill="1" applyBorder="1" applyAlignment="1">
      <alignment vertical="center"/>
    </xf>
    <xf numFmtId="0" fontId="1" fillId="1008" borderId="5" xfId="0" applyFont="1" applyFill="1" applyBorder="1" applyAlignment="1">
      <alignment horizontal="center" vertical="center" wrapText="1"/>
    </xf>
    <xf numFmtId="0" fontId="1" fillId="1008" borderId="4" xfId="0" applyFont="1" applyFill="1" applyBorder="1" applyAlignment="1">
      <alignment horizontal="left"/>
    </xf>
    <xf numFmtId="0" fontId="1" fillId="1008" borderId="4" xfId="0" applyFont="1" applyFill="1" applyBorder="1"/>
    <xf numFmtId="0" fontId="0" fillId="1008" borderId="7" xfId="0" applyFill="1" applyBorder="1" applyAlignment="1" applyProtection="1">
      <alignment horizontal="center"/>
      <protection locked="0"/>
    </xf>
    <xf numFmtId="0" fontId="0" fillId="1008" borderId="0" xfId="0" applyFill="1" applyAlignment="1" applyProtection="1">
      <alignment horizontal="center"/>
      <protection locked="0"/>
    </xf>
    <xf numFmtId="0" fontId="0" fillId="1008" borderId="4" xfId="0" applyFill="1" applyBorder="1" applyAlignment="1" applyProtection="1">
      <alignment horizontal="center"/>
      <protection locked="0"/>
    </xf>
    <xf numFmtId="0" fontId="0" fillId="492" borderId="12" xfId="0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" fillId="1008" borderId="7" xfId="0" applyFont="1" applyFill="1" applyBorder="1" applyAlignment="1">
      <alignment horizontal="center" vertical="center" wrapText="1"/>
    </xf>
    <xf numFmtId="0" fontId="1" fillId="1025" borderId="7" xfId="0" applyFont="1" applyFill="1" applyBorder="1" applyAlignment="1">
      <alignment horizontal="center" vertical="center" wrapText="1"/>
    </xf>
    <xf numFmtId="0" fontId="1" fillId="1026" borderId="4" xfId="0" applyFont="1" applyFill="1" applyBorder="1" applyAlignment="1">
      <alignment horizontal="center" vertical="center" wrapText="1"/>
    </xf>
    <xf numFmtId="0" fontId="1" fillId="358" borderId="7" xfId="0" applyFont="1" applyFill="1" applyBorder="1" applyAlignment="1">
      <alignment horizontal="center" vertical="center" wrapText="1"/>
    </xf>
    <xf numFmtId="0" fontId="1" fillId="116" borderId="4" xfId="0" applyFont="1" applyFill="1" applyBorder="1" applyAlignment="1">
      <alignment horizontal="center" vertical="center" wrapText="1"/>
    </xf>
    <xf numFmtId="0" fontId="1" fillId="1031" borderId="0" xfId="0" applyFont="1" applyFill="1" applyAlignment="1">
      <alignment horizontal="center" vertical="center" wrapText="1"/>
    </xf>
    <xf numFmtId="0" fontId="1" fillId="1030" borderId="7" xfId="0" applyFont="1" applyFill="1" applyBorder="1" applyAlignment="1">
      <alignment horizontal="center" vertical="center" wrapText="1"/>
    </xf>
    <xf numFmtId="0" fontId="1" fillId="1032" borderId="4" xfId="0" applyFont="1" applyFill="1" applyBorder="1" applyAlignment="1">
      <alignment horizontal="center" vertical="center" wrapText="1"/>
    </xf>
    <xf numFmtId="0" fontId="1" fillId="1033" borderId="7" xfId="0" applyFont="1" applyFill="1" applyBorder="1" applyAlignment="1">
      <alignment horizontal="center" vertical="center" wrapText="1"/>
    </xf>
    <xf numFmtId="0" fontId="1" fillId="1034" borderId="0" xfId="0" applyFont="1" applyFill="1" applyAlignment="1">
      <alignment horizontal="center" vertical="center" wrapText="1"/>
    </xf>
    <xf numFmtId="0" fontId="1" fillId="1035" borderId="0" xfId="0" applyFont="1" applyFill="1" applyAlignment="1">
      <alignment horizontal="center" vertical="center" wrapText="1"/>
    </xf>
    <xf numFmtId="0" fontId="1" fillId="1036" borderId="0" xfId="0" applyFont="1" applyFill="1" applyAlignment="1">
      <alignment horizontal="center" vertical="center" wrapText="1"/>
    </xf>
    <xf numFmtId="0" fontId="1" fillId="1037" borderId="4" xfId="0" applyFont="1" applyFill="1" applyBorder="1" applyAlignment="1">
      <alignment horizontal="center" vertical="center" wrapText="1"/>
    </xf>
    <xf numFmtId="0" fontId="1" fillId="1038" borderId="0" xfId="0" applyFont="1" applyFill="1" applyAlignment="1">
      <alignment horizontal="center" vertical="center" wrapText="1"/>
    </xf>
    <xf numFmtId="0" fontId="1" fillId="1039" borderId="0" xfId="0" applyFont="1" applyFill="1" applyAlignment="1">
      <alignment horizontal="center" vertical="center" wrapText="1"/>
    </xf>
    <xf numFmtId="0" fontId="1" fillId="1040" borderId="4" xfId="0" applyFont="1" applyFill="1" applyBorder="1" applyAlignment="1">
      <alignment horizontal="center"/>
    </xf>
    <xf numFmtId="0" fontId="1" fillId="1041" borderId="0" xfId="0" applyFont="1" applyFill="1" applyAlignment="1">
      <alignment horizontal="center"/>
    </xf>
    <xf numFmtId="0" fontId="1" fillId="1042" borderId="0" xfId="0" applyFont="1" applyFill="1" applyAlignment="1">
      <alignment horizontal="center"/>
    </xf>
    <xf numFmtId="0" fontId="1" fillId="1043" borderId="0" xfId="0" applyFont="1" applyFill="1" applyAlignment="1">
      <alignment horizontal="center"/>
    </xf>
    <xf numFmtId="0" fontId="1" fillId="1044" borderId="0" xfId="0" applyFont="1" applyFill="1" applyAlignment="1">
      <alignment horizontal="center"/>
    </xf>
    <xf numFmtId="0" fontId="1" fillId="1045" borderId="0" xfId="0" applyFont="1" applyFill="1" applyAlignment="1">
      <alignment horizontal="center"/>
    </xf>
    <xf numFmtId="0" fontId="1" fillId="1046" borderId="0" xfId="0" applyFont="1" applyFill="1" applyAlignment="1">
      <alignment horizontal="center"/>
    </xf>
    <xf numFmtId="0" fontId="1" fillId="1047" borderId="0" xfId="0" applyFont="1" applyFill="1" applyAlignment="1">
      <alignment horizontal="center"/>
    </xf>
    <xf numFmtId="0" fontId="1" fillId="1048" borderId="0" xfId="0" applyFont="1" applyFill="1" applyAlignment="1">
      <alignment horizontal="center"/>
    </xf>
    <xf numFmtId="0" fontId="1" fillId="1049" borderId="0" xfId="0" applyFont="1" applyFill="1" applyAlignment="1">
      <alignment horizontal="center"/>
    </xf>
    <xf numFmtId="0" fontId="1" fillId="1050" borderId="0" xfId="0" applyFont="1" applyFill="1" applyAlignment="1">
      <alignment horizontal="center"/>
    </xf>
    <xf numFmtId="0" fontId="1" fillId="1051" borderId="0" xfId="0" applyFont="1" applyFill="1" applyAlignment="1">
      <alignment horizontal="center"/>
    </xf>
    <xf numFmtId="0" fontId="1" fillId="1052" borderId="0" xfId="0" applyFont="1" applyFill="1" applyAlignment="1">
      <alignment horizontal="center"/>
    </xf>
    <xf numFmtId="0" fontId="1" fillId="1053" borderId="0" xfId="0" applyFont="1" applyFill="1" applyAlignment="1">
      <alignment horizontal="center"/>
    </xf>
    <xf numFmtId="0" fontId="1" fillId="1054" borderId="0" xfId="0" applyFont="1" applyFill="1" applyAlignment="1">
      <alignment horizontal="center"/>
    </xf>
    <xf numFmtId="0" fontId="1" fillId="1055" borderId="0" xfId="0" applyFont="1" applyFill="1" applyAlignment="1">
      <alignment horizontal="center"/>
    </xf>
    <xf numFmtId="0" fontId="1" fillId="1056" borderId="0" xfId="0" applyFont="1" applyFill="1" applyAlignment="1">
      <alignment horizontal="center"/>
    </xf>
    <xf numFmtId="0" fontId="1" fillId="1057" borderId="0" xfId="0" applyFont="1" applyFill="1" applyAlignment="1">
      <alignment horizontal="center" vertical="center" wrapText="1"/>
    </xf>
    <xf numFmtId="0" fontId="1" fillId="494" borderId="4" xfId="0" applyFont="1" applyFill="1" applyBorder="1" applyAlignment="1">
      <alignment horizontal="center" vertical="center" wrapText="1"/>
    </xf>
    <xf numFmtId="0" fontId="17" fillId="1008" borderId="0" xfId="0" applyFont="1" applyFill="1" applyAlignment="1">
      <alignment horizontal="center" vertical="center"/>
    </xf>
    <xf numFmtId="0" fontId="0" fillId="83" borderId="0" xfId="0" applyFill="1" applyAlignment="1">
      <alignment horizontal="center" vertical="center" wrapText="1"/>
    </xf>
    <xf numFmtId="0" fontId="0" fillId="87" borderId="0" xfId="0" applyFill="1" applyAlignment="1">
      <alignment horizontal="center" vertical="center" wrapText="1"/>
    </xf>
    <xf numFmtId="0" fontId="27" fillId="105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62" borderId="0" xfId="0" applyFill="1" applyAlignment="1">
      <alignment horizontal="center" vertical="center" wrapText="1"/>
    </xf>
    <xf numFmtId="0" fontId="0" fillId="427" borderId="0" xfId="0" applyFill="1" applyAlignment="1">
      <alignment horizontal="center" vertical="center" wrapText="1"/>
    </xf>
    <xf numFmtId="0" fontId="0" fillId="430" borderId="0" xfId="0" applyFill="1" applyAlignment="1">
      <alignment horizontal="center" vertical="center" wrapText="1"/>
    </xf>
    <xf numFmtId="0" fontId="0" fillId="17" borderId="0" xfId="0" applyFill="1" applyAlignment="1">
      <alignment horizontal="center" vertical="center" wrapText="1"/>
    </xf>
    <xf numFmtId="0" fontId="0" fillId="51" borderId="0" xfId="0" applyFill="1" applyAlignment="1">
      <alignment horizontal="center" vertical="center" wrapText="1"/>
    </xf>
    <xf numFmtId="0" fontId="17" fillId="136" borderId="0" xfId="0" applyFont="1" applyFill="1" applyAlignment="1">
      <alignment horizontal="center" vertical="center" wrapText="1"/>
    </xf>
    <xf numFmtId="0" fontId="17" fillId="451" borderId="0" xfId="0" applyFont="1" applyFill="1" applyAlignment="1">
      <alignment horizontal="center" vertical="center" wrapText="1"/>
    </xf>
    <xf numFmtId="0" fontId="0" fillId="47" borderId="0" xfId="0" applyFill="1" applyAlignment="1">
      <alignment horizontal="center" vertical="center" wrapText="1"/>
    </xf>
    <xf numFmtId="0" fontId="17" fillId="70" borderId="0" xfId="0" applyFont="1" applyFill="1" applyAlignment="1">
      <alignment horizontal="center" vertical="center" wrapText="1"/>
    </xf>
    <xf numFmtId="0" fontId="17" fillId="378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235" borderId="0" xfId="0" applyFill="1" applyAlignment="1">
      <alignment horizontal="center" vertical="center" wrapText="1"/>
    </xf>
    <xf numFmtId="0" fontId="0" fillId="233" borderId="0" xfId="0" applyFill="1" applyAlignment="1">
      <alignment horizontal="center" vertical="center" wrapText="1"/>
    </xf>
    <xf numFmtId="0" fontId="0" fillId="190" borderId="0" xfId="0" applyFill="1" applyAlignment="1">
      <alignment horizontal="center" vertical="center" wrapText="1"/>
    </xf>
    <xf numFmtId="0" fontId="17" fillId="364" borderId="0" xfId="0" applyFont="1" applyFill="1" applyAlignment="1">
      <alignment horizontal="center" vertical="center" wrapText="1"/>
    </xf>
    <xf numFmtId="0" fontId="17" fillId="437" borderId="0" xfId="0" applyFont="1" applyFill="1" applyAlignment="1">
      <alignment horizontal="center" vertical="center" wrapText="1"/>
    </xf>
    <xf numFmtId="0" fontId="27" fillId="1059" borderId="0" xfId="0" applyFont="1" applyFill="1" applyAlignment="1">
      <alignment horizontal="center" vertical="center" wrapText="1"/>
    </xf>
    <xf numFmtId="0" fontId="0" fillId="178" borderId="0" xfId="0" applyFill="1" applyAlignment="1">
      <alignment horizontal="center" vertical="center" wrapText="1"/>
    </xf>
    <xf numFmtId="0" fontId="0" fillId="73" borderId="0" xfId="0" applyFill="1" applyAlignment="1">
      <alignment horizontal="center" vertical="center" wrapText="1"/>
    </xf>
    <xf numFmtId="0" fontId="0" fillId="101" borderId="0" xfId="0" applyFill="1" applyAlignment="1">
      <alignment horizontal="center" vertical="center" wrapText="1"/>
    </xf>
    <xf numFmtId="0" fontId="0" fillId="200" borderId="0" xfId="0" applyFill="1" applyAlignment="1">
      <alignment horizontal="center" vertical="center" wrapText="1"/>
    </xf>
    <xf numFmtId="0" fontId="17" fillId="245" borderId="0" xfId="0" applyFont="1" applyFill="1" applyAlignment="1">
      <alignment horizontal="center" vertical="center" wrapText="1"/>
    </xf>
    <xf numFmtId="0" fontId="17" fillId="231" borderId="0" xfId="0" applyFont="1" applyFill="1" applyAlignment="1">
      <alignment horizontal="center" vertical="center" wrapText="1"/>
    </xf>
    <xf numFmtId="0" fontId="17" fillId="227" borderId="0" xfId="0" applyFont="1" applyFill="1" applyAlignment="1">
      <alignment horizontal="center" vertical="center" wrapText="1"/>
    </xf>
    <xf numFmtId="0" fontId="17" fillId="160" borderId="0" xfId="0" applyFont="1" applyFill="1" applyAlignment="1">
      <alignment horizontal="center" vertical="center" wrapText="1"/>
    </xf>
    <xf numFmtId="0" fontId="17" fillId="296" borderId="0" xfId="0" applyFont="1" applyFill="1" applyAlignment="1">
      <alignment horizontal="center" vertical="center" wrapText="1"/>
    </xf>
    <xf numFmtId="0" fontId="0" fillId="298" borderId="0" xfId="0" applyFill="1" applyAlignment="1">
      <alignment horizontal="center" vertical="center" wrapText="1"/>
    </xf>
    <xf numFmtId="0" fontId="17" fillId="373" borderId="0" xfId="0" applyFont="1" applyFill="1" applyAlignment="1">
      <alignment horizontal="center" vertical="center" wrapText="1"/>
    </xf>
    <xf numFmtId="0" fontId="0" fillId="179" borderId="0" xfId="0" applyFill="1" applyAlignment="1">
      <alignment horizontal="center" vertical="center" wrapText="1"/>
    </xf>
    <xf numFmtId="0" fontId="17" fillId="371" borderId="0" xfId="0" applyFont="1" applyFill="1" applyAlignment="1">
      <alignment horizontal="center" vertical="center" wrapText="1"/>
    </xf>
    <xf numFmtId="0" fontId="17" fillId="81" borderId="0" xfId="0" applyFont="1" applyFill="1" applyAlignment="1">
      <alignment horizontal="center" vertical="center" wrapText="1"/>
    </xf>
    <xf numFmtId="0" fontId="0" fillId="84" borderId="0" xfId="0" applyFill="1" applyAlignment="1">
      <alignment horizontal="center" vertical="center" wrapText="1"/>
    </xf>
    <xf numFmtId="0" fontId="0" fillId="172" borderId="0" xfId="0" applyFill="1" applyAlignment="1">
      <alignment horizontal="center" vertical="center" wrapText="1"/>
    </xf>
    <xf numFmtId="0" fontId="0" fillId="94" borderId="0" xfId="0" applyFill="1" applyAlignment="1">
      <alignment horizontal="center" vertical="center" wrapText="1"/>
    </xf>
    <xf numFmtId="0" fontId="0" fillId="260" borderId="0" xfId="0" applyFill="1" applyAlignment="1">
      <alignment horizontal="center" vertical="center" wrapText="1"/>
    </xf>
    <xf numFmtId="0" fontId="0" fillId="343" borderId="0" xfId="0" applyFill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0" fontId="17" fillId="87" borderId="0" xfId="0" applyFont="1" applyFill="1" applyAlignment="1">
      <alignment horizontal="center" vertical="center" wrapText="1"/>
    </xf>
    <xf numFmtId="0" fontId="0" fillId="90" borderId="0" xfId="0" applyFill="1" applyAlignment="1">
      <alignment horizontal="center" vertical="center" wrapText="1"/>
    </xf>
    <xf numFmtId="0" fontId="17" fillId="212" borderId="0" xfId="0" applyFont="1" applyFill="1" applyAlignment="1">
      <alignment horizontal="center" vertical="center" wrapText="1"/>
    </xf>
    <xf numFmtId="0" fontId="0" fillId="216" borderId="0" xfId="0" applyFill="1" applyAlignment="1">
      <alignment horizontal="center" vertical="center" wrapText="1"/>
    </xf>
    <xf numFmtId="0" fontId="0" fillId="218" borderId="0" xfId="0" applyFill="1" applyAlignment="1">
      <alignment horizontal="center" vertical="center" wrapText="1"/>
    </xf>
    <xf numFmtId="0" fontId="17" fillId="173" borderId="0" xfId="0" applyFont="1" applyFill="1" applyAlignment="1">
      <alignment horizontal="center" vertical="center" wrapText="1"/>
    </xf>
    <xf numFmtId="0" fontId="17" fillId="243" borderId="0" xfId="0" applyFont="1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17" fillId="253" borderId="0" xfId="0" applyFont="1" applyFill="1" applyAlignment="1">
      <alignment horizontal="center" vertical="center" wrapText="1"/>
    </xf>
    <xf numFmtId="0" fontId="0" fillId="259" borderId="0" xfId="0" applyFill="1" applyAlignment="1">
      <alignment horizontal="center" vertical="center" wrapText="1"/>
    </xf>
    <xf numFmtId="0" fontId="0" fillId="261" borderId="0" xfId="0" applyFill="1" applyAlignment="1">
      <alignment horizontal="center" vertical="center" wrapText="1"/>
    </xf>
    <xf numFmtId="0" fontId="0" fillId="240" borderId="0" xfId="0" applyFill="1" applyAlignment="1">
      <alignment horizontal="center" vertical="center" wrapText="1"/>
    </xf>
    <xf numFmtId="0" fontId="17" fillId="325" borderId="0" xfId="0" applyFont="1" applyFill="1" applyAlignment="1">
      <alignment horizontal="center" vertical="center" wrapText="1"/>
    </xf>
    <xf numFmtId="0" fontId="0" fillId="355" borderId="0" xfId="0" applyFill="1" applyAlignment="1">
      <alignment horizontal="center" vertical="center" wrapText="1"/>
    </xf>
    <xf numFmtId="0" fontId="0" fillId="158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81" borderId="0" xfId="0" applyFill="1" applyAlignment="1">
      <alignment horizontal="center" vertical="center" wrapText="1"/>
    </xf>
    <xf numFmtId="0" fontId="0" fillId="351" borderId="0" xfId="0" applyFill="1" applyAlignment="1">
      <alignment horizontal="center" vertical="center" wrapText="1"/>
    </xf>
    <xf numFmtId="0" fontId="0" fillId="404" borderId="0" xfId="0" applyFill="1" applyAlignment="1">
      <alignment horizontal="center" vertical="center" wrapText="1"/>
    </xf>
    <xf numFmtId="0" fontId="0" fillId="85" borderId="0" xfId="0" applyFill="1" applyAlignment="1">
      <alignment horizontal="center" vertical="center" wrapText="1"/>
    </xf>
    <xf numFmtId="0" fontId="17" fillId="445" borderId="0" xfId="0" applyFont="1" applyFill="1" applyAlignment="1">
      <alignment horizontal="center" vertical="center" wrapText="1"/>
    </xf>
    <xf numFmtId="0" fontId="17" fillId="447" borderId="0" xfId="0" applyFont="1" applyFill="1" applyAlignment="1">
      <alignment horizontal="center" vertical="center" wrapText="1"/>
    </xf>
    <xf numFmtId="0" fontId="0" fillId="415" borderId="0" xfId="0" applyFill="1" applyAlignment="1">
      <alignment horizontal="center" vertical="center" wrapText="1"/>
    </xf>
    <xf numFmtId="0" fontId="0" fillId="326" borderId="0" xfId="0" applyFill="1" applyAlignment="1">
      <alignment horizontal="center" vertical="center" wrapText="1"/>
    </xf>
    <xf numFmtId="0" fontId="17" fillId="370" borderId="0" xfId="0" applyFont="1" applyFill="1" applyAlignment="1">
      <alignment horizontal="center" vertical="center" wrapText="1"/>
    </xf>
    <xf numFmtId="0" fontId="0" fillId="310" borderId="0" xfId="0" applyFill="1" applyAlignment="1">
      <alignment horizontal="center" vertical="center" wrapText="1"/>
    </xf>
    <xf numFmtId="0" fontId="17" fillId="384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7" fillId="323" borderId="0" xfId="0" applyFont="1" applyFill="1" applyAlignment="1">
      <alignment horizontal="center" vertical="center" wrapText="1"/>
    </xf>
    <xf numFmtId="0" fontId="0" fillId="327" borderId="0" xfId="0" applyFill="1" applyAlignment="1">
      <alignment horizontal="center" vertical="center" wrapText="1"/>
    </xf>
    <xf numFmtId="0" fontId="0" fillId="314" borderId="0" xfId="0" applyFill="1" applyAlignment="1">
      <alignment horizontal="center" vertical="center" wrapText="1"/>
    </xf>
    <xf numFmtId="0" fontId="0" fillId="316" borderId="0" xfId="0" applyFill="1" applyAlignment="1">
      <alignment horizontal="center" vertical="center" wrapText="1"/>
    </xf>
    <xf numFmtId="0" fontId="0" fillId="103" borderId="0" xfId="0" applyFill="1" applyAlignment="1">
      <alignment horizontal="center" vertical="center" wrapText="1"/>
    </xf>
    <xf numFmtId="0" fontId="17" fillId="279" borderId="0" xfId="0" applyFont="1" applyFill="1" applyAlignment="1">
      <alignment horizontal="center" vertical="center" wrapText="1"/>
    </xf>
    <xf numFmtId="0" fontId="0" fillId="280" borderId="0" xfId="0" applyFill="1" applyAlignment="1">
      <alignment horizontal="center" vertical="center" wrapText="1"/>
    </xf>
    <xf numFmtId="0" fontId="17" fillId="342" borderId="0" xfId="0" applyFont="1" applyFill="1" applyAlignment="1">
      <alignment horizontal="center" vertical="center" wrapText="1"/>
    </xf>
    <xf numFmtId="0" fontId="17" fillId="394" borderId="0" xfId="0" applyFont="1" applyFill="1" applyAlignment="1">
      <alignment horizontal="center" vertical="center" wrapText="1"/>
    </xf>
    <xf numFmtId="0" fontId="0" fillId="248" borderId="0" xfId="0" applyFill="1" applyAlignment="1">
      <alignment horizontal="center" vertical="center" wrapText="1"/>
    </xf>
    <xf numFmtId="0" fontId="0" fillId="168" borderId="0" xfId="0" applyFill="1" applyAlignment="1">
      <alignment horizontal="center" vertical="center" wrapText="1"/>
    </xf>
    <xf numFmtId="0" fontId="0" fillId="333" borderId="0" xfId="0" applyFill="1" applyAlignment="1">
      <alignment horizontal="center" vertical="center" wrapText="1"/>
    </xf>
    <xf numFmtId="0" fontId="0" fillId="306" borderId="0" xfId="0" applyFill="1" applyAlignment="1">
      <alignment horizontal="center" vertical="center" wrapText="1"/>
    </xf>
    <xf numFmtId="0" fontId="0" fillId="354" borderId="0" xfId="0" applyFill="1" applyAlignment="1">
      <alignment horizontal="center" vertical="center" wrapText="1"/>
    </xf>
    <xf numFmtId="0" fontId="17" fillId="114" borderId="0" xfId="0" applyFont="1" applyFill="1" applyAlignment="1">
      <alignment horizontal="center" vertical="center" wrapText="1"/>
    </xf>
    <xf numFmtId="0" fontId="0" fillId="61" borderId="0" xfId="0" applyFill="1" applyAlignment="1">
      <alignment horizontal="center" vertical="center" wrapText="1"/>
    </xf>
    <xf numFmtId="0" fontId="0" fillId="43" borderId="0" xfId="0" applyFill="1" applyAlignment="1">
      <alignment horizontal="center" vertical="center" wrapText="1"/>
    </xf>
    <xf numFmtId="0" fontId="0" fillId="449" borderId="0" xfId="0" applyFill="1" applyAlignment="1">
      <alignment horizontal="center" vertical="center" wrapText="1"/>
    </xf>
    <xf numFmtId="0" fontId="0" fillId="379" borderId="0" xfId="0" applyFill="1" applyAlignment="1">
      <alignment horizontal="center" vertical="center" wrapText="1"/>
    </xf>
    <xf numFmtId="0" fontId="17" fillId="108" borderId="0" xfId="0" applyFont="1" applyFill="1" applyAlignment="1">
      <alignment horizontal="center" vertical="center" wrapText="1"/>
    </xf>
    <xf numFmtId="0" fontId="0" fillId="273" borderId="0" xfId="0" applyFill="1" applyAlignment="1">
      <alignment horizontal="center" vertical="center" wrapText="1"/>
    </xf>
    <xf numFmtId="0" fontId="17" fillId="38" borderId="0" xfId="0" applyFont="1" applyFill="1" applyAlignment="1">
      <alignment horizontal="center" vertical="center" wrapText="1"/>
    </xf>
    <xf numFmtId="0" fontId="17" fillId="299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17" fillId="30" borderId="0" xfId="0" applyFont="1" applyFill="1" applyAlignment="1">
      <alignment horizontal="center" vertical="center" wrapText="1"/>
    </xf>
    <xf numFmtId="0" fontId="17" fillId="1060" borderId="0" xfId="0" applyFont="1" applyFill="1" applyAlignment="1">
      <alignment horizontal="center" vertical="center" wrapText="1"/>
    </xf>
    <xf numFmtId="0" fontId="17" fillId="396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213" borderId="0" xfId="0" applyFont="1" applyFill="1" applyAlignment="1">
      <alignment horizontal="center" vertical="center" wrapText="1"/>
    </xf>
    <xf numFmtId="0" fontId="17" fillId="215" borderId="0" xfId="0" applyFont="1" applyFill="1" applyAlignment="1">
      <alignment horizontal="center" vertical="center" wrapText="1"/>
    </xf>
    <xf numFmtId="0" fontId="0" fillId="289" borderId="0" xfId="0" applyFill="1" applyAlignment="1">
      <alignment horizontal="center" vertical="center" wrapText="1"/>
    </xf>
    <xf numFmtId="0" fontId="17" fillId="285" borderId="0" xfId="0" applyFont="1" applyFill="1" applyAlignment="1">
      <alignment horizontal="center" vertical="center" wrapText="1"/>
    </xf>
    <xf numFmtId="0" fontId="17" fillId="106" borderId="0" xfId="0" applyFont="1" applyFill="1" applyAlignment="1">
      <alignment horizontal="center" vertical="center" wrapText="1"/>
    </xf>
    <xf numFmtId="0" fontId="0" fillId="141" borderId="0" xfId="0" applyFill="1" applyAlignment="1">
      <alignment horizontal="center" vertical="center" wrapText="1"/>
    </xf>
    <xf numFmtId="0" fontId="17" fillId="105" borderId="0" xfId="0" applyFont="1" applyFill="1" applyAlignment="1">
      <alignment horizontal="center" vertical="center" wrapText="1"/>
    </xf>
    <xf numFmtId="0" fontId="0" fillId="40" borderId="0" xfId="0" applyFill="1" applyAlignment="1">
      <alignment horizontal="center" vertical="center" wrapText="1"/>
    </xf>
    <xf numFmtId="0" fontId="17" fillId="111" borderId="0" xfId="0" applyFont="1" applyFill="1" applyAlignment="1">
      <alignment horizontal="center" vertical="center" wrapText="1"/>
    </xf>
    <xf numFmtId="0" fontId="17" fillId="175" borderId="0" xfId="0" applyFont="1" applyFill="1" applyAlignment="1">
      <alignment horizontal="center" vertical="center" wrapText="1"/>
    </xf>
    <xf numFmtId="0" fontId="0" fillId="228" borderId="0" xfId="0" applyFill="1" applyAlignment="1">
      <alignment horizontal="center" vertical="center" wrapText="1"/>
    </xf>
    <xf numFmtId="0" fontId="17" fillId="210" borderId="0" xfId="0" applyFont="1" applyFill="1" applyAlignment="1">
      <alignment horizontal="center" vertical="center" wrapText="1"/>
    </xf>
    <xf numFmtId="0" fontId="0" fillId="444" borderId="0" xfId="0" applyFill="1" applyAlignment="1">
      <alignment horizontal="center" vertical="center" wrapText="1"/>
    </xf>
    <xf numFmtId="0" fontId="17" fillId="211" borderId="0" xfId="0" applyFont="1" applyFill="1" applyAlignment="1">
      <alignment horizontal="center" vertical="center" wrapText="1"/>
    </xf>
    <xf numFmtId="0" fontId="17" fillId="107" borderId="0" xfId="0" applyFont="1" applyFill="1" applyAlignment="1">
      <alignment horizontal="center" vertical="center" wrapText="1"/>
    </xf>
    <xf numFmtId="0" fontId="0" fillId="56" borderId="0" xfId="0" applyFill="1" applyAlignment="1">
      <alignment horizontal="center" vertical="center" wrapText="1"/>
    </xf>
    <xf numFmtId="0" fontId="0" fillId="257" borderId="0" xfId="0" applyFill="1" applyAlignment="1">
      <alignment horizontal="center" vertical="center" wrapText="1"/>
    </xf>
    <xf numFmtId="0" fontId="0" fillId="304" borderId="0" xfId="0" applyFill="1" applyAlignment="1">
      <alignment horizontal="center" vertical="center" wrapText="1"/>
    </xf>
    <xf numFmtId="0" fontId="17" fillId="291" borderId="0" xfId="0" applyFont="1" applyFill="1" applyAlignment="1">
      <alignment horizontal="center" vertical="center" wrapText="1"/>
    </xf>
    <xf numFmtId="0" fontId="0" fillId="209" borderId="0" xfId="0" applyFill="1" applyAlignment="1">
      <alignment horizontal="center" vertical="center" wrapText="1"/>
    </xf>
    <xf numFmtId="0" fontId="17" fillId="308" borderId="0" xfId="0" applyFont="1" applyFill="1" applyAlignment="1">
      <alignment horizontal="center" vertical="center" wrapText="1"/>
    </xf>
    <xf numFmtId="0" fontId="0" fillId="402" borderId="0" xfId="0" applyFill="1" applyAlignment="1">
      <alignment horizontal="center" vertical="center" wrapText="1"/>
    </xf>
    <xf numFmtId="0" fontId="27" fillId="1061" borderId="0" xfId="0" applyFont="1" applyFill="1" applyAlignment="1">
      <alignment horizontal="center" vertical="center" wrapText="1"/>
    </xf>
    <xf numFmtId="0" fontId="17" fillId="91" borderId="0" xfId="0" applyFont="1" applyFill="1" applyAlignment="1">
      <alignment horizontal="center" vertical="center" wrapText="1"/>
    </xf>
    <xf numFmtId="0" fontId="0" fillId="104" borderId="0" xfId="0" applyFill="1" applyAlignment="1">
      <alignment horizontal="center" vertical="center" wrapText="1"/>
    </xf>
    <xf numFmtId="0" fontId="0" fillId="74" borderId="0" xfId="0" applyFill="1" applyAlignment="1">
      <alignment horizontal="center" vertical="center" wrapText="1"/>
    </xf>
    <xf numFmtId="0" fontId="0" fillId="198" borderId="0" xfId="0" applyFill="1" applyAlignment="1">
      <alignment horizontal="center" vertical="center" wrapText="1"/>
    </xf>
    <xf numFmtId="0" fontId="0" fillId="331" borderId="0" xfId="0" applyFill="1" applyAlignment="1">
      <alignment horizontal="center" vertical="center" wrapText="1"/>
    </xf>
    <xf numFmtId="0" fontId="17" fillId="348" borderId="0" xfId="0" applyFont="1" applyFill="1" applyAlignment="1">
      <alignment horizontal="center" vertical="center" wrapText="1"/>
    </xf>
    <xf numFmtId="0" fontId="27" fillId="1062" borderId="0" xfId="0" applyFont="1" applyFill="1" applyAlignment="1">
      <alignment horizontal="center" vertical="center" wrapText="1"/>
    </xf>
    <xf numFmtId="0" fontId="0" fillId="344" borderId="0" xfId="0" applyFill="1" applyAlignment="1">
      <alignment horizontal="center" vertical="center" wrapText="1"/>
    </xf>
    <xf numFmtId="0" fontId="17" fillId="398" borderId="0" xfId="0" applyFont="1" applyFill="1" applyAlignment="1">
      <alignment horizontal="center" vertical="center" wrapText="1"/>
    </xf>
    <xf numFmtId="0" fontId="17" fillId="156" borderId="0" xfId="0" applyFont="1" applyFill="1" applyAlignment="1">
      <alignment horizontal="center" vertical="center" wrapText="1"/>
    </xf>
    <xf numFmtId="0" fontId="17" fillId="1063" borderId="0" xfId="0" applyFont="1" applyFill="1" applyAlignment="1">
      <alignment horizontal="center" vertical="center" wrapText="1"/>
    </xf>
    <xf numFmtId="0" fontId="17" fillId="286" borderId="0" xfId="0" applyFont="1" applyFill="1" applyAlignment="1">
      <alignment horizontal="center" vertical="center" wrapText="1"/>
    </xf>
    <xf numFmtId="0" fontId="17" fillId="246" borderId="0" xfId="0" applyFont="1" applyFill="1" applyAlignment="1">
      <alignment horizontal="center" vertical="center" wrapText="1"/>
    </xf>
    <xf numFmtId="0" fontId="0" fillId="256" borderId="0" xfId="0" applyFill="1" applyAlignment="1">
      <alignment horizontal="center" vertical="center" wrapText="1"/>
    </xf>
    <xf numFmtId="0" fontId="17" fillId="12" borderId="0" xfId="0" applyFont="1" applyFill="1" applyAlignment="1">
      <alignment horizontal="center" vertical="center" wrapText="1"/>
    </xf>
    <xf numFmtId="0" fontId="17" fillId="52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0" fillId="137" borderId="0" xfId="0" applyFill="1" applyAlignment="1">
      <alignment horizontal="center" vertical="center" wrapText="1"/>
    </xf>
    <xf numFmtId="0" fontId="0" fillId="251" borderId="0" xfId="0" applyFill="1" applyAlignment="1">
      <alignment horizontal="center" vertical="center" wrapText="1"/>
    </xf>
    <xf numFmtId="0" fontId="17" fillId="154" borderId="0" xfId="0" applyFont="1" applyFill="1" applyAlignment="1">
      <alignment horizontal="center" vertical="center" wrapText="1"/>
    </xf>
    <xf numFmtId="0" fontId="27" fillId="1064" borderId="0" xfId="0" applyFont="1" applyFill="1" applyAlignment="1">
      <alignment horizontal="center" vertical="center" wrapText="1"/>
    </xf>
    <xf numFmtId="0" fontId="0" fillId="41" borderId="0" xfId="0" applyFill="1" applyAlignment="1">
      <alignment horizontal="center" vertical="center" wrapText="1"/>
    </xf>
    <xf numFmtId="0" fontId="27" fillId="1065" borderId="0" xfId="0" applyFont="1" applyFill="1" applyAlignment="1">
      <alignment horizontal="center" vertical="center" wrapText="1"/>
    </xf>
    <xf numFmtId="0" fontId="0" fillId="372" borderId="0" xfId="0" applyFill="1" applyAlignment="1">
      <alignment horizontal="center" vertical="center" wrapText="1"/>
    </xf>
    <xf numFmtId="0" fontId="0" fillId="419" borderId="0" xfId="0" applyFill="1" applyAlignment="1">
      <alignment horizontal="center" vertical="center" wrapText="1"/>
    </xf>
    <xf numFmtId="0" fontId="0" fillId="166" borderId="0" xfId="0" applyFill="1" applyAlignment="1">
      <alignment horizontal="center" vertical="center" wrapText="1"/>
    </xf>
    <xf numFmtId="0" fontId="0" fillId="417" borderId="0" xfId="0" applyFill="1" applyAlignment="1">
      <alignment horizontal="center" vertical="center" wrapText="1"/>
    </xf>
    <xf numFmtId="0" fontId="0" fillId="421" borderId="0" xfId="0" applyFill="1" applyAlignment="1">
      <alignment horizontal="center" vertical="center" wrapText="1"/>
    </xf>
    <xf numFmtId="0" fontId="0" fillId="268" borderId="0" xfId="0" applyFill="1" applyAlignment="1">
      <alignment horizontal="center" vertical="center" wrapText="1"/>
    </xf>
    <xf numFmtId="0" fontId="0" fillId="89" borderId="0" xfId="0" applyFill="1" applyAlignment="1">
      <alignment horizontal="center" vertical="center" wrapText="1"/>
    </xf>
    <xf numFmtId="0" fontId="0" fillId="423" borderId="0" xfId="0" applyFill="1" applyAlignment="1">
      <alignment horizontal="center" vertical="center" wrapText="1"/>
    </xf>
    <xf numFmtId="0" fontId="0" fillId="182" borderId="0" xfId="0" applyFill="1" applyAlignment="1">
      <alignment horizontal="center" vertical="center" wrapText="1"/>
    </xf>
    <xf numFmtId="0" fontId="0" fillId="184" borderId="0" xfId="0" applyFill="1" applyAlignment="1">
      <alignment horizontal="center" vertical="center" wrapText="1"/>
    </xf>
    <xf numFmtId="0" fontId="0" fillId="434" borderId="0" xfId="0" applyFill="1" applyAlignment="1">
      <alignment horizontal="center" vertical="center" wrapText="1"/>
    </xf>
    <xf numFmtId="0" fontId="0" fillId="432" borderId="0" xfId="0" applyFill="1" applyAlignment="1">
      <alignment horizontal="center" vertical="center" wrapText="1"/>
    </xf>
    <xf numFmtId="0" fontId="0" fillId="425" borderId="0" xfId="0" applyFill="1" applyAlignment="1">
      <alignment horizontal="center" vertical="center" wrapText="1"/>
    </xf>
    <xf numFmtId="0" fontId="0" fillId="180" borderId="0" xfId="0" applyFill="1" applyAlignment="1">
      <alignment horizontal="center" vertical="center" wrapText="1"/>
    </xf>
    <xf numFmtId="0" fontId="0" fillId="383" borderId="0" xfId="0" applyFill="1" applyAlignment="1">
      <alignment horizontal="center" vertical="center" wrapText="1"/>
    </xf>
    <xf numFmtId="0" fontId="0" fillId="149" borderId="0" xfId="0" applyFill="1" applyAlignment="1">
      <alignment horizontal="center" vertical="center" wrapText="1"/>
    </xf>
    <xf numFmtId="0" fontId="0" fillId="42" borderId="0" xfId="0" applyFill="1" applyAlignment="1">
      <alignment horizontal="center" vertical="center" wrapText="1"/>
    </xf>
    <xf numFmtId="0" fontId="0" fillId="44" borderId="0" xfId="0" applyFill="1" applyAlignment="1">
      <alignment horizontal="center" vertical="center" wrapText="1"/>
    </xf>
    <xf numFmtId="0" fontId="17" fillId="1008" borderId="0" xfId="0" applyFont="1" applyFill="1" applyAlignment="1">
      <alignment horizontal="center"/>
    </xf>
    <xf numFmtId="0" fontId="17" fillId="121" borderId="0" xfId="0" applyFont="1" applyFill="1" applyAlignment="1">
      <alignment horizontal="center" vertical="center" wrapText="1"/>
    </xf>
    <xf numFmtId="0" fontId="17" fillId="380" borderId="0" xfId="0" applyFont="1" applyFill="1" applyAlignment="1">
      <alignment horizontal="center" vertical="center" wrapText="1"/>
    </xf>
    <xf numFmtId="0" fontId="17" fillId="1066" borderId="0" xfId="0" applyFont="1" applyFill="1" applyAlignment="1">
      <alignment horizontal="center" vertical="center" wrapText="1"/>
    </xf>
    <xf numFmtId="0" fontId="17" fillId="161" borderId="0" xfId="0" applyFont="1" applyFill="1" applyAlignment="1">
      <alignment horizontal="center" vertical="center" wrapText="1"/>
    </xf>
    <xf numFmtId="0" fontId="17" fillId="80" borderId="0" xfId="0" applyFont="1" applyFill="1" applyAlignment="1">
      <alignment horizontal="center" vertical="center" wrapText="1"/>
    </xf>
    <xf numFmtId="0" fontId="17" fillId="300" borderId="0" xfId="0" applyFont="1" applyFill="1" applyAlignment="1">
      <alignment horizontal="center" vertical="center" wrapText="1"/>
    </xf>
    <xf numFmtId="0" fontId="17" fillId="363" borderId="0" xfId="0" applyFont="1" applyFill="1" applyAlignment="1">
      <alignment horizontal="center" vertical="center" wrapText="1"/>
    </xf>
    <xf numFmtId="0" fontId="17" fillId="1067" borderId="0" xfId="0" applyFont="1" applyFill="1" applyAlignment="1">
      <alignment horizontal="center" vertical="center" wrapText="1"/>
    </xf>
    <xf numFmtId="0" fontId="0" fillId="119" borderId="0" xfId="0" applyFill="1" applyAlignment="1">
      <alignment horizontal="center" vertical="center" wrapText="1"/>
    </xf>
    <xf numFmtId="0" fontId="0" fillId="454" borderId="0" xfId="0" applyFill="1" applyAlignment="1">
      <alignment horizontal="center" vertical="center" wrapText="1"/>
    </xf>
    <xf numFmtId="0" fontId="0" fillId="195" borderId="0" xfId="0" applyFill="1" applyAlignment="1">
      <alignment horizontal="center" vertical="center" wrapText="1"/>
    </xf>
    <xf numFmtId="0" fontId="0" fillId="202" borderId="0" xfId="0" applyFill="1" applyAlignment="1">
      <alignment horizontal="center" vertical="center" wrapText="1"/>
    </xf>
    <xf numFmtId="0" fontId="17" fillId="408" borderId="0" xfId="0" applyFont="1" applyFill="1" applyAlignment="1">
      <alignment horizontal="center" vertical="center" wrapText="1"/>
    </xf>
    <xf numFmtId="0" fontId="17" fillId="410" borderId="0" xfId="0" applyFont="1" applyFill="1" applyAlignment="1">
      <alignment horizontal="center" vertical="center" wrapText="1"/>
    </xf>
    <xf numFmtId="0" fontId="0" fillId="292" borderId="0" xfId="0" applyFill="1" applyAlignment="1">
      <alignment horizontal="center" vertical="center" wrapText="1"/>
    </xf>
    <xf numFmtId="0" fontId="0" fillId="414" borderId="0" xfId="0" applyFill="1" applyAlignment="1">
      <alignment horizontal="center" vertical="center" wrapText="1"/>
    </xf>
    <xf numFmtId="0" fontId="17" fillId="129" borderId="0" xfId="0" applyFont="1" applyFill="1" applyAlignment="1">
      <alignment horizontal="center" vertical="center" wrapText="1"/>
    </xf>
    <xf numFmtId="0" fontId="0" fillId="39" borderId="0" xfId="0" applyFill="1" applyAlignment="1">
      <alignment horizontal="center" vertical="center" wrapText="1"/>
    </xf>
    <xf numFmtId="0" fontId="17" fillId="236" borderId="0" xfId="0" applyFont="1" applyFill="1" applyAlignment="1">
      <alignment horizontal="center" vertical="center" wrapText="1"/>
    </xf>
    <xf numFmtId="0" fontId="17" fillId="226" borderId="0" xfId="0" applyFont="1" applyFill="1" applyAlignment="1">
      <alignment horizontal="center" vertical="center" wrapText="1"/>
    </xf>
    <xf numFmtId="0" fontId="17" fillId="297" borderId="0" xfId="0" applyFont="1" applyFill="1" applyAlignment="1">
      <alignment horizontal="center" vertical="center" wrapText="1"/>
    </xf>
    <xf numFmtId="0" fontId="17" fillId="295" borderId="0" xfId="0" applyFont="1" applyFill="1" applyAlignment="1">
      <alignment horizontal="center" vertical="center" wrapText="1"/>
    </xf>
    <xf numFmtId="0" fontId="17" fillId="97" borderId="0" xfId="0" applyFont="1" applyFill="1" applyAlignment="1">
      <alignment horizontal="center" vertical="center" wrapText="1"/>
    </xf>
    <xf numFmtId="0" fontId="17" fillId="237" borderId="0" xfId="0" applyFont="1" applyFill="1" applyAlignment="1">
      <alignment horizontal="center" vertical="center" wrapText="1"/>
    </xf>
    <xf numFmtId="0" fontId="0" fillId="249" borderId="0" xfId="0" applyFill="1" applyAlignment="1">
      <alignment horizontal="center" vertical="center" wrapText="1"/>
    </xf>
    <xf numFmtId="0" fontId="27" fillId="1068" borderId="0" xfId="0" applyFont="1" applyFill="1" applyAlignment="1">
      <alignment horizontal="center" vertical="center" wrapText="1"/>
    </xf>
    <xf numFmtId="0" fontId="0" fillId="319" borderId="0" xfId="0" applyFill="1" applyAlignment="1">
      <alignment horizontal="center" vertical="center" wrapText="1"/>
    </xf>
    <xf numFmtId="0" fontId="0" fillId="321" borderId="0" xfId="0" applyFill="1" applyAlignment="1">
      <alignment horizontal="center" vertical="center" wrapText="1"/>
    </xf>
    <xf numFmtId="0" fontId="0" fillId="318" borderId="0" xfId="0" applyFill="1" applyAlignment="1">
      <alignment horizontal="center" vertical="center" wrapText="1"/>
    </xf>
    <xf numFmtId="0" fontId="0" fillId="153" borderId="0" xfId="0" applyFill="1" applyAlignment="1">
      <alignment horizontal="center" vertical="center" wrapText="1"/>
    </xf>
    <xf numFmtId="0" fontId="0" fillId="426" borderId="0" xfId="0" applyFill="1" applyAlignment="1">
      <alignment horizontal="center" vertical="center" wrapText="1"/>
    </xf>
    <xf numFmtId="0" fontId="0" fillId="125" borderId="0" xfId="0" applyFill="1" applyAlignment="1">
      <alignment horizontal="center" vertical="center" wrapText="1"/>
    </xf>
    <xf numFmtId="0" fontId="0" fillId="123" borderId="0" xfId="0" applyFill="1" applyAlignment="1">
      <alignment horizontal="center" vertical="center" wrapText="1"/>
    </xf>
    <xf numFmtId="0" fontId="0" fillId="65" borderId="0" xfId="0" applyFill="1" applyAlignment="1">
      <alignment horizontal="center" vertical="center" wrapText="1"/>
    </xf>
    <xf numFmtId="0" fontId="0" fillId="254" borderId="0" xfId="0" applyFill="1" applyAlignment="1">
      <alignment horizontal="center" vertical="center" wrapText="1"/>
    </xf>
    <xf numFmtId="0" fontId="17" fillId="270" borderId="0" xfId="0" applyFont="1" applyFill="1" applyAlignment="1">
      <alignment horizontal="center" vertical="center" wrapText="1"/>
    </xf>
    <xf numFmtId="0" fontId="0" fillId="174" borderId="0" xfId="0" applyFill="1" applyAlignment="1">
      <alignment horizontal="center" vertical="center" wrapText="1"/>
    </xf>
    <xf numFmtId="0" fontId="0" fillId="207" borderId="0" xfId="0" applyFill="1" applyAlignment="1">
      <alignment horizontal="center" vertical="center" wrapText="1"/>
    </xf>
    <xf numFmtId="0" fontId="17" fillId="216" borderId="0" xfId="0" applyFont="1" applyFill="1" applyAlignment="1">
      <alignment horizontal="center" vertical="center" wrapText="1"/>
    </xf>
    <xf numFmtId="0" fontId="0" fillId="159" borderId="0" xfId="0" applyFill="1" applyAlignment="1">
      <alignment horizontal="center" vertical="center" wrapText="1"/>
    </xf>
    <xf numFmtId="0" fontId="17" fillId="435" borderId="0" xfId="0" applyFont="1" applyFill="1" applyAlignment="1">
      <alignment horizontal="center" vertical="center" wrapText="1"/>
    </xf>
    <xf numFmtId="0" fontId="17" fillId="267" borderId="0" xfId="0" applyFont="1" applyFill="1" applyAlignment="1">
      <alignment horizontal="center" vertical="center" wrapText="1"/>
    </xf>
    <xf numFmtId="0" fontId="17" fillId="238" borderId="0" xfId="0" applyFont="1" applyFill="1" applyAlignment="1">
      <alignment horizontal="center" vertical="center" wrapText="1"/>
    </xf>
    <xf numFmtId="0" fontId="17" fillId="177" borderId="0" xfId="0" applyFont="1" applyFill="1" applyAlignment="1">
      <alignment horizontal="center" vertical="center" wrapText="1"/>
    </xf>
    <xf numFmtId="0" fontId="17" fillId="171" borderId="0" xfId="0" applyFont="1" applyFill="1" applyAlignment="1">
      <alignment horizontal="center" vertical="center" wrapText="1"/>
    </xf>
    <xf numFmtId="0" fontId="17" fillId="1069" borderId="0" xfId="0" applyFont="1" applyFill="1" applyAlignment="1">
      <alignment horizontal="center" vertical="center" wrapText="1"/>
    </xf>
    <xf numFmtId="0" fontId="17" fillId="22" borderId="0" xfId="0" applyFont="1" applyFill="1" applyAlignment="1">
      <alignment horizontal="center" vertical="center" wrapText="1"/>
    </xf>
    <xf numFmtId="0" fontId="0" fillId="55" borderId="0" xfId="0" applyFill="1" applyAlignment="1">
      <alignment horizontal="center" vertical="center" wrapText="1"/>
    </xf>
    <xf numFmtId="0" fontId="17" fillId="220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7" fillId="18" borderId="0" xfId="0" applyFont="1" applyFill="1" applyAlignment="1">
      <alignment horizontal="center" vertical="center" wrapText="1"/>
    </xf>
    <xf numFmtId="0" fontId="0" fillId="181" borderId="0" xfId="0" applyFill="1" applyAlignment="1">
      <alignment horizontal="center" vertical="center" wrapText="1"/>
    </xf>
    <xf numFmtId="0" fontId="0" fillId="188" borderId="0" xfId="0" applyFill="1" applyAlignment="1">
      <alignment horizontal="center" vertical="center" wrapText="1"/>
    </xf>
    <xf numFmtId="0" fontId="17" fillId="163" borderId="0" xfId="0" applyFont="1" applyFill="1" applyAlignment="1">
      <alignment horizontal="center" vertical="center" wrapText="1"/>
    </xf>
    <xf numFmtId="0" fontId="17" fillId="301" borderId="0" xfId="0" applyFont="1" applyFill="1" applyAlignment="1">
      <alignment horizontal="center" vertical="center" wrapText="1"/>
    </xf>
    <xf numFmtId="0" fontId="17" fillId="51" borderId="0" xfId="0" applyFont="1" applyFill="1" applyAlignment="1">
      <alignment horizontal="center" vertical="center" wrapText="1"/>
    </xf>
    <xf numFmtId="0" fontId="0" fillId="57" borderId="0" xfId="0" applyFill="1" applyAlignment="1">
      <alignment horizontal="center" vertical="center" wrapText="1"/>
    </xf>
    <xf numFmtId="0" fontId="17" fillId="229" borderId="0" xfId="0" applyFont="1" applyFill="1" applyAlignment="1">
      <alignment horizontal="center" vertical="center" wrapText="1"/>
    </xf>
    <xf numFmtId="0" fontId="0" fillId="32" borderId="0" xfId="0" applyFill="1" applyAlignment="1">
      <alignment horizontal="center" vertical="center" wrapText="1"/>
    </xf>
    <xf numFmtId="0" fontId="0" fillId="142" borderId="0" xfId="0" applyFill="1" applyAlignment="1">
      <alignment horizontal="center" vertical="center" wrapText="1"/>
    </xf>
    <xf numFmtId="0" fontId="0" fillId="369" borderId="0" xfId="0" applyFill="1" applyAlignment="1">
      <alignment horizontal="center" vertical="center" wrapText="1"/>
    </xf>
    <xf numFmtId="0" fontId="0" fillId="367" borderId="0" xfId="0" applyFill="1" applyAlignment="1">
      <alignment horizontal="center" vertical="center" wrapText="1"/>
    </xf>
    <xf numFmtId="0" fontId="14" fillId="1008" borderId="36" xfId="0" applyFont="1" applyFill="1" applyBorder="1" applyAlignment="1">
      <alignment horizontal="center" vertical="center" wrapText="1"/>
    </xf>
    <xf numFmtId="0" fontId="14" fillId="1008" borderId="32" xfId="0" applyFont="1" applyFill="1" applyBorder="1" applyAlignment="1">
      <alignment horizontal="center" vertical="center" wrapText="1"/>
    </xf>
    <xf numFmtId="0" fontId="14" fillId="1008" borderId="37" xfId="0" applyFont="1" applyFill="1" applyBorder="1" applyAlignment="1">
      <alignment horizontal="center" vertical="center" wrapText="1"/>
    </xf>
    <xf numFmtId="0" fontId="14" fillId="1008" borderId="38" xfId="0" applyFont="1" applyFill="1" applyBorder="1" applyAlignment="1">
      <alignment horizontal="center" vertical="center" wrapText="1"/>
    </xf>
    <xf numFmtId="0" fontId="14" fillId="1008" borderId="0" xfId="0" applyFont="1" applyFill="1" applyAlignment="1">
      <alignment horizontal="center" vertical="center" wrapText="1"/>
    </xf>
    <xf numFmtId="0" fontId="14" fillId="1008" borderId="39" xfId="0" applyFont="1" applyFill="1" applyBorder="1" applyAlignment="1">
      <alignment horizontal="center" vertical="center" wrapText="1"/>
    </xf>
    <xf numFmtId="0" fontId="14" fillId="1008" borderId="40" xfId="0" applyFont="1" applyFill="1" applyBorder="1" applyAlignment="1">
      <alignment horizontal="center" vertical="center" wrapText="1"/>
    </xf>
    <xf numFmtId="0" fontId="14" fillId="1008" borderId="41" xfId="0" applyFont="1" applyFill="1" applyBorder="1" applyAlignment="1">
      <alignment horizontal="center" vertical="center" wrapText="1"/>
    </xf>
    <xf numFmtId="0" fontId="14" fillId="1008" borderId="42" xfId="0" applyFont="1" applyFill="1" applyBorder="1" applyAlignment="1">
      <alignment horizontal="center" vertical="center" wrapText="1"/>
    </xf>
    <xf numFmtId="0" fontId="7" fillId="1008" borderId="9" xfId="0" applyFont="1" applyFill="1" applyBorder="1" applyAlignment="1">
      <alignment horizontal="center"/>
    </xf>
    <xf numFmtId="0" fontId="7" fillId="1008" borderId="10" xfId="0" applyFont="1" applyFill="1" applyBorder="1" applyAlignment="1">
      <alignment horizontal="center"/>
    </xf>
    <xf numFmtId="0" fontId="7" fillId="1008" borderId="11" xfId="0" applyFont="1" applyFill="1" applyBorder="1" applyAlignment="1">
      <alignment horizontal="center"/>
    </xf>
    <xf numFmtId="0" fontId="7" fillId="1008" borderId="9" xfId="0" applyFont="1" applyFill="1" applyBorder="1" applyAlignment="1">
      <alignment horizontal="center" vertical="center"/>
    </xf>
    <xf numFmtId="0" fontId="7" fillId="1008" borderId="10" xfId="0" applyFont="1" applyFill="1" applyBorder="1" applyAlignment="1">
      <alignment horizontal="center" vertical="center"/>
    </xf>
    <xf numFmtId="0" fontId="7" fillId="1008" borderId="11" xfId="0" applyFont="1" applyFill="1" applyBorder="1" applyAlignment="1">
      <alignment horizontal="center" vertical="center"/>
    </xf>
    <xf numFmtId="0" fontId="16" fillId="1008" borderId="9" xfId="0" applyFont="1" applyFill="1" applyBorder="1" applyAlignment="1">
      <alignment horizontal="center" vertical="center"/>
    </xf>
    <xf numFmtId="0" fontId="16" fillId="1008" borderId="10" xfId="0" applyFont="1" applyFill="1" applyBorder="1" applyAlignment="1">
      <alignment horizontal="center" vertical="center"/>
    </xf>
    <xf numFmtId="0" fontId="16" fillId="1008" borderId="11" xfId="0" applyFont="1" applyFill="1" applyBorder="1" applyAlignment="1">
      <alignment horizontal="center" vertical="center"/>
    </xf>
    <xf numFmtId="0" fontId="13" fillId="1008" borderId="6" xfId="0" applyFont="1" applyFill="1" applyBorder="1" applyAlignment="1">
      <alignment horizontal="center" vertical="center"/>
    </xf>
    <xf numFmtId="0" fontId="13" fillId="1008" borderId="7" xfId="0" applyFont="1" applyFill="1" applyBorder="1" applyAlignment="1">
      <alignment horizontal="center" vertical="center"/>
    </xf>
    <xf numFmtId="0" fontId="13" fillId="1008" borderId="8" xfId="0" applyFont="1" applyFill="1" applyBorder="1" applyAlignment="1">
      <alignment horizontal="center" vertical="center"/>
    </xf>
    <xf numFmtId="0" fontId="13" fillId="1008" borderId="3" xfId="0" applyFont="1" applyFill="1" applyBorder="1" applyAlignment="1">
      <alignment horizontal="center" vertical="center"/>
    </xf>
    <xf numFmtId="0" fontId="13" fillId="1008" borderId="4" xfId="0" applyFont="1" applyFill="1" applyBorder="1" applyAlignment="1">
      <alignment horizontal="center" vertical="center"/>
    </xf>
    <xf numFmtId="0" fontId="13" fillId="1008" borderId="5" xfId="0" applyFont="1" applyFill="1" applyBorder="1" applyAlignment="1">
      <alignment horizontal="center" vertical="center"/>
    </xf>
    <xf numFmtId="0" fontId="0" fillId="1008" borderId="36" xfId="0" applyFill="1" applyBorder="1" applyAlignment="1">
      <alignment horizontal="left" vertical="center" wrapText="1"/>
    </xf>
    <xf numFmtId="0" fontId="0" fillId="1008" borderId="32" xfId="0" applyFill="1" applyBorder="1" applyAlignment="1">
      <alignment horizontal="left" vertical="center" wrapText="1"/>
    </xf>
    <xf numFmtId="0" fontId="0" fillId="1008" borderId="37" xfId="0" applyFill="1" applyBorder="1" applyAlignment="1">
      <alignment horizontal="left" vertical="center" wrapText="1"/>
    </xf>
    <xf numFmtId="0" fontId="0" fillId="1008" borderId="40" xfId="0" applyFill="1" applyBorder="1" applyAlignment="1">
      <alignment horizontal="left" vertical="center" wrapText="1"/>
    </xf>
    <xf numFmtId="0" fontId="0" fillId="1008" borderId="41" xfId="0" applyFill="1" applyBorder="1" applyAlignment="1">
      <alignment horizontal="left" vertical="center" wrapText="1"/>
    </xf>
    <xf numFmtId="0" fontId="0" fillId="1008" borderId="42" xfId="0" applyFill="1" applyBorder="1" applyAlignment="1">
      <alignment horizontal="left" vertical="center" wrapText="1"/>
    </xf>
    <xf numFmtId="0" fontId="0" fillId="1008" borderId="43" xfId="0" applyFill="1" applyBorder="1" applyAlignment="1">
      <alignment horizontal="center" vertical="center"/>
    </xf>
    <xf numFmtId="0" fontId="0" fillId="1008" borderId="44" xfId="0" applyFill="1" applyBorder="1" applyAlignment="1">
      <alignment horizontal="center" vertical="center"/>
    </xf>
    <xf numFmtId="0" fontId="11" fillId="1008" borderId="7" xfId="0" applyFont="1" applyFill="1" applyBorder="1" applyAlignment="1">
      <alignment horizontal="righ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1008" borderId="6" xfId="0" applyFill="1" applyBorder="1" applyAlignment="1">
      <alignment horizontal="left" vertical="top" wrapText="1"/>
    </xf>
    <xf numFmtId="0" fontId="0" fillId="1008" borderId="7" xfId="0" applyFill="1" applyBorder="1" applyAlignment="1">
      <alignment horizontal="left" vertical="top" wrapText="1"/>
    </xf>
    <xf numFmtId="0" fontId="0" fillId="1008" borderId="8" xfId="0" applyFill="1" applyBorder="1" applyAlignment="1">
      <alignment horizontal="left" vertical="top" wrapText="1"/>
    </xf>
    <xf numFmtId="0" fontId="0" fillId="1008" borderId="1" xfId="0" applyFill="1" applyBorder="1" applyAlignment="1">
      <alignment horizontal="left" vertical="top" wrapText="1"/>
    </xf>
    <xf numFmtId="0" fontId="0" fillId="1008" borderId="0" xfId="0" applyFill="1" applyAlignment="1">
      <alignment horizontal="left" vertical="top" wrapText="1"/>
    </xf>
    <xf numFmtId="0" fontId="0" fillId="1008" borderId="2" xfId="0" applyFill="1" applyBorder="1" applyAlignment="1">
      <alignment horizontal="left" vertical="top" wrapText="1"/>
    </xf>
    <xf numFmtId="0" fontId="0" fillId="1008" borderId="3" xfId="0" applyFill="1" applyBorder="1" applyAlignment="1">
      <alignment horizontal="left" vertical="top" wrapText="1"/>
    </xf>
    <xf numFmtId="0" fontId="0" fillId="1008" borderId="4" xfId="0" applyFill="1" applyBorder="1" applyAlignment="1">
      <alignment horizontal="left" vertical="top" wrapText="1"/>
    </xf>
    <xf numFmtId="0" fontId="0" fillId="1008" borderId="5" xfId="0" applyFill="1" applyBorder="1" applyAlignment="1">
      <alignment horizontal="left" vertical="top" wrapText="1"/>
    </xf>
    <xf numFmtId="0" fontId="24" fillId="1008" borderId="9" xfId="0" applyFont="1" applyFill="1" applyBorder="1" applyAlignment="1">
      <alignment horizontal="center" vertical="center"/>
    </xf>
    <xf numFmtId="0" fontId="24" fillId="1008" borderId="10" xfId="0" applyFont="1" applyFill="1" applyBorder="1" applyAlignment="1">
      <alignment horizontal="center" vertical="center"/>
    </xf>
    <xf numFmtId="0" fontId="24" fillId="1008" borderId="11" xfId="0" applyFont="1" applyFill="1" applyBorder="1" applyAlignment="1">
      <alignment horizontal="center" vertical="center"/>
    </xf>
    <xf numFmtId="0" fontId="24" fillId="1008" borderId="9" xfId="0" applyFont="1" applyFill="1" applyBorder="1" applyAlignment="1">
      <alignment horizontal="center"/>
    </xf>
    <xf numFmtId="0" fontId="24" fillId="1008" borderId="10" xfId="0" applyFont="1" applyFill="1" applyBorder="1" applyAlignment="1">
      <alignment horizontal="center"/>
    </xf>
    <xf numFmtId="0" fontId="24" fillId="1008" borderId="11" xfId="0" applyFont="1" applyFill="1" applyBorder="1" applyAlignment="1">
      <alignment horizontal="center"/>
    </xf>
    <xf numFmtId="0" fontId="23" fillId="1008" borderId="6" xfId="0" applyFont="1" applyFill="1" applyBorder="1" applyAlignment="1">
      <alignment horizontal="left" vertical="top" wrapText="1"/>
    </xf>
    <xf numFmtId="0" fontId="23" fillId="1008" borderId="7" xfId="0" applyFont="1" applyFill="1" applyBorder="1" applyAlignment="1">
      <alignment horizontal="left" vertical="top" wrapText="1"/>
    </xf>
    <xf numFmtId="0" fontId="23" fillId="1008" borderId="7" xfId="0" applyFont="1" applyFill="1" applyBorder="1" applyAlignment="1">
      <alignment horizontal="left" vertical="top"/>
    </xf>
    <xf numFmtId="0" fontId="23" fillId="1008" borderId="8" xfId="0" applyFont="1" applyFill="1" applyBorder="1" applyAlignment="1">
      <alignment horizontal="left" vertical="top"/>
    </xf>
    <xf numFmtId="0" fontId="23" fillId="1008" borderId="1" xfId="0" applyFont="1" applyFill="1" applyBorder="1" applyAlignment="1">
      <alignment horizontal="left" vertical="top"/>
    </xf>
    <xf numFmtId="0" fontId="23" fillId="1008" borderId="0" xfId="0" applyFont="1" applyFill="1" applyAlignment="1">
      <alignment horizontal="left" vertical="top"/>
    </xf>
    <xf numFmtId="0" fontId="23" fillId="1008" borderId="2" xfId="0" applyFont="1" applyFill="1" applyBorder="1" applyAlignment="1">
      <alignment horizontal="left" vertical="top"/>
    </xf>
    <xf numFmtId="0" fontId="23" fillId="1008" borderId="3" xfId="0" applyFont="1" applyFill="1" applyBorder="1" applyAlignment="1">
      <alignment horizontal="left" vertical="top"/>
    </xf>
    <xf numFmtId="0" fontId="23" fillId="1008" borderId="4" xfId="0" applyFont="1" applyFill="1" applyBorder="1" applyAlignment="1">
      <alignment horizontal="left" vertical="top"/>
    </xf>
    <xf numFmtId="0" fontId="23" fillId="1008" borderId="5" xfId="0" applyFont="1" applyFill="1" applyBorder="1" applyAlignment="1">
      <alignment horizontal="left" vertical="top"/>
    </xf>
    <xf numFmtId="0" fontId="2" fillId="1008" borderId="3" xfId="129" applyFill="1" applyBorder="1"/>
    <xf numFmtId="0" fontId="2" fillId="1008" borderId="4" xfId="129" applyFill="1" applyBorder="1"/>
    <xf numFmtId="0" fontId="2" fillId="1008" borderId="5" xfId="129" applyFill="1" applyBorder="1"/>
    <xf numFmtId="0" fontId="0" fillId="1008" borderId="7" xfId="0" applyFill="1" applyBorder="1" applyAlignment="1">
      <alignment horizontal="left" vertical="top"/>
    </xf>
    <xf numFmtId="0" fontId="0" fillId="1008" borderId="8" xfId="0" applyFill="1" applyBorder="1" applyAlignment="1">
      <alignment horizontal="left" vertical="top"/>
    </xf>
    <xf numFmtId="0" fontId="0" fillId="1008" borderId="1" xfId="0" applyFill="1" applyBorder="1" applyAlignment="1">
      <alignment horizontal="left" vertical="top"/>
    </xf>
    <xf numFmtId="0" fontId="0" fillId="1008" borderId="0" xfId="0" applyFill="1" applyAlignment="1">
      <alignment horizontal="left" vertical="top"/>
    </xf>
    <xf numFmtId="0" fontId="0" fillId="1008" borderId="2" xfId="0" applyFill="1" applyBorder="1" applyAlignment="1">
      <alignment horizontal="left" vertical="top"/>
    </xf>
    <xf numFmtId="0" fontId="7" fillId="1008" borderId="6" xfId="0" applyFont="1" applyFill="1" applyBorder="1" applyAlignment="1">
      <alignment horizontal="center"/>
    </xf>
    <xf numFmtId="0" fontId="7" fillId="1008" borderId="7" xfId="0" applyFont="1" applyFill="1" applyBorder="1" applyAlignment="1">
      <alignment horizontal="center"/>
    </xf>
    <xf numFmtId="0" fontId="7" fillId="1008" borderId="8" xfId="0" applyFont="1" applyFill="1" applyBorder="1" applyAlignment="1">
      <alignment horizontal="center"/>
    </xf>
    <xf numFmtId="0" fontId="0" fillId="1008" borderId="3" xfId="0" applyFill="1" applyBorder="1" applyAlignment="1">
      <alignment horizontal="left" vertical="top"/>
    </xf>
    <xf numFmtId="0" fontId="0" fillId="1008" borderId="4" xfId="0" applyFill="1" applyBorder="1" applyAlignment="1">
      <alignment horizontal="left" vertical="top"/>
    </xf>
    <xf numFmtId="0" fontId="0" fillId="1008" borderId="5" xfId="0" applyFill="1" applyBorder="1" applyAlignment="1">
      <alignment horizontal="left" vertical="top"/>
    </xf>
    <xf numFmtId="0" fontId="2" fillId="1008" borderId="1" xfId="129" applyFill="1" applyBorder="1"/>
    <xf numFmtId="0" fontId="2" fillId="1008" borderId="0" xfId="129" applyFill="1" applyBorder="1"/>
    <xf numFmtId="0" fontId="2" fillId="1008" borderId="2" xfId="129" applyFill="1" applyBorder="1"/>
    <xf numFmtId="0" fontId="2" fillId="1008" borderId="3" xfId="129" applyFill="1" applyBorder="1" applyAlignment="1">
      <alignment horizontal="left" vertical="center"/>
    </xf>
    <xf numFmtId="0" fontId="2" fillId="1008" borderId="4" xfId="129" applyFill="1" applyBorder="1" applyAlignment="1">
      <alignment horizontal="left" vertical="center"/>
    </xf>
    <xf numFmtId="0" fontId="2" fillId="1008" borderId="5" xfId="129" applyFill="1" applyBorder="1" applyAlignment="1">
      <alignment horizontal="left" vertical="center"/>
    </xf>
    <xf numFmtId="0" fontId="7" fillId="1008" borderId="6" xfId="0" applyFont="1" applyFill="1" applyBorder="1" applyAlignment="1">
      <alignment horizontal="center" vertical="center"/>
    </xf>
    <xf numFmtId="0" fontId="7" fillId="1008" borderId="7" xfId="0" applyFont="1" applyFill="1" applyBorder="1" applyAlignment="1">
      <alignment horizontal="center" vertical="center"/>
    </xf>
    <xf numFmtId="0" fontId="7" fillId="1008" borderId="8" xfId="0" applyFont="1" applyFill="1" applyBorder="1" applyAlignment="1">
      <alignment horizontal="center" vertical="center"/>
    </xf>
    <xf numFmtId="0" fontId="7" fillId="1008" borderId="3" xfId="0" applyFont="1" applyFill="1" applyBorder="1" applyAlignment="1">
      <alignment horizontal="center" vertical="center"/>
    </xf>
    <xf numFmtId="0" fontId="7" fillId="1008" borderId="4" xfId="0" applyFont="1" applyFill="1" applyBorder="1" applyAlignment="1">
      <alignment horizontal="center" vertical="center"/>
    </xf>
    <xf numFmtId="0" fontId="7" fillId="1008" borderId="5" xfId="0" applyFont="1" applyFill="1" applyBorder="1" applyAlignment="1">
      <alignment horizontal="center" vertical="center"/>
    </xf>
    <xf numFmtId="0" fontId="0" fillId="1008" borderId="0" xfId="0" applyFill="1"/>
    <xf numFmtId="0" fontId="17" fillId="1008" borderId="0" xfId="0" applyFont="1" applyFill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1008" borderId="0" xfId="0" applyFont="1" applyFill="1" applyAlignment="1">
      <alignment horizontal="center"/>
    </xf>
    <xf numFmtId="0" fontId="7" fillId="1008" borderId="1" xfId="0" applyFont="1" applyFill="1" applyBorder="1" applyAlignment="1">
      <alignment horizontal="center" vertical="center"/>
    </xf>
    <xf numFmtId="0" fontId="7" fillId="1008" borderId="0" xfId="0" applyFont="1" applyFill="1" applyAlignment="1">
      <alignment horizontal="center" vertical="center"/>
    </xf>
    <xf numFmtId="0" fontId="7" fillId="1008" borderId="2" xfId="0" applyFont="1" applyFill="1" applyBorder="1" applyAlignment="1">
      <alignment horizontal="center" vertical="center"/>
    </xf>
    <xf numFmtId="0" fontId="0" fillId="1008" borderId="0" xfId="0" applyFill="1" applyAlignment="1">
      <alignment horizontal="center"/>
    </xf>
    <xf numFmtId="0" fontId="7" fillId="1008" borderId="32" xfId="0" applyFont="1" applyFill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0" fillId="492" borderId="19" xfId="0" applyFill="1" applyBorder="1" applyAlignment="1" applyProtection="1">
      <alignment horizontal="center"/>
      <protection locked="0"/>
    </xf>
    <xf numFmtId="0" fontId="0" fillId="492" borderId="20" xfId="0" applyFill="1" applyBorder="1" applyAlignment="1" applyProtection="1">
      <alignment horizontal="center"/>
      <protection locked="0"/>
    </xf>
    <xf numFmtId="0" fontId="0" fillId="492" borderId="23" xfId="0" applyFill="1" applyBorder="1" applyAlignment="1" applyProtection="1">
      <alignment horizontal="center"/>
      <protection locked="0"/>
    </xf>
    <xf numFmtId="164" fontId="0" fillId="0" borderId="26" xfId="0" applyNumberFormat="1" applyBorder="1" applyAlignment="1">
      <alignment horizontal="center"/>
    </xf>
    <xf numFmtId="0" fontId="0" fillId="492" borderId="22" xfId="0" applyFill="1" applyBorder="1" applyAlignment="1" applyProtection="1">
      <alignment horizontal="center"/>
      <protection locked="0"/>
    </xf>
    <xf numFmtId="0" fontId="0" fillId="492" borderId="26" xfId="0" applyFill="1" applyBorder="1" applyAlignment="1" applyProtection="1">
      <alignment horizont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492" borderId="25" xfId="0" applyFill="1" applyBorder="1" applyAlignment="1" applyProtection="1">
      <alignment horizontal="center"/>
      <protection locked="0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</cellXfs>
  <cellStyles count="13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/>
    <cellStyle name="Normal" xfId="0" builtinId="0"/>
  </cellStyles>
  <dxfs count="1">
    <dxf>
      <font>
        <b val="0"/>
        <i val="0"/>
        <color theme="0"/>
      </font>
      <fill>
        <patternFill patternType="none">
          <bgColor auto="1"/>
        </patternFill>
      </fill>
    </dxf>
  </dxfs>
  <tableStyles count="0" defaultTableStyle="TableStyleMedium9" defaultPivotStyle="PivotStyleMedium4"/>
  <colors>
    <mruColors>
      <color rgb="FF3D4496"/>
      <color rgb="FF1B1462"/>
      <color rgb="FFA6A7E4"/>
      <color rgb="FF50091E"/>
      <color rgb="FF6B0027"/>
      <color rgb="FFAD0027"/>
      <color rgb="FFC4742F"/>
      <color rgb="FFA1541A"/>
      <color rgb="FF813D1B"/>
      <color rgb="FF9AEA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Thread Conversion Chart'!A1"/><Relationship Id="rId3" Type="http://schemas.openxmlformats.org/officeDocument/2006/relationships/hyperlink" Target="#'Main Color Chart'!A1"/><Relationship Id="rId7" Type="http://schemas.openxmlformats.org/officeDocument/2006/relationships/hyperlink" Target="#'Floss Use Estimator'!A1"/><Relationship Id="rId2" Type="http://schemas.openxmlformats.org/officeDocument/2006/relationships/hyperlink" Target="#'DMC Threads - By Color'!A1"/><Relationship Id="rId1" Type="http://schemas.openxmlformats.org/officeDocument/2006/relationships/hyperlink" Target="#'DMC Threads - By Number'!A1"/><Relationship Id="rId6" Type="http://schemas.openxmlformats.org/officeDocument/2006/relationships/hyperlink" Target="#'Dimensions Calculator'!A1"/><Relationship Id="rId5" Type="http://schemas.openxmlformats.org/officeDocument/2006/relationships/hyperlink" Target="#'Availability Checker'!A1"/><Relationship Id="rId10" Type="http://schemas.openxmlformats.org/officeDocument/2006/relationships/hyperlink" Target="#'Discontinued &amp; Hard-To-Find'!A1"/><Relationship Id="rId4" Type="http://schemas.openxmlformats.org/officeDocument/2006/relationships/hyperlink" Target="#'Skin &amp; Hair Colour Charts'!A1"/><Relationship Id="rId9" Type="http://schemas.openxmlformats.org/officeDocument/2006/relationships/hyperlink" Target="#'Column Look Up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13</xdr:row>
      <xdr:rowOff>9525</xdr:rowOff>
    </xdr:from>
    <xdr:to>
      <xdr:col>3</xdr:col>
      <xdr:colOff>661988</xdr:colOff>
      <xdr:row>14</xdr:row>
      <xdr:rowOff>195262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52A1EC-9AEA-4EDC-BDCF-709243ABC02A}"/>
            </a:ext>
          </a:extLst>
        </xdr:cNvPr>
        <xdr:cNvSpPr/>
      </xdr:nvSpPr>
      <xdr:spPr>
        <a:xfrm>
          <a:off x="690563" y="2667000"/>
          <a:ext cx="2000250" cy="385762"/>
        </a:xfrm>
        <a:prstGeom prst="rect">
          <a:avLst/>
        </a:prstGeom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By Number</a:t>
          </a:r>
        </a:p>
      </xdr:txBody>
    </xdr:sp>
    <xdr:clientData/>
  </xdr:twoCellAnchor>
  <xdr:twoCellAnchor>
    <xdr:from>
      <xdr:col>4</xdr:col>
      <xdr:colOff>19048</xdr:colOff>
      <xdr:row>13</xdr:row>
      <xdr:rowOff>9526</xdr:rowOff>
    </xdr:from>
    <xdr:to>
      <xdr:col>6</xdr:col>
      <xdr:colOff>666748</xdr:colOff>
      <xdr:row>14</xdr:row>
      <xdr:rowOff>195263</xdr:rowOff>
    </xdr:to>
    <xdr:sp macro="" textlink="">
      <xdr:nvSpPr>
        <xdr:cNvPr id="19" name="Rectang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D10652-EE66-444B-ADCF-F6A7F6483C20}"/>
            </a:ext>
          </a:extLst>
        </xdr:cNvPr>
        <xdr:cNvSpPr/>
      </xdr:nvSpPr>
      <xdr:spPr>
        <a:xfrm>
          <a:off x="2724148" y="2667001"/>
          <a:ext cx="2000250" cy="385762"/>
        </a:xfrm>
        <a:prstGeom prst="rect">
          <a:avLst/>
        </a:prstGeom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By Color</a:t>
          </a:r>
        </a:p>
      </xdr:txBody>
    </xdr:sp>
    <xdr:clientData/>
  </xdr:twoCellAnchor>
  <xdr:twoCellAnchor>
    <xdr:from>
      <xdr:col>1</xdr:col>
      <xdr:colOff>14289</xdr:colOff>
      <xdr:row>19</xdr:row>
      <xdr:rowOff>9526</xdr:rowOff>
    </xdr:from>
    <xdr:to>
      <xdr:col>3</xdr:col>
      <xdr:colOff>661989</xdr:colOff>
      <xdr:row>20</xdr:row>
      <xdr:rowOff>195263</xdr:rowOff>
    </xdr:to>
    <xdr:sp macro="" textlink="">
      <xdr:nvSpPr>
        <xdr:cNvPr id="20" name="Rectang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97DCF0-B4F6-4475-9FBF-2AA4655C2D05}"/>
            </a:ext>
          </a:extLst>
        </xdr:cNvPr>
        <xdr:cNvSpPr/>
      </xdr:nvSpPr>
      <xdr:spPr>
        <a:xfrm>
          <a:off x="690564" y="3695701"/>
          <a:ext cx="2000250" cy="385762"/>
        </a:xfrm>
        <a:prstGeom prst="rect">
          <a:avLst/>
        </a:prstGeom>
        <a:solidFill>
          <a:schemeClr val="accent6"/>
        </a:solidFill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Main Color Chart</a:t>
          </a:r>
        </a:p>
      </xdr:txBody>
    </xdr:sp>
    <xdr:clientData/>
  </xdr:twoCellAnchor>
  <xdr:twoCellAnchor>
    <xdr:from>
      <xdr:col>4</xdr:col>
      <xdr:colOff>19049</xdr:colOff>
      <xdr:row>19</xdr:row>
      <xdr:rowOff>9527</xdr:rowOff>
    </xdr:from>
    <xdr:to>
      <xdr:col>6</xdr:col>
      <xdr:colOff>666749</xdr:colOff>
      <xdr:row>20</xdr:row>
      <xdr:rowOff>195264</xdr:rowOff>
    </xdr:to>
    <xdr:sp macro="" textlink="">
      <xdr:nvSpPr>
        <xdr:cNvPr id="21" name="Rectang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0F6F00-6D25-4C33-996B-91D42A956905}"/>
            </a:ext>
          </a:extLst>
        </xdr:cNvPr>
        <xdr:cNvSpPr/>
      </xdr:nvSpPr>
      <xdr:spPr>
        <a:xfrm>
          <a:off x="2724149" y="3695702"/>
          <a:ext cx="2000250" cy="385762"/>
        </a:xfrm>
        <a:prstGeom prst="rect">
          <a:avLst/>
        </a:prstGeom>
        <a:solidFill>
          <a:schemeClr val="accent6"/>
        </a:solidFill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Skin &amp; Hair Color Charts</a:t>
          </a:r>
        </a:p>
      </xdr:txBody>
    </xdr:sp>
    <xdr:clientData/>
  </xdr:twoCellAnchor>
  <xdr:twoCellAnchor>
    <xdr:from>
      <xdr:col>1</xdr:col>
      <xdr:colOff>9525</xdr:colOff>
      <xdr:row>23</xdr:row>
      <xdr:rowOff>9525</xdr:rowOff>
    </xdr:from>
    <xdr:to>
      <xdr:col>3</xdr:col>
      <xdr:colOff>657225</xdr:colOff>
      <xdr:row>24</xdr:row>
      <xdr:rowOff>195262</xdr:rowOff>
    </xdr:to>
    <xdr:sp macro="" textlink="">
      <xdr:nvSpPr>
        <xdr:cNvPr id="22" name="Rectang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6EC1E1-05E7-4CC7-80DE-6119A3AF31FB}"/>
            </a:ext>
          </a:extLst>
        </xdr:cNvPr>
        <xdr:cNvSpPr/>
      </xdr:nvSpPr>
      <xdr:spPr>
        <a:xfrm>
          <a:off x="685800" y="4524375"/>
          <a:ext cx="2000250" cy="385762"/>
        </a:xfrm>
        <a:prstGeom prst="rect">
          <a:avLst/>
        </a:prstGeom>
        <a:solidFill>
          <a:schemeClr val="accent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Availability</a:t>
          </a:r>
          <a:r>
            <a:rPr lang="en-GB" sz="1100" b="1" baseline="0"/>
            <a:t> Checker</a:t>
          </a:r>
          <a:endParaRPr lang="en-GB" sz="1100" b="1"/>
        </a:p>
      </xdr:txBody>
    </xdr:sp>
    <xdr:clientData/>
  </xdr:twoCellAnchor>
  <xdr:twoCellAnchor>
    <xdr:from>
      <xdr:col>4</xdr:col>
      <xdr:colOff>14285</xdr:colOff>
      <xdr:row>23</xdr:row>
      <xdr:rowOff>9526</xdr:rowOff>
    </xdr:from>
    <xdr:to>
      <xdr:col>6</xdr:col>
      <xdr:colOff>661985</xdr:colOff>
      <xdr:row>24</xdr:row>
      <xdr:rowOff>195263</xdr:rowOff>
    </xdr:to>
    <xdr:sp macro="" textlink="">
      <xdr:nvSpPr>
        <xdr:cNvPr id="23" name="Rectang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274E04-37F5-46C8-9F3D-7BA0BD01CAB3}"/>
            </a:ext>
          </a:extLst>
        </xdr:cNvPr>
        <xdr:cNvSpPr/>
      </xdr:nvSpPr>
      <xdr:spPr>
        <a:xfrm>
          <a:off x="2719385" y="4524376"/>
          <a:ext cx="2000250" cy="385762"/>
        </a:xfrm>
        <a:prstGeom prst="rect">
          <a:avLst/>
        </a:prstGeom>
        <a:solidFill>
          <a:schemeClr val="accent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Fabric</a:t>
          </a:r>
          <a:r>
            <a:rPr lang="en-GB" sz="1100" b="1" baseline="0"/>
            <a:t> Dimensions Calculator</a:t>
          </a:r>
          <a:endParaRPr lang="en-GB" sz="1100" b="1"/>
        </a:p>
      </xdr:txBody>
    </xdr:sp>
    <xdr:clientData/>
  </xdr:twoCellAnchor>
  <xdr:twoCellAnchor>
    <xdr:from>
      <xdr:col>1</xdr:col>
      <xdr:colOff>9525</xdr:colOff>
      <xdr:row>25</xdr:row>
      <xdr:rowOff>0</xdr:rowOff>
    </xdr:from>
    <xdr:to>
      <xdr:col>3</xdr:col>
      <xdr:colOff>657225</xdr:colOff>
      <xdr:row>26</xdr:row>
      <xdr:rowOff>185737</xdr:rowOff>
    </xdr:to>
    <xdr:sp macro="" textlink="">
      <xdr:nvSpPr>
        <xdr:cNvPr id="24" name="Rectang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C0E294-8456-4609-9833-EAB616E561CD}"/>
            </a:ext>
          </a:extLst>
        </xdr:cNvPr>
        <xdr:cNvSpPr/>
      </xdr:nvSpPr>
      <xdr:spPr>
        <a:xfrm>
          <a:off x="685800" y="4914900"/>
          <a:ext cx="2000250" cy="385762"/>
        </a:xfrm>
        <a:prstGeom prst="rect">
          <a:avLst/>
        </a:prstGeom>
        <a:solidFill>
          <a:schemeClr val="accent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Floss</a:t>
          </a:r>
          <a:r>
            <a:rPr lang="en-GB" sz="1100" b="1" baseline="0"/>
            <a:t> Use Estimator</a:t>
          </a:r>
          <a:endParaRPr lang="en-GB" sz="1100" b="1"/>
        </a:p>
      </xdr:txBody>
    </xdr:sp>
    <xdr:clientData/>
  </xdr:twoCellAnchor>
  <xdr:twoCellAnchor>
    <xdr:from>
      <xdr:col>4</xdr:col>
      <xdr:colOff>14285</xdr:colOff>
      <xdr:row>25</xdr:row>
      <xdr:rowOff>1</xdr:rowOff>
    </xdr:from>
    <xdr:to>
      <xdr:col>6</xdr:col>
      <xdr:colOff>661985</xdr:colOff>
      <xdr:row>26</xdr:row>
      <xdr:rowOff>185738</xdr:rowOff>
    </xdr:to>
    <xdr:sp macro="" textlink="">
      <xdr:nvSpPr>
        <xdr:cNvPr id="25" name="Rectang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864CF8D-D533-46FD-A456-9DDFEB54276A}"/>
            </a:ext>
          </a:extLst>
        </xdr:cNvPr>
        <xdr:cNvSpPr/>
      </xdr:nvSpPr>
      <xdr:spPr>
        <a:xfrm>
          <a:off x="2719385" y="4914901"/>
          <a:ext cx="2000250" cy="385762"/>
        </a:xfrm>
        <a:prstGeom prst="rect">
          <a:avLst/>
        </a:prstGeom>
        <a:solidFill>
          <a:schemeClr val="accent1"/>
        </a:solidFill>
        <a:ln w="28575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 b="1"/>
            <a:t>Thread</a:t>
          </a:r>
          <a:r>
            <a:rPr lang="en-GB" sz="1100" b="1" baseline="0"/>
            <a:t> Conversion Chart</a:t>
          </a:r>
          <a:endParaRPr lang="en-GB" sz="1100" b="1"/>
        </a:p>
      </xdr:txBody>
    </xdr:sp>
    <xdr:clientData/>
  </xdr:twoCellAnchor>
  <xdr:twoCellAnchor>
    <xdr:from>
      <xdr:col>1</xdr:col>
      <xdr:colOff>6351</xdr:colOff>
      <xdr:row>15</xdr:row>
      <xdr:rowOff>12702</xdr:rowOff>
    </xdr:from>
    <xdr:to>
      <xdr:col>3</xdr:col>
      <xdr:colOff>660401</xdr:colOff>
      <xdr:row>16</xdr:row>
      <xdr:rowOff>177800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4F4E5C-40FA-4C34-B5B4-75E2733966DA}"/>
            </a:ext>
          </a:extLst>
        </xdr:cNvPr>
        <xdr:cNvSpPr/>
      </xdr:nvSpPr>
      <xdr:spPr>
        <a:xfrm>
          <a:off x="679451" y="3378202"/>
          <a:ext cx="2000250" cy="368298"/>
        </a:xfrm>
        <a:prstGeom prst="rect">
          <a:avLst/>
        </a:prstGeom>
        <a:solidFill>
          <a:srgbClr val="9BBB59"/>
        </a:solidFill>
        <a:ln w="28575">
          <a:solidFill>
            <a:schemeClr val="accent3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/>
            <a:t>Column Look</a:t>
          </a:r>
          <a:r>
            <a:rPr lang="en-GB" sz="1100" baseline="0"/>
            <a:t> Up</a:t>
          </a:r>
          <a:endParaRPr lang="en-GB" sz="1100"/>
        </a:p>
      </xdr:txBody>
    </xdr:sp>
    <xdr:clientData/>
  </xdr:twoCellAnchor>
  <xdr:twoCellAnchor>
    <xdr:from>
      <xdr:col>4</xdr:col>
      <xdr:colOff>0</xdr:colOff>
      <xdr:row>15</xdr:row>
      <xdr:rowOff>12700</xdr:rowOff>
    </xdr:from>
    <xdr:to>
      <xdr:col>6</xdr:col>
      <xdr:colOff>654050</xdr:colOff>
      <xdr:row>16</xdr:row>
      <xdr:rowOff>177798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8669400-1518-CE41-98CC-153B58905CE5}"/>
            </a:ext>
          </a:extLst>
        </xdr:cNvPr>
        <xdr:cNvSpPr/>
      </xdr:nvSpPr>
      <xdr:spPr>
        <a:xfrm>
          <a:off x="2692400" y="3378200"/>
          <a:ext cx="2000250" cy="368298"/>
        </a:xfrm>
        <a:prstGeom prst="rect">
          <a:avLst/>
        </a:prstGeom>
        <a:solidFill>
          <a:srgbClr val="9BBB59"/>
        </a:solidFill>
        <a:ln w="28575">
          <a:solidFill>
            <a:schemeClr val="accent3">
              <a:lumMod val="75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/>
            <a:t>Discontinued &amp; Hard-To-Find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8480</xdr:colOff>
      <xdr:row>43</xdr:row>
      <xdr:rowOff>0</xdr:rowOff>
    </xdr:from>
    <xdr:to>
      <xdr:col>39</xdr:col>
      <xdr:colOff>4247</xdr:colOff>
      <xdr:row>44</xdr:row>
      <xdr:rowOff>12800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675EB798-942C-D646-B691-7B0D525DF3B3}"/>
            </a:ext>
          </a:extLst>
        </xdr:cNvPr>
        <xdr:cNvSpPr/>
      </xdr:nvSpPr>
      <xdr:spPr>
        <a:xfrm>
          <a:off x="31910880" y="8119533"/>
          <a:ext cx="469900" cy="216000"/>
        </a:xfrm>
        <a:prstGeom prst="rect">
          <a:avLst/>
        </a:prstGeom>
        <a:gradFill flip="none" rotWithShape="1">
          <a:gsLst>
            <a:gs pos="0">
              <a:srgbClr val="BF1B48"/>
            </a:gs>
            <a:gs pos="47000">
              <a:srgbClr val="D63F6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44</xdr:row>
      <xdr:rowOff>12700</xdr:rowOff>
    </xdr:from>
    <xdr:to>
      <xdr:col>39</xdr:col>
      <xdr:colOff>4247</xdr:colOff>
      <xdr:row>45</xdr:row>
      <xdr:rowOff>11100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2C41E9E8-B91D-B740-88B3-9B5EB781EDDB}"/>
            </a:ext>
          </a:extLst>
        </xdr:cNvPr>
        <xdr:cNvSpPr/>
      </xdr:nvSpPr>
      <xdr:spPr>
        <a:xfrm>
          <a:off x="31910880" y="8335433"/>
          <a:ext cx="469900" cy="201600"/>
        </a:xfrm>
        <a:prstGeom prst="rect">
          <a:avLst/>
        </a:prstGeom>
        <a:gradFill flip="none" rotWithShape="1">
          <a:gsLst>
            <a:gs pos="0">
              <a:srgbClr val="FC6620"/>
            </a:gs>
            <a:gs pos="47000">
              <a:srgbClr val="FEA370"/>
            </a:gs>
            <a:gs pos="100000">
              <a:srgbClr val="FAAC5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45</xdr:row>
      <xdr:rowOff>12700</xdr:rowOff>
    </xdr:from>
    <xdr:to>
      <xdr:col>39</xdr:col>
      <xdr:colOff>4247</xdr:colOff>
      <xdr:row>46</xdr:row>
      <xdr:rowOff>12700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27C2A912-9F55-D946-8705-57DFED62BE37}"/>
            </a:ext>
          </a:extLst>
        </xdr:cNvPr>
        <xdr:cNvSpPr/>
      </xdr:nvSpPr>
      <xdr:spPr>
        <a:xfrm>
          <a:off x="31910880" y="8538633"/>
          <a:ext cx="469900" cy="203200"/>
        </a:xfrm>
        <a:prstGeom prst="rect">
          <a:avLst/>
        </a:prstGeom>
        <a:gradFill flip="none" rotWithShape="1">
          <a:gsLst>
            <a:gs pos="0">
              <a:srgbClr val="EAC5EB"/>
            </a:gs>
            <a:gs pos="31000">
              <a:srgbClr val="9442A7"/>
            </a:gs>
            <a:gs pos="65000">
              <a:srgbClr val="570D5B"/>
            </a:gs>
            <a:gs pos="100000">
              <a:srgbClr val="8A2A8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46</xdr:row>
      <xdr:rowOff>12700</xdr:rowOff>
    </xdr:from>
    <xdr:to>
      <xdr:col>39</xdr:col>
      <xdr:colOff>4247</xdr:colOff>
      <xdr:row>47</xdr:row>
      <xdr:rowOff>12700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20C9D23F-4B07-7542-B532-6E2B9F7C97DF}"/>
            </a:ext>
          </a:extLst>
        </xdr:cNvPr>
        <xdr:cNvSpPr/>
      </xdr:nvSpPr>
      <xdr:spPr>
        <a:xfrm>
          <a:off x="31910880" y="8741833"/>
          <a:ext cx="469900" cy="203200"/>
        </a:xfrm>
        <a:prstGeom prst="rect">
          <a:avLst/>
        </a:prstGeom>
        <a:gradFill flip="none" rotWithShape="1">
          <a:gsLst>
            <a:gs pos="0">
              <a:srgbClr val="B1AEB8"/>
            </a:gs>
            <a:gs pos="47000">
              <a:srgbClr val="4A4749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47</xdr:row>
      <xdr:rowOff>12700</xdr:rowOff>
    </xdr:from>
    <xdr:to>
      <xdr:col>39</xdr:col>
      <xdr:colOff>4247</xdr:colOff>
      <xdr:row>48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2DB8BF2-036F-F146-B4CE-BCADEB740A88}"/>
            </a:ext>
          </a:extLst>
        </xdr:cNvPr>
        <xdr:cNvSpPr/>
      </xdr:nvSpPr>
      <xdr:spPr>
        <a:xfrm>
          <a:off x="31910880" y="8945033"/>
          <a:ext cx="469900" cy="190500"/>
        </a:xfrm>
        <a:prstGeom prst="rect">
          <a:avLst/>
        </a:prstGeom>
        <a:gradFill flip="none" rotWithShape="1">
          <a:gsLst>
            <a:gs pos="0">
              <a:srgbClr val="CAE7F1"/>
            </a:gs>
            <a:gs pos="47000">
              <a:srgbClr val="B5C8E9"/>
            </a:gs>
            <a:gs pos="100000">
              <a:srgbClr val="6B7FC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48</xdr:row>
      <xdr:rowOff>0</xdr:rowOff>
    </xdr:from>
    <xdr:to>
      <xdr:col>39</xdr:col>
      <xdr:colOff>4247</xdr:colOff>
      <xdr:row>49</xdr:row>
      <xdr:rowOff>12700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9721AC5F-610B-974A-A469-B87A5D4FED72}"/>
            </a:ext>
          </a:extLst>
        </xdr:cNvPr>
        <xdr:cNvSpPr/>
      </xdr:nvSpPr>
      <xdr:spPr>
        <a:xfrm>
          <a:off x="31910880" y="9135533"/>
          <a:ext cx="469900" cy="215900"/>
        </a:xfrm>
        <a:prstGeom prst="rect">
          <a:avLst/>
        </a:prstGeom>
        <a:gradFill flip="none" rotWithShape="1">
          <a:gsLst>
            <a:gs pos="0">
              <a:srgbClr val="F7CAB1"/>
            </a:gs>
            <a:gs pos="46000">
              <a:srgbClr val="912F25"/>
            </a:gs>
            <a:gs pos="100000">
              <a:srgbClr val="A941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49</xdr:row>
      <xdr:rowOff>12700</xdr:rowOff>
    </xdr:from>
    <xdr:to>
      <xdr:col>39</xdr:col>
      <xdr:colOff>4247</xdr:colOff>
      <xdr:row>50</xdr:row>
      <xdr:rowOff>12700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95F70298-2A48-4A4B-945F-576331D58CCD}"/>
            </a:ext>
          </a:extLst>
        </xdr:cNvPr>
        <xdr:cNvSpPr/>
      </xdr:nvSpPr>
      <xdr:spPr>
        <a:xfrm>
          <a:off x="31910880" y="9351433"/>
          <a:ext cx="469900" cy="203200"/>
        </a:xfrm>
        <a:prstGeom prst="rect">
          <a:avLst/>
        </a:prstGeom>
        <a:gradFill flip="none" rotWithShape="1">
          <a:gsLst>
            <a:gs pos="0">
              <a:srgbClr val="FC8A0F"/>
            </a:gs>
            <a:gs pos="47000">
              <a:srgbClr val="FDAF3C"/>
            </a:gs>
            <a:gs pos="100000">
              <a:srgbClr val="FC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50</xdr:row>
      <xdr:rowOff>12700</xdr:rowOff>
    </xdr:from>
    <xdr:to>
      <xdr:col>39</xdr:col>
      <xdr:colOff>4247</xdr:colOff>
      <xdr:row>51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C90CE9E5-5579-4D46-80EA-1B19D79366E9}"/>
            </a:ext>
          </a:extLst>
        </xdr:cNvPr>
        <xdr:cNvSpPr/>
      </xdr:nvSpPr>
      <xdr:spPr>
        <a:xfrm>
          <a:off x="31910880" y="9554633"/>
          <a:ext cx="469900" cy="190500"/>
        </a:xfrm>
        <a:prstGeom prst="rect">
          <a:avLst/>
        </a:prstGeom>
        <a:gradFill flip="none" rotWithShape="1">
          <a:gsLst>
            <a:gs pos="0">
              <a:srgbClr val="9EB456"/>
            </a:gs>
            <a:gs pos="47000">
              <a:srgbClr val="D8F0A8"/>
            </a:gs>
            <a:gs pos="100000">
              <a:srgbClr val="3863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51</xdr:row>
      <xdr:rowOff>0</xdr:rowOff>
    </xdr:from>
    <xdr:to>
      <xdr:col>39</xdr:col>
      <xdr:colOff>4247</xdr:colOff>
      <xdr:row>52</xdr:row>
      <xdr:rowOff>12700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91948C0C-0B26-B240-8ADD-88E08F7F5CC4}"/>
            </a:ext>
          </a:extLst>
        </xdr:cNvPr>
        <xdr:cNvSpPr/>
      </xdr:nvSpPr>
      <xdr:spPr>
        <a:xfrm>
          <a:off x="31910880" y="9745133"/>
          <a:ext cx="469900" cy="215900"/>
        </a:xfrm>
        <a:prstGeom prst="rect">
          <a:avLst/>
        </a:prstGeom>
        <a:gradFill flip="none" rotWithShape="1">
          <a:gsLst>
            <a:gs pos="0">
              <a:srgbClr val="B6C7E9"/>
            </a:gs>
            <a:gs pos="47000">
              <a:srgbClr val="4E5CA7"/>
            </a:gs>
            <a:gs pos="100000">
              <a:srgbClr val="27227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52</xdr:row>
      <xdr:rowOff>12700</xdr:rowOff>
    </xdr:from>
    <xdr:to>
      <xdr:col>39</xdr:col>
      <xdr:colOff>4247</xdr:colOff>
      <xdr:row>53</xdr:row>
      <xdr:rowOff>38100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F277601-C422-7B46-9A77-0B7215ECEF10}"/>
            </a:ext>
          </a:extLst>
        </xdr:cNvPr>
        <xdr:cNvSpPr/>
      </xdr:nvSpPr>
      <xdr:spPr>
        <a:xfrm>
          <a:off x="31910880" y="9961033"/>
          <a:ext cx="469900" cy="228600"/>
        </a:xfrm>
        <a:prstGeom prst="rect">
          <a:avLst/>
        </a:prstGeom>
        <a:gradFill flip="none" rotWithShape="1">
          <a:gsLst>
            <a:gs pos="0">
              <a:srgbClr val="635209"/>
            </a:gs>
            <a:gs pos="47000">
              <a:srgbClr val="8A7B4E"/>
            </a:gs>
            <a:gs pos="100000">
              <a:srgbClr val="AFA8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53</xdr:row>
      <xdr:rowOff>12700</xdr:rowOff>
    </xdr:from>
    <xdr:to>
      <xdr:col>39</xdr:col>
      <xdr:colOff>4247</xdr:colOff>
      <xdr:row>54</xdr:row>
      <xdr:rowOff>12700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D077BC44-6547-6E4F-A5CD-565895B25C02}"/>
            </a:ext>
          </a:extLst>
        </xdr:cNvPr>
        <xdr:cNvSpPr/>
      </xdr:nvSpPr>
      <xdr:spPr>
        <a:xfrm>
          <a:off x="31910880" y="10164233"/>
          <a:ext cx="469900" cy="203200"/>
        </a:xfrm>
        <a:prstGeom prst="rect">
          <a:avLst/>
        </a:prstGeom>
        <a:gradFill flip="none" rotWithShape="1">
          <a:gsLst>
            <a:gs pos="0">
              <a:srgbClr val="B4445D"/>
            </a:gs>
            <a:gs pos="47000">
              <a:srgbClr val="FEDEDD"/>
            </a:gs>
            <a:gs pos="100000">
              <a:srgbClr val="7A25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54</xdr:row>
      <xdr:rowOff>12700</xdr:rowOff>
    </xdr:from>
    <xdr:to>
      <xdr:col>39</xdr:col>
      <xdr:colOff>4247</xdr:colOff>
      <xdr:row>55</xdr:row>
      <xdr:rowOff>38100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E3469762-E6ED-8E46-98E6-AB48989DB308}"/>
            </a:ext>
          </a:extLst>
        </xdr:cNvPr>
        <xdr:cNvSpPr/>
      </xdr:nvSpPr>
      <xdr:spPr>
        <a:xfrm>
          <a:off x="31910880" y="10367433"/>
          <a:ext cx="469900" cy="228600"/>
        </a:xfrm>
        <a:prstGeom prst="rect">
          <a:avLst/>
        </a:prstGeom>
        <a:gradFill flip="none" rotWithShape="1">
          <a:gsLst>
            <a:gs pos="0">
              <a:srgbClr val="905231"/>
            </a:gs>
            <a:gs pos="47000">
              <a:srgbClr val="C8855A"/>
            </a:gs>
            <a:gs pos="100000">
              <a:srgbClr val="F3DE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55</xdr:row>
      <xdr:rowOff>12700</xdr:rowOff>
    </xdr:from>
    <xdr:to>
      <xdr:col>39</xdr:col>
      <xdr:colOff>4247</xdr:colOff>
      <xdr:row>56</xdr:row>
      <xdr:rowOff>12700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A04EC7DA-4ECA-CD4B-9FA8-B46B041E62CB}"/>
            </a:ext>
          </a:extLst>
        </xdr:cNvPr>
        <xdr:cNvSpPr/>
      </xdr:nvSpPr>
      <xdr:spPr>
        <a:xfrm>
          <a:off x="31910880" y="10570633"/>
          <a:ext cx="469900" cy="203200"/>
        </a:xfrm>
        <a:prstGeom prst="rect">
          <a:avLst/>
        </a:prstGeom>
        <a:gradFill flip="none" rotWithShape="1">
          <a:gsLst>
            <a:gs pos="0">
              <a:srgbClr val="F80C01"/>
            </a:gs>
            <a:gs pos="47000">
              <a:srgbClr val="FFC2AD"/>
            </a:gs>
            <a:gs pos="100000">
              <a:srgbClr val="FE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56</xdr:row>
      <xdr:rowOff>12700</xdr:rowOff>
    </xdr:from>
    <xdr:to>
      <xdr:col>39</xdr:col>
      <xdr:colOff>4247</xdr:colOff>
      <xdr:row>57</xdr:row>
      <xdr:rowOff>63500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EE86826-3611-D94C-9282-11C5A4804C24}"/>
            </a:ext>
          </a:extLst>
        </xdr:cNvPr>
        <xdr:cNvSpPr/>
      </xdr:nvSpPr>
      <xdr:spPr>
        <a:xfrm>
          <a:off x="31910880" y="10773833"/>
          <a:ext cx="469900" cy="2540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AC1C36"/>
            </a:gs>
            <a:gs pos="65000">
              <a:srgbClr val="D63E68"/>
            </a:gs>
            <a:gs pos="100000">
              <a:srgbClr val="F793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57</xdr:row>
      <xdr:rowOff>0</xdr:rowOff>
    </xdr:from>
    <xdr:to>
      <xdr:col>39</xdr:col>
      <xdr:colOff>4247</xdr:colOff>
      <xdr:row>58</xdr:row>
      <xdr:rowOff>25400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3870890D-FD6D-1A43-B692-D54A94014748}"/>
            </a:ext>
          </a:extLst>
        </xdr:cNvPr>
        <xdr:cNvSpPr/>
      </xdr:nvSpPr>
      <xdr:spPr>
        <a:xfrm>
          <a:off x="31910880" y="10964333"/>
          <a:ext cx="469900" cy="228600"/>
        </a:xfrm>
        <a:prstGeom prst="rect">
          <a:avLst/>
        </a:prstGeom>
        <a:gradFill flip="none" rotWithShape="1">
          <a:gsLst>
            <a:gs pos="0">
              <a:srgbClr val="935026"/>
            </a:gs>
            <a:gs pos="47000">
              <a:srgbClr val="B26921"/>
            </a:gs>
            <a:gs pos="100000">
              <a:srgbClr val="D188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58</xdr:row>
      <xdr:rowOff>0</xdr:rowOff>
    </xdr:from>
    <xdr:to>
      <xdr:col>39</xdr:col>
      <xdr:colOff>4247</xdr:colOff>
      <xdr:row>59</xdr:row>
      <xdr:rowOff>12700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86035206-792F-424A-A51B-316D0B2344B7}"/>
            </a:ext>
          </a:extLst>
        </xdr:cNvPr>
        <xdr:cNvSpPr/>
      </xdr:nvSpPr>
      <xdr:spPr>
        <a:xfrm>
          <a:off x="31910880" y="11167533"/>
          <a:ext cx="469900" cy="2159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47000">
              <a:srgbClr val="800934"/>
            </a:gs>
            <a:gs pos="100000">
              <a:srgbClr val="66132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59</xdr:row>
      <xdr:rowOff>0</xdr:rowOff>
    </xdr:from>
    <xdr:to>
      <xdr:col>39</xdr:col>
      <xdr:colOff>4247</xdr:colOff>
      <xdr:row>60</xdr:row>
      <xdr:rowOff>12700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318E4FC-C1FC-3042-873C-3760D0C1A6AE}"/>
            </a:ext>
          </a:extLst>
        </xdr:cNvPr>
        <xdr:cNvSpPr/>
      </xdr:nvSpPr>
      <xdr:spPr>
        <a:xfrm>
          <a:off x="31910880" y="11370733"/>
          <a:ext cx="469900" cy="215900"/>
        </a:xfrm>
        <a:prstGeom prst="rect">
          <a:avLst/>
        </a:prstGeom>
        <a:gradFill flip="none" rotWithShape="1">
          <a:gsLst>
            <a:gs pos="0">
              <a:srgbClr val="B4B9EA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60</xdr:row>
      <xdr:rowOff>0</xdr:rowOff>
    </xdr:from>
    <xdr:to>
      <xdr:col>39</xdr:col>
      <xdr:colOff>4247</xdr:colOff>
      <xdr:row>61</xdr:row>
      <xdr:rowOff>12700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BBAA260D-A9C3-2848-9E56-6F5E808DCA14}"/>
            </a:ext>
          </a:extLst>
        </xdr:cNvPr>
        <xdr:cNvSpPr/>
      </xdr:nvSpPr>
      <xdr:spPr>
        <a:xfrm>
          <a:off x="31910880" y="11573933"/>
          <a:ext cx="469900" cy="215900"/>
        </a:xfrm>
        <a:prstGeom prst="rect">
          <a:avLst/>
        </a:prstGeom>
        <a:gradFill flip="none" rotWithShape="1">
          <a:gsLst>
            <a:gs pos="0">
              <a:srgbClr val="0F6B44"/>
            </a:gs>
            <a:gs pos="31000">
              <a:srgbClr val="33B26B"/>
            </a:gs>
            <a:gs pos="65000">
              <a:srgbClr val="55CB7D"/>
            </a:gs>
            <a:gs pos="100000">
              <a:srgbClr val="A9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9675</xdr:colOff>
      <xdr:row>6</xdr:row>
      <xdr:rowOff>18143</xdr:rowOff>
    </xdr:from>
    <xdr:to>
      <xdr:col>68</xdr:col>
      <xdr:colOff>479575</xdr:colOff>
      <xdr:row>7</xdr:row>
      <xdr:rowOff>21772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19CF4999-C88A-484F-89ED-2320EF5B1601}"/>
            </a:ext>
          </a:extLst>
        </xdr:cNvPr>
        <xdr:cNvSpPr/>
      </xdr:nvSpPr>
      <xdr:spPr>
        <a:xfrm>
          <a:off x="54687408" y="585410"/>
          <a:ext cx="469900" cy="206829"/>
        </a:xfrm>
        <a:prstGeom prst="rect">
          <a:avLst/>
        </a:prstGeom>
        <a:gradFill flip="none" rotWithShape="1">
          <a:gsLst>
            <a:gs pos="52000">
              <a:srgbClr val="D73E68"/>
            </a:gs>
            <a:gs pos="0">
              <a:srgbClr val="C01C4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26</xdr:row>
      <xdr:rowOff>6350</xdr:rowOff>
    </xdr:from>
    <xdr:to>
      <xdr:col>53</xdr:col>
      <xdr:colOff>465252</xdr:colOff>
      <xdr:row>27</xdr:row>
      <xdr:rowOff>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201D86BD-E4E2-044C-A7EB-45371653DBC8}"/>
            </a:ext>
          </a:extLst>
        </xdr:cNvPr>
        <xdr:cNvSpPr/>
      </xdr:nvSpPr>
      <xdr:spPr>
        <a:xfrm>
          <a:off x="45296669" y="4671483"/>
          <a:ext cx="465250" cy="196850"/>
        </a:xfrm>
        <a:prstGeom prst="rect">
          <a:avLst/>
        </a:prstGeom>
        <a:gradFill flip="none" rotWithShape="1">
          <a:gsLst>
            <a:gs pos="0">
              <a:srgbClr val="A29A86"/>
            </a:gs>
            <a:gs pos="30000">
              <a:srgbClr val="313324"/>
            </a:gs>
            <a:gs pos="65000">
              <a:srgbClr val="D2B468"/>
            </a:gs>
            <a:gs pos="100000">
              <a:srgbClr val="412F1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26</xdr:row>
      <xdr:rowOff>196850</xdr:rowOff>
    </xdr:from>
    <xdr:to>
      <xdr:col>53</xdr:col>
      <xdr:colOff>465252</xdr:colOff>
      <xdr:row>28</xdr:row>
      <xdr:rowOff>38100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ACF4CF69-6EB9-654D-A805-4E0229D7D0D0}"/>
            </a:ext>
          </a:extLst>
        </xdr:cNvPr>
        <xdr:cNvSpPr/>
      </xdr:nvSpPr>
      <xdr:spPr>
        <a:xfrm>
          <a:off x="45296669" y="4861983"/>
          <a:ext cx="465250" cy="247650"/>
        </a:xfrm>
        <a:prstGeom prst="rect">
          <a:avLst/>
        </a:prstGeom>
        <a:gradFill flip="none" rotWithShape="1">
          <a:gsLst>
            <a:gs pos="0">
              <a:srgbClr val="492F20"/>
            </a:gs>
            <a:gs pos="31000">
              <a:srgbClr val="6A2257"/>
            </a:gs>
            <a:gs pos="65000">
              <a:srgbClr val="39393C"/>
            </a:gs>
            <a:gs pos="100000">
              <a:srgbClr val="7E423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27</xdr:row>
      <xdr:rowOff>196850</xdr:rowOff>
    </xdr:from>
    <xdr:to>
      <xdr:col>53</xdr:col>
      <xdr:colOff>465252</xdr:colOff>
      <xdr:row>29</xdr:row>
      <xdr:rowOff>12700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DEAD9374-DDCA-4842-BE89-B91FB910F8D2}"/>
            </a:ext>
          </a:extLst>
        </xdr:cNvPr>
        <xdr:cNvSpPr/>
      </xdr:nvSpPr>
      <xdr:spPr>
        <a:xfrm>
          <a:off x="45296669" y="5065183"/>
          <a:ext cx="465250" cy="222250"/>
        </a:xfrm>
        <a:prstGeom prst="rect">
          <a:avLst/>
        </a:prstGeom>
        <a:gradFill flip="none" rotWithShape="1">
          <a:gsLst>
            <a:gs pos="0">
              <a:srgbClr val="B3BDEA"/>
            </a:gs>
            <a:gs pos="31000">
              <a:srgbClr val="D49EE1"/>
            </a:gs>
            <a:gs pos="65000">
              <a:srgbClr val="887673"/>
            </a:gs>
            <a:gs pos="100000">
              <a:srgbClr val="B99F7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10</xdr:row>
      <xdr:rowOff>0</xdr:rowOff>
    </xdr:from>
    <xdr:to>
      <xdr:col>53</xdr:col>
      <xdr:colOff>469902</xdr:colOff>
      <xdr:row>11</xdr:row>
      <xdr:rowOff>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4B3321D-C3E5-AA49-9217-3B4C9F253B83}"/>
            </a:ext>
          </a:extLst>
        </xdr:cNvPr>
        <xdr:cNvSpPr/>
      </xdr:nvSpPr>
      <xdr:spPr>
        <a:xfrm>
          <a:off x="45296669" y="1380067"/>
          <a:ext cx="469900" cy="203200"/>
        </a:xfrm>
        <a:prstGeom prst="rect">
          <a:avLst/>
        </a:prstGeom>
        <a:gradFill flip="none" rotWithShape="1">
          <a:gsLst>
            <a:gs pos="0">
              <a:srgbClr val="4C4C1C"/>
            </a:gs>
            <a:gs pos="31000">
              <a:srgbClr val="999E75"/>
            </a:gs>
            <a:gs pos="65000">
              <a:srgbClr val="866A77"/>
            </a:gs>
            <a:gs pos="100000">
              <a:srgbClr val="AF989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11</xdr:row>
      <xdr:rowOff>0</xdr:rowOff>
    </xdr:from>
    <xdr:to>
      <xdr:col>53</xdr:col>
      <xdr:colOff>469902</xdr:colOff>
      <xdr:row>12</xdr:row>
      <xdr:rowOff>0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A10DBDA9-921A-874F-AAA2-4F3DEA2483B3}"/>
            </a:ext>
          </a:extLst>
        </xdr:cNvPr>
        <xdr:cNvSpPr/>
      </xdr:nvSpPr>
      <xdr:spPr>
        <a:xfrm>
          <a:off x="45296669" y="1583267"/>
          <a:ext cx="469900" cy="203200"/>
        </a:xfrm>
        <a:prstGeom prst="rect">
          <a:avLst/>
        </a:prstGeom>
        <a:gradFill flip="none" rotWithShape="1">
          <a:gsLst>
            <a:gs pos="0">
              <a:srgbClr val="D2DE75"/>
            </a:gs>
            <a:gs pos="31000">
              <a:srgbClr val="617674"/>
            </a:gs>
            <a:gs pos="66000">
              <a:srgbClr val="66924A"/>
            </a:gs>
            <a:gs pos="100000">
              <a:srgbClr val="44729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12</xdr:row>
      <xdr:rowOff>0</xdr:rowOff>
    </xdr:from>
    <xdr:to>
      <xdr:col>53</xdr:col>
      <xdr:colOff>469902</xdr:colOff>
      <xdr:row>13</xdr:row>
      <xdr:rowOff>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2400C7AB-984B-6D4F-A7E9-CB4679BE4722}"/>
            </a:ext>
          </a:extLst>
        </xdr:cNvPr>
        <xdr:cNvSpPr/>
      </xdr:nvSpPr>
      <xdr:spPr>
        <a:xfrm>
          <a:off x="45296669" y="1786467"/>
          <a:ext cx="469900" cy="2032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31000">
              <a:srgbClr val="05525C"/>
            </a:gs>
            <a:gs pos="64000">
              <a:srgbClr val="73D0B8"/>
            </a:gs>
            <a:gs pos="100000">
              <a:srgbClr val="4E5B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13</xdr:row>
      <xdr:rowOff>0</xdr:rowOff>
    </xdr:from>
    <xdr:to>
      <xdr:col>53</xdr:col>
      <xdr:colOff>469902</xdr:colOff>
      <xdr:row>14</xdr:row>
      <xdr:rowOff>0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id="{8F9B6F0A-DC6B-8F47-8E77-37CDB924486F}"/>
            </a:ext>
          </a:extLst>
        </xdr:cNvPr>
        <xdr:cNvSpPr/>
      </xdr:nvSpPr>
      <xdr:spPr>
        <a:xfrm>
          <a:off x="45296669" y="1989667"/>
          <a:ext cx="469900" cy="203200"/>
        </a:xfrm>
        <a:prstGeom prst="rect">
          <a:avLst/>
        </a:prstGeom>
        <a:gradFill flip="none" rotWithShape="1">
          <a:gsLst>
            <a:gs pos="0">
              <a:srgbClr val="BB9D54"/>
            </a:gs>
            <a:gs pos="31000">
              <a:srgbClr val="FEF6B6"/>
            </a:gs>
            <a:gs pos="65000">
              <a:srgbClr val="BEB8AC"/>
            </a:gs>
            <a:gs pos="100000">
              <a:srgbClr val="E8AC9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14</xdr:row>
      <xdr:rowOff>0</xdr:rowOff>
    </xdr:from>
    <xdr:to>
      <xdr:col>53</xdr:col>
      <xdr:colOff>469902</xdr:colOff>
      <xdr:row>15</xdr:row>
      <xdr:rowOff>0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F5519E10-6DFE-AA49-BFE9-93678B2550CF}"/>
            </a:ext>
          </a:extLst>
        </xdr:cNvPr>
        <xdr:cNvSpPr/>
      </xdr:nvSpPr>
      <xdr:spPr>
        <a:xfrm>
          <a:off x="45296669" y="2192867"/>
          <a:ext cx="469900" cy="203200"/>
        </a:xfrm>
        <a:prstGeom prst="rect">
          <a:avLst/>
        </a:prstGeom>
        <a:gradFill flip="none" rotWithShape="1">
          <a:gsLst>
            <a:gs pos="0">
              <a:srgbClr val="5D5D54"/>
            </a:gs>
            <a:gs pos="31000">
              <a:srgbClr val="BB6863"/>
            </a:gs>
            <a:gs pos="65000">
              <a:srgbClr val="ACC238"/>
            </a:gs>
            <a:gs pos="100000">
              <a:srgbClr val="C697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15</xdr:row>
      <xdr:rowOff>0</xdr:rowOff>
    </xdr:from>
    <xdr:to>
      <xdr:col>53</xdr:col>
      <xdr:colOff>469902</xdr:colOff>
      <xdr:row>16</xdr:row>
      <xdr:rowOff>0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E25BD84D-A535-CD42-9A17-CBB8BA8161C2}"/>
            </a:ext>
          </a:extLst>
        </xdr:cNvPr>
        <xdr:cNvSpPr/>
      </xdr:nvSpPr>
      <xdr:spPr>
        <a:xfrm>
          <a:off x="45296669" y="2396067"/>
          <a:ext cx="469900" cy="203200"/>
        </a:xfrm>
        <a:prstGeom prst="rect">
          <a:avLst/>
        </a:prstGeom>
        <a:gradFill flip="none" rotWithShape="1">
          <a:gsLst>
            <a:gs pos="0">
              <a:srgbClr val="CBC959"/>
            </a:gs>
            <a:gs pos="31000">
              <a:srgbClr val="F2484D"/>
            </a:gs>
            <a:gs pos="65000">
              <a:srgbClr val="807867"/>
            </a:gs>
            <a:gs pos="100000">
              <a:srgbClr val="C1573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16</xdr:row>
      <xdr:rowOff>0</xdr:rowOff>
    </xdr:from>
    <xdr:to>
      <xdr:col>53</xdr:col>
      <xdr:colOff>469902</xdr:colOff>
      <xdr:row>17</xdr:row>
      <xdr:rowOff>0</xdr:rowOff>
    </xdr:to>
    <xdr:sp macro="" textlink="">
      <xdr:nvSpPr>
        <xdr:cNvPr id="195" name="Rectangle 194">
          <a:extLst>
            <a:ext uri="{FF2B5EF4-FFF2-40B4-BE49-F238E27FC236}">
              <a16:creationId xmlns:a16="http://schemas.microsoft.com/office/drawing/2014/main" id="{F589CC7F-DC09-AC4B-9898-46BB4941FDE9}"/>
            </a:ext>
          </a:extLst>
        </xdr:cNvPr>
        <xdr:cNvSpPr/>
      </xdr:nvSpPr>
      <xdr:spPr>
        <a:xfrm>
          <a:off x="45296669" y="2599267"/>
          <a:ext cx="469900" cy="220133"/>
        </a:xfrm>
        <a:prstGeom prst="rect">
          <a:avLst/>
        </a:prstGeom>
        <a:gradFill flip="none" rotWithShape="1">
          <a:gsLst>
            <a:gs pos="0">
              <a:srgbClr val="D1883C"/>
            </a:gs>
            <a:gs pos="31000">
              <a:srgbClr val="C62B37"/>
            </a:gs>
            <a:gs pos="65000">
              <a:srgbClr val="432618"/>
            </a:gs>
            <a:gs pos="99000">
              <a:srgbClr val="4C4B1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17</xdr:row>
      <xdr:rowOff>0</xdr:rowOff>
    </xdr:from>
    <xdr:to>
      <xdr:col>53</xdr:col>
      <xdr:colOff>469902</xdr:colOff>
      <xdr:row>18</xdr:row>
      <xdr:rowOff>0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1CC853BE-BA93-AC4D-A2FF-C0CF1F3BDEA1}"/>
            </a:ext>
          </a:extLst>
        </xdr:cNvPr>
        <xdr:cNvSpPr/>
      </xdr:nvSpPr>
      <xdr:spPr>
        <a:xfrm>
          <a:off x="45296669" y="2819400"/>
          <a:ext cx="469900" cy="203200"/>
        </a:xfrm>
        <a:prstGeom prst="rect">
          <a:avLst/>
        </a:prstGeom>
        <a:gradFill flip="none" rotWithShape="1">
          <a:gsLst>
            <a:gs pos="0">
              <a:srgbClr val="9A9B9C"/>
            </a:gs>
            <a:gs pos="31000">
              <a:srgbClr val="4E5CA7"/>
            </a:gs>
            <a:gs pos="65000">
              <a:srgbClr val="C72B38"/>
            </a:gs>
            <a:gs pos="100000">
              <a:srgbClr val="0D275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18</xdr:row>
      <xdr:rowOff>0</xdr:rowOff>
    </xdr:from>
    <xdr:to>
      <xdr:col>53</xdr:col>
      <xdr:colOff>469902</xdr:colOff>
      <xdr:row>18</xdr:row>
      <xdr:rowOff>201600</xdr:rowOff>
    </xdr:to>
    <xdr:sp macro="" textlink="">
      <xdr:nvSpPr>
        <xdr:cNvPr id="197" name="Rectangle 196">
          <a:extLst>
            <a:ext uri="{FF2B5EF4-FFF2-40B4-BE49-F238E27FC236}">
              <a16:creationId xmlns:a16="http://schemas.microsoft.com/office/drawing/2014/main" id="{B79185DD-22C4-A64D-A889-4FD8EFDD6FD0}"/>
            </a:ext>
          </a:extLst>
        </xdr:cNvPr>
        <xdr:cNvSpPr/>
      </xdr:nvSpPr>
      <xdr:spPr>
        <a:xfrm>
          <a:off x="45296669" y="3022600"/>
          <a:ext cx="469900" cy="201600"/>
        </a:xfrm>
        <a:prstGeom prst="rect">
          <a:avLst/>
        </a:prstGeom>
        <a:gradFill flip="none" rotWithShape="1">
          <a:gsLst>
            <a:gs pos="0">
              <a:srgbClr val="FFFEFF"/>
            </a:gs>
            <a:gs pos="31000">
              <a:srgbClr val="494749"/>
            </a:gs>
            <a:gs pos="65000">
              <a:srgbClr val="711032"/>
            </a:gs>
            <a:gs pos="100000">
              <a:srgbClr val="999B9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19</xdr:row>
      <xdr:rowOff>0</xdr:rowOff>
    </xdr:from>
    <xdr:to>
      <xdr:col>53</xdr:col>
      <xdr:colOff>469902</xdr:colOff>
      <xdr:row>20</xdr:row>
      <xdr:rowOff>0</xdr:rowOff>
    </xdr:to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7F98AA95-861B-5545-A3A8-7F4DAAB6723A}"/>
            </a:ext>
          </a:extLst>
        </xdr:cNvPr>
        <xdr:cNvSpPr/>
      </xdr:nvSpPr>
      <xdr:spPr>
        <a:xfrm>
          <a:off x="45296669" y="3225800"/>
          <a:ext cx="469900" cy="203200"/>
        </a:xfrm>
        <a:prstGeom prst="rect">
          <a:avLst/>
        </a:prstGeom>
        <a:gradFill flip="none" rotWithShape="1">
          <a:gsLst>
            <a:gs pos="0">
              <a:srgbClr val="116A75"/>
            </a:gs>
            <a:gs pos="31000">
              <a:srgbClr val="6D6369"/>
            </a:gs>
            <a:gs pos="65000">
              <a:srgbClr val="EBC5EB"/>
            </a:gs>
            <a:gs pos="100000">
              <a:srgbClr val="6B22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20</xdr:row>
      <xdr:rowOff>0</xdr:rowOff>
    </xdr:from>
    <xdr:to>
      <xdr:col>53</xdr:col>
      <xdr:colOff>469902</xdr:colOff>
      <xdr:row>21</xdr:row>
      <xdr:rowOff>0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E90CCD95-3395-D24A-894A-169B7AA910CB}"/>
            </a:ext>
          </a:extLst>
        </xdr:cNvPr>
        <xdr:cNvSpPr/>
      </xdr:nvSpPr>
      <xdr:spPr>
        <a:xfrm>
          <a:off x="45296669" y="3429000"/>
          <a:ext cx="469900" cy="203200"/>
        </a:xfrm>
        <a:prstGeom prst="rect">
          <a:avLst/>
        </a:prstGeom>
        <a:gradFill flip="none" rotWithShape="1">
          <a:gsLst>
            <a:gs pos="0">
              <a:srgbClr val="593C2C"/>
            </a:gs>
            <a:gs pos="31000">
              <a:srgbClr val="795939"/>
            </a:gs>
            <a:gs pos="65000">
              <a:srgbClr val="93A0AF"/>
            </a:gs>
            <a:gs pos="100000">
              <a:srgbClr val="495C6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21</xdr:row>
      <xdr:rowOff>0</xdr:rowOff>
    </xdr:from>
    <xdr:to>
      <xdr:col>53</xdr:col>
      <xdr:colOff>469902</xdr:colOff>
      <xdr:row>22</xdr:row>
      <xdr:rowOff>0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ABB3CDD2-D698-A949-97A3-D72302A022EE}"/>
            </a:ext>
          </a:extLst>
        </xdr:cNvPr>
        <xdr:cNvSpPr/>
      </xdr:nvSpPr>
      <xdr:spPr>
        <a:xfrm>
          <a:off x="45296669" y="3632200"/>
          <a:ext cx="469900" cy="203200"/>
        </a:xfrm>
        <a:prstGeom prst="rect">
          <a:avLst/>
        </a:prstGeom>
        <a:gradFill flip="none" rotWithShape="1">
          <a:gsLst>
            <a:gs pos="0">
              <a:srgbClr val="593B2D"/>
            </a:gs>
            <a:gs pos="31000">
              <a:srgbClr val="7E4231"/>
            </a:gs>
            <a:gs pos="65000">
              <a:srgbClr val="F7EFD9"/>
            </a:gs>
            <a:gs pos="100000">
              <a:srgbClr val="970B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22</xdr:row>
      <xdr:rowOff>0</xdr:rowOff>
    </xdr:from>
    <xdr:to>
      <xdr:col>53</xdr:col>
      <xdr:colOff>469902</xdr:colOff>
      <xdr:row>23</xdr:row>
      <xdr:rowOff>0</xdr:rowOff>
    </xdr:to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0B6CE3C6-F327-6D45-8EBA-68F91BB5820A}"/>
            </a:ext>
          </a:extLst>
        </xdr:cNvPr>
        <xdr:cNvSpPr/>
      </xdr:nvSpPr>
      <xdr:spPr>
        <a:xfrm>
          <a:off x="45296669" y="3835400"/>
          <a:ext cx="469900" cy="220133"/>
        </a:xfrm>
        <a:prstGeom prst="rect">
          <a:avLst/>
        </a:prstGeom>
        <a:gradFill flip="none" rotWithShape="1">
          <a:gsLst>
            <a:gs pos="0">
              <a:srgbClr val="DE3E40"/>
            </a:gs>
            <a:gs pos="31000">
              <a:srgbClr val="56826E"/>
            </a:gs>
            <a:gs pos="65000">
              <a:srgbClr val="921238"/>
            </a:gs>
            <a:gs pos="100000">
              <a:srgbClr val="EF324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23</xdr:row>
      <xdr:rowOff>0</xdr:rowOff>
    </xdr:from>
    <xdr:to>
      <xdr:col>53</xdr:col>
      <xdr:colOff>469902</xdr:colOff>
      <xdr:row>23</xdr:row>
      <xdr:rowOff>201600</xdr:rowOff>
    </xdr:to>
    <xdr:sp macro="" textlink="">
      <xdr:nvSpPr>
        <xdr:cNvPr id="203" name="Rectangle 202">
          <a:extLst>
            <a:ext uri="{FF2B5EF4-FFF2-40B4-BE49-F238E27FC236}">
              <a16:creationId xmlns:a16="http://schemas.microsoft.com/office/drawing/2014/main" id="{6296BC9E-8E9D-D444-B167-EB31535A3238}"/>
            </a:ext>
          </a:extLst>
        </xdr:cNvPr>
        <xdr:cNvSpPr/>
      </xdr:nvSpPr>
      <xdr:spPr>
        <a:xfrm>
          <a:off x="45296669" y="4055533"/>
          <a:ext cx="469900" cy="201600"/>
        </a:xfrm>
        <a:prstGeom prst="rect">
          <a:avLst/>
        </a:prstGeom>
        <a:gradFill flip="none" rotWithShape="1">
          <a:gsLst>
            <a:gs pos="0">
              <a:srgbClr val="54322D"/>
            </a:gs>
            <a:gs pos="33000">
              <a:srgbClr val="AC8582"/>
            </a:gs>
            <a:gs pos="65000">
              <a:srgbClr val="4C4B1E"/>
            </a:gs>
            <a:gs pos="100000">
              <a:srgbClr val="80093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24</xdr:row>
      <xdr:rowOff>0</xdr:rowOff>
    </xdr:from>
    <xdr:to>
      <xdr:col>53</xdr:col>
      <xdr:colOff>469902</xdr:colOff>
      <xdr:row>25</xdr:row>
      <xdr:rowOff>12700</xdr:rowOff>
    </xdr:to>
    <xdr:sp macro="" textlink="">
      <xdr:nvSpPr>
        <xdr:cNvPr id="207" name="Rectangle 206">
          <a:extLst>
            <a:ext uri="{FF2B5EF4-FFF2-40B4-BE49-F238E27FC236}">
              <a16:creationId xmlns:a16="http://schemas.microsoft.com/office/drawing/2014/main" id="{887B36E6-B52C-4741-A74E-C26DE9CEF578}"/>
            </a:ext>
          </a:extLst>
        </xdr:cNvPr>
        <xdr:cNvSpPr/>
      </xdr:nvSpPr>
      <xdr:spPr>
        <a:xfrm>
          <a:off x="45296669" y="4258733"/>
          <a:ext cx="469900" cy="215900"/>
        </a:xfrm>
        <a:prstGeom prst="rect">
          <a:avLst/>
        </a:prstGeom>
        <a:gradFill flip="none" rotWithShape="1">
          <a:gsLst>
            <a:gs pos="0">
              <a:srgbClr val="4A3121"/>
            </a:gs>
            <a:gs pos="31000">
              <a:srgbClr val="1D362B"/>
            </a:gs>
            <a:gs pos="65000">
              <a:srgbClr val="970B2C"/>
            </a:gs>
            <a:gs pos="100000">
              <a:srgbClr val="BE0F3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25</xdr:row>
      <xdr:rowOff>0</xdr:rowOff>
    </xdr:from>
    <xdr:to>
      <xdr:col>53</xdr:col>
      <xdr:colOff>469902</xdr:colOff>
      <xdr:row>26</xdr:row>
      <xdr:rowOff>0</xdr:rowOff>
    </xdr:to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393D6239-5076-BF43-BAB1-A567802F0947}"/>
            </a:ext>
          </a:extLst>
        </xdr:cNvPr>
        <xdr:cNvSpPr/>
      </xdr:nvSpPr>
      <xdr:spPr>
        <a:xfrm>
          <a:off x="45296669" y="4461933"/>
          <a:ext cx="469900" cy="2032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FEFFFF"/>
            </a:gs>
            <a:gs pos="65000">
              <a:srgbClr val="CDEFA6"/>
            </a:gs>
            <a:gs pos="100000">
              <a:srgbClr val="0E925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5</xdr:row>
      <xdr:rowOff>12700</xdr:rowOff>
    </xdr:from>
    <xdr:to>
      <xdr:col>54</xdr:col>
      <xdr:colOff>2</xdr:colOff>
      <xdr:row>5</xdr:row>
      <xdr:rowOff>214300</xdr:rowOff>
    </xdr:to>
    <xdr:sp macro="" textlink="">
      <xdr:nvSpPr>
        <xdr:cNvPr id="211" name="Rectangle 210">
          <a:extLst>
            <a:ext uri="{FF2B5EF4-FFF2-40B4-BE49-F238E27FC236}">
              <a16:creationId xmlns:a16="http://schemas.microsoft.com/office/drawing/2014/main" id="{15D6B15C-A177-1A40-9384-804DEACC6FEE}"/>
            </a:ext>
          </a:extLst>
        </xdr:cNvPr>
        <xdr:cNvSpPr/>
      </xdr:nvSpPr>
      <xdr:spPr>
        <a:xfrm>
          <a:off x="45296669" y="359833"/>
          <a:ext cx="474133" cy="201600"/>
        </a:xfrm>
        <a:prstGeom prst="rect">
          <a:avLst/>
        </a:prstGeom>
        <a:gradFill flip="none" rotWithShape="1">
          <a:gsLst>
            <a:gs pos="0">
              <a:srgbClr val="787E5C"/>
            </a:gs>
            <a:gs pos="31000">
              <a:srgbClr val="B0A87B"/>
            </a:gs>
            <a:gs pos="65000">
              <a:srgbClr val="FEDEDD"/>
            </a:gs>
            <a:gs pos="100000">
              <a:srgbClr val="EFA5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6</xdr:row>
      <xdr:rowOff>0</xdr:rowOff>
    </xdr:from>
    <xdr:to>
      <xdr:col>53</xdr:col>
      <xdr:colOff>469902</xdr:colOff>
      <xdr:row>7</xdr:row>
      <xdr:rowOff>0</xdr:rowOff>
    </xdr:to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8E4CF673-5F43-8C4E-9C84-4EBF44116FEB}"/>
            </a:ext>
          </a:extLst>
        </xdr:cNvPr>
        <xdr:cNvSpPr/>
      </xdr:nvSpPr>
      <xdr:spPr>
        <a:xfrm>
          <a:off x="45296669" y="567267"/>
          <a:ext cx="469900" cy="203200"/>
        </a:xfrm>
        <a:prstGeom prst="rect">
          <a:avLst/>
        </a:prstGeom>
        <a:gradFill flip="none" rotWithShape="1">
          <a:gsLst>
            <a:gs pos="0">
              <a:srgbClr val="97D8D3"/>
            </a:gs>
            <a:gs pos="31000">
              <a:srgbClr val="D7F0A8"/>
            </a:gs>
            <a:gs pos="65000">
              <a:srgbClr val="FFF7E8"/>
            </a:gs>
            <a:gs pos="100000">
              <a:srgbClr val="FD6D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7</xdr:row>
      <xdr:rowOff>0</xdr:rowOff>
    </xdr:from>
    <xdr:to>
      <xdr:col>53</xdr:col>
      <xdr:colOff>469902</xdr:colOff>
      <xdr:row>8</xdr:row>
      <xdr:rowOff>0</xdr:rowOff>
    </xdr:to>
    <xdr:sp macro="" textlink="">
      <xdr:nvSpPr>
        <xdr:cNvPr id="215" name="Rectangle 214">
          <a:extLst>
            <a:ext uri="{FF2B5EF4-FFF2-40B4-BE49-F238E27FC236}">
              <a16:creationId xmlns:a16="http://schemas.microsoft.com/office/drawing/2014/main" id="{9C15ACF2-4A51-C04B-832A-6FA761FCB022}"/>
            </a:ext>
          </a:extLst>
        </xdr:cNvPr>
        <xdr:cNvSpPr/>
      </xdr:nvSpPr>
      <xdr:spPr>
        <a:xfrm>
          <a:off x="45296669" y="770467"/>
          <a:ext cx="469900" cy="203200"/>
        </a:xfrm>
        <a:prstGeom prst="rect">
          <a:avLst/>
        </a:prstGeom>
        <a:gradFill flip="none" rotWithShape="1">
          <a:gsLst>
            <a:gs pos="0">
              <a:srgbClr val="BEDE75"/>
            </a:gs>
            <a:gs pos="31000">
              <a:srgbClr val="D8EAF2"/>
            </a:gs>
            <a:gs pos="65000">
              <a:srgbClr val="D53E67"/>
            </a:gs>
            <a:gs pos="100000">
              <a:srgbClr val="C72A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8</xdr:row>
      <xdr:rowOff>0</xdr:rowOff>
    </xdr:from>
    <xdr:to>
      <xdr:col>53</xdr:col>
      <xdr:colOff>469902</xdr:colOff>
      <xdr:row>9</xdr:row>
      <xdr:rowOff>0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AC05C3B2-AF07-FF4C-BCE9-5CBED7B07F2B}"/>
            </a:ext>
          </a:extLst>
        </xdr:cNvPr>
        <xdr:cNvSpPr/>
      </xdr:nvSpPr>
      <xdr:spPr>
        <a:xfrm>
          <a:off x="45296669" y="973667"/>
          <a:ext cx="469900" cy="203200"/>
        </a:xfrm>
        <a:prstGeom prst="rect">
          <a:avLst/>
        </a:prstGeom>
        <a:gradFill flip="none" rotWithShape="1">
          <a:gsLst>
            <a:gs pos="0">
              <a:srgbClr val="6B2159"/>
            </a:gs>
            <a:gs pos="31000">
              <a:srgbClr val="934D78"/>
            </a:gs>
            <a:gs pos="65000">
              <a:srgbClr val="CBC959"/>
            </a:gs>
            <a:gs pos="100000">
              <a:srgbClr val="CFC3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2</xdr:colOff>
      <xdr:row>9</xdr:row>
      <xdr:rowOff>0</xdr:rowOff>
    </xdr:from>
    <xdr:to>
      <xdr:col>53</xdr:col>
      <xdr:colOff>469902</xdr:colOff>
      <xdr:row>10</xdr:row>
      <xdr:rowOff>0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06F8962B-30DA-654A-B404-9A576C4ADF98}"/>
            </a:ext>
          </a:extLst>
        </xdr:cNvPr>
        <xdr:cNvSpPr/>
      </xdr:nvSpPr>
      <xdr:spPr>
        <a:xfrm>
          <a:off x="45296669" y="1176867"/>
          <a:ext cx="469900" cy="203200"/>
        </a:xfrm>
        <a:prstGeom prst="rect">
          <a:avLst/>
        </a:prstGeom>
        <a:gradFill flip="none" rotWithShape="1">
          <a:gsLst>
            <a:gs pos="0">
              <a:srgbClr val="584029"/>
            </a:gs>
            <a:gs pos="31000">
              <a:srgbClr val="9D8868"/>
            </a:gs>
            <a:gs pos="65000">
              <a:srgbClr val="882842"/>
            </a:gs>
            <a:gs pos="100000">
              <a:srgbClr val="BC757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9673</xdr:colOff>
      <xdr:row>7</xdr:row>
      <xdr:rowOff>12700</xdr:rowOff>
    </xdr:from>
    <xdr:to>
      <xdr:col>68</xdr:col>
      <xdr:colOff>479573</xdr:colOff>
      <xdr:row>8</xdr:row>
      <xdr:rowOff>16328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22D4BABD-83C6-0B4A-A1A9-4A50E5B5D63B}"/>
            </a:ext>
          </a:extLst>
        </xdr:cNvPr>
        <xdr:cNvSpPr/>
      </xdr:nvSpPr>
      <xdr:spPr>
        <a:xfrm>
          <a:off x="60233073" y="1625600"/>
          <a:ext cx="469900" cy="206828"/>
        </a:xfrm>
        <a:prstGeom prst="rect">
          <a:avLst/>
        </a:prstGeom>
        <a:gradFill flip="none" rotWithShape="1">
          <a:gsLst>
            <a:gs pos="0">
              <a:schemeClr val="accent3">
                <a:lumMod val="40000"/>
                <a:lumOff val="60000"/>
              </a:schemeClr>
            </a:gs>
            <a:gs pos="47000">
              <a:schemeClr val="accent3">
                <a:lumMod val="75000"/>
              </a:schemeClr>
            </a:gs>
            <a:gs pos="100000">
              <a:schemeClr val="accent3">
                <a:lumMod val="5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58</xdr:row>
      <xdr:rowOff>0</xdr:rowOff>
    </xdr:from>
    <xdr:to>
      <xdr:col>43</xdr:col>
      <xdr:colOff>446200</xdr:colOff>
      <xdr:row>59</xdr:row>
      <xdr:rowOff>0</xdr:rowOff>
    </xdr:to>
    <xdr:sp macro="" textlink="">
      <xdr:nvSpPr>
        <xdr:cNvPr id="4989" name="Rectangle 4988">
          <a:extLst>
            <a:ext uri="{FF2B5EF4-FFF2-40B4-BE49-F238E27FC236}">
              <a16:creationId xmlns:a16="http://schemas.microsoft.com/office/drawing/2014/main" id="{18DF25F5-02AA-4646-9510-5B7263BE0BCE}"/>
            </a:ext>
          </a:extLst>
        </xdr:cNvPr>
        <xdr:cNvSpPr/>
      </xdr:nvSpPr>
      <xdr:spPr>
        <a:xfrm>
          <a:off x="36288133" y="11167533"/>
          <a:ext cx="4462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57</xdr:row>
      <xdr:rowOff>12700</xdr:rowOff>
    </xdr:from>
    <xdr:to>
      <xdr:col>43</xdr:col>
      <xdr:colOff>446200</xdr:colOff>
      <xdr:row>57</xdr:row>
      <xdr:rowOff>201600</xdr:rowOff>
    </xdr:to>
    <xdr:sp macro="" textlink="">
      <xdr:nvSpPr>
        <xdr:cNvPr id="4990" name="Rectangle 4989">
          <a:extLst>
            <a:ext uri="{FF2B5EF4-FFF2-40B4-BE49-F238E27FC236}">
              <a16:creationId xmlns:a16="http://schemas.microsoft.com/office/drawing/2014/main" id="{B006D786-AA14-D04C-ACEF-C20C92B6020A}"/>
            </a:ext>
          </a:extLst>
        </xdr:cNvPr>
        <xdr:cNvSpPr/>
      </xdr:nvSpPr>
      <xdr:spPr>
        <a:xfrm>
          <a:off x="36288133" y="10977033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60</xdr:row>
      <xdr:rowOff>0</xdr:rowOff>
    </xdr:from>
    <xdr:to>
      <xdr:col>43</xdr:col>
      <xdr:colOff>446200</xdr:colOff>
      <xdr:row>60</xdr:row>
      <xdr:rowOff>201600</xdr:rowOff>
    </xdr:to>
    <xdr:sp macro="" textlink="">
      <xdr:nvSpPr>
        <xdr:cNvPr id="4991" name="Rectangle 4990">
          <a:extLst>
            <a:ext uri="{FF2B5EF4-FFF2-40B4-BE49-F238E27FC236}">
              <a16:creationId xmlns:a16="http://schemas.microsoft.com/office/drawing/2014/main" id="{F932AA18-C093-8D40-B846-D15E0318FB28}"/>
            </a:ext>
          </a:extLst>
        </xdr:cNvPr>
        <xdr:cNvSpPr/>
      </xdr:nvSpPr>
      <xdr:spPr>
        <a:xfrm>
          <a:off x="36288133" y="11573933"/>
          <a:ext cx="4462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9674</xdr:colOff>
      <xdr:row>66</xdr:row>
      <xdr:rowOff>9676</xdr:rowOff>
    </xdr:from>
    <xdr:to>
      <xdr:col>44</xdr:col>
      <xdr:colOff>8465</xdr:colOff>
      <xdr:row>67</xdr:row>
      <xdr:rowOff>16933</xdr:rowOff>
    </xdr:to>
    <xdr:sp macro="" textlink="">
      <xdr:nvSpPr>
        <xdr:cNvPr id="4992" name="Rectangle 4991">
          <a:extLst>
            <a:ext uri="{FF2B5EF4-FFF2-40B4-BE49-F238E27FC236}">
              <a16:creationId xmlns:a16="http://schemas.microsoft.com/office/drawing/2014/main" id="{2141562C-D013-E24E-900F-A41FCDB95B5E}"/>
            </a:ext>
          </a:extLst>
        </xdr:cNvPr>
        <xdr:cNvSpPr/>
      </xdr:nvSpPr>
      <xdr:spPr>
        <a:xfrm>
          <a:off x="36297807" y="12836676"/>
          <a:ext cx="447525" cy="210457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55</xdr:row>
      <xdr:rowOff>12700</xdr:rowOff>
    </xdr:from>
    <xdr:to>
      <xdr:col>43</xdr:col>
      <xdr:colOff>446200</xdr:colOff>
      <xdr:row>56</xdr:row>
      <xdr:rowOff>11100</xdr:rowOff>
    </xdr:to>
    <xdr:sp macro="" textlink="">
      <xdr:nvSpPr>
        <xdr:cNvPr id="4993" name="Rectangle 4992">
          <a:extLst>
            <a:ext uri="{FF2B5EF4-FFF2-40B4-BE49-F238E27FC236}">
              <a16:creationId xmlns:a16="http://schemas.microsoft.com/office/drawing/2014/main" id="{8D65F1A9-9798-DA49-B894-877D570B8C92}"/>
            </a:ext>
          </a:extLst>
        </xdr:cNvPr>
        <xdr:cNvSpPr/>
      </xdr:nvSpPr>
      <xdr:spPr>
        <a:xfrm>
          <a:off x="36288133" y="10570633"/>
          <a:ext cx="4462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56</xdr:row>
      <xdr:rowOff>12700</xdr:rowOff>
    </xdr:from>
    <xdr:to>
      <xdr:col>43</xdr:col>
      <xdr:colOff>446200</xdr:colOff>
      <xdr:row>57</xdr:row>
      <xdr:rowOff>12700</xdr:rowOff>
    </xdr:to>
    <xdr:sp macro="" textlink="">
      <xdr:nvSpPr>
        <xdr:cNvPr id="4994" name="Rectangle 4993">
          <a:extLst>
            <a:ext uri="{FF2B5EF4-FFF2-40B4-BE49-F238E27FC236}">
              <a16:creationId xmlns:a16="http://schemas.microsoft.com/office/drawing/2014/main" id="{54C54246-935D-E846-B22E-49FBC4DB6400}"/>
            </a:ext>
          </a:extLst>
        </xdr:cNvPr>
        <xdr:cNvSpPr/>
      </xdr:nvSpPr>
      <xdr:spPr>
        <a:xfrm>
          <a:off x="36288133" y="10773833"/>
          <a:ext cx="4462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59</xdr:row>
      <xdr:rowOff>0</xdr:rowOff>
    </xdr:from>
    <xdr:to>
      <xdr:col>43</xdr:col>
      <xdr:colOff>446200</xdr:colOff>
      <xdr:row>60</xdr:row>
      <xdr:rowOff>0</xdr:rowOff>
    </xdr:to>
    <xdr:sp macro="" textlink="">
      <xdr:nvSpPr>
        <xdr:cNvPr id="4995" name="Rectangle 4994">
          <a:extLst>
            <a:ext uri="{FF2B5EF4-FFF2-40B4-BE49-F238E27FC236}">
              <a16:creationId xmlns:a16="http://schemas.microsoft.com/office/drawing/2014/main" id="{0688D191-FA68-EA4B-B8A9-DFF1F6BDFF05}"/>
            </a:ext>
          </a:extLst>
        </xdr:cNvPr>
        <xdr:cNvSpPr/>
      </xdr:nvSpPr>
      <xdr:spPr>
        <a:xfrm>
          <a:off x="36288133" y="11370733"/>
          <a:ext cx="4462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61</xdr:row>
      <xdr:rowOff>0</xdr:rowOff>
    </xdr:from>
    <xdr:to>
      <xdr:col>43</xdr:col>
      <xdr:colOff>446200</xdr:colOff>
      <xdr:row>62</xdr:row>
      <xdr:rowOff>0</xdr:rowOff>
    </xdr:to>
    <xdr:sp macro="" textlink="">
      <xdr:nvSpPr>
        <xdr:cNvPr id="4996" name="Rectangle 4995">
          <a:extLst>
            <a:ext uri="{FF2B5EF4-FFF2-40B4-BE49-F238E27FC236}">
              <a16:creationId xmlns:a16="http://schemas.microsoft.com/office/drawing/2014/main" id="{093C7A11-B5AE-104C-BB43-F0FA305C9444}"/>
            </a:ext>
          </a:extLst>
        </xdr:cNvPr>
        <xdr:cNvSpPr/>
      </xdr:nvSpPr>
      <xdr:spPr>
        <a:xfrm>
          <a:off x="36288133" y="11777133"/>
          <a:ext cx="4462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62</xdr:row>
      <xdr:rowOff>0</xdr:rowOff>
    </xdr:from>
    <xdr:to>
      <xdr:col>43</xdr:col>
      <xdr:colOff>446200</xdr:colOff>
      <xdr:row>62</xdr:row>
      <xdr:rowOff>201600</xdr:rowOff>
    </xdr:to>
    <xdr:sp macro="" textlink="">
      <xdr:nvSpPr>
        <xdr:cNvPr id="4997" name="Rectangle 4996">
          <a:extLst>
            <a:ext uri="{FF2B5EF4-FFF2-40B4-BE49-F238E27FC236}">
              <a16:creationId xmlns:a16="http://schemas.microsoft.com/office/drawing/2014/main" id="{3ADD030C-D97D-8947-9713-B6469C95ECD4}"/>
            </a:ext>
          </a:extLst>
        </xdr:cNvPr>
        <xdr:cNvSpPr/>
      </xdr:nvSpPr>
      <xdr:spPr>
        <a:xfrm>
          <a:off x="36288133" y="11980333"/>
          <a:ext cx="44620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63</xdr:row>
      <xdr:rowOff>0</xdr:rowOff>
    </xdr:from>
    <xdr:to>
      <xdr:col>43</xdr:col>
      <xdr:colOff>446200</xdr:colOff>
      <xdr:row>64</xdr:row>
      <xdr:rowOff>0</xdr:rowOff>
    </xdr:to>
    <xdr:sp macro="" textlink="">
      <xdr:nvSpPr>
        <xdr:cNvPr id="4998" name="Rectangle 4997">
          <a:extLst>
            <a:ext uri="{FF2B5EF4-FFF2-40B4-BE49-F238E27FC236}">
              <a16:creationId xmlns:a16="http://schemas.microsoft.com/office/drawing/2014/main" id="{A797FCCF-A573-A04C-99B8-7AA3E539EE3F}"/>
            </a:ext>
          </a:extLst>
        </xdr:cNvPr>
        <xdr:cNvSpPr/>
      </xdr:nvSpPr>
      <xdr:spPr>
        <a:xfrm>
          <a:off x="36288133" y="12183533"/>
          <a:ext cx="446200" cy="220134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64</xdr:row>
      <xdr:rowOff>0</xdr:rowOff>
    </xdr:from>
    <xdr:to>
      <xdr:col>43</xdr:col>
      <xdr:colOff>446200</xdr:colOff>
      <xdr:row>65</xdr:row>
      <xdr:rowOff>0</xdr:rowOff>
    </xdr:to>
    <xdr:sp macro="" textlink="">
      <xdr:nvSpPr>
        <xdr:cNvPr id="4999" name="Rectangle 4998">
          <a:extLst>
            <a:ext uri="{FF2B5EF4-FFF2-40B4-BE49-F238E27FC236}">
              <a16:creationId xmlns:a16="http://schemas.microsoft.com/office/drawing/2014/main" id="{55E23082-B114-FB4D-AB18-C1B6AD671B83}"/>
            </a:ext>
          </a:extLst>
        </xdr:cNvPr>
        <xdr:cNvSpPr/>
      </xdr:nvSpPr>
      <xdr:spPr>
        <a:xfrm>
          <a:off x="36288133" y="12403667"/>
          <a:ext cx="446200" cy="220133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65</xdr:row>
      <xdr:rowOff>0</xdr:rowOff>
    </xdr:from>
    <xdr:to>
      <xdr:col>43</xdr:col>
      <xdr:colOff>446200</xdr:colOff>
      <xdr:row>66</xdr:row>
      <xdr:rowOff>0</xdr:rowOff>
    </xdr:to>
    <xdr:sp macro="" textlink="">
      <xdr:nvSpPr>
        <xdr:cNvPr id="5000" name="Rectangle 4999">
          <a:extLst>
            <a:ext uri="{FF2B5EF4-FFF2-40B4-BE49-F238E27FC236}">
              <a16:creationId xmlns:a16="http://schemas.microsoft.com/office/drawing/2014/main" id="{2E3894E1-08E7-5343-927B-303B002C879A}"/>
            </a:ext>
          </a:extLst>
        </xdr:cNvPr>
        <xdr:cNvSpPr/>
      </xdr:nvSpPr>
      <xdr:spPr>
        <a:xfrm>
          <a:off x="36288133" y="12623800"/>
          <a:ext cx="4462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67</xdr:row>
      <xdr:rowOff>0</xdr:rowOff>
    </xdr:from>
    <xdr:to>
      <xdr:col>43</xdr:col>
      <xdr:colOff>446200</xdr:colOff>
      <xdr:row>67</xdr:row>
      <xdr:rowOff>201600</xdr:rowOff>
    </xdr:to>
    <xdr:sp macro="" textlink="">
      <xdr:nvSpPr>
        <xdr:cNvPr id="5001" name="Rectangle 5000">
          <a:extLst>
            <a:ext uri="{FF2B5EF4-FFF2-40B4-BE49-F238E27FC236}">
              <a16:creationId xmlns:a16="http://schemas.microsoft.com/office/drawing/2014/main" id="{D2A35B6F-1355-D142-9E4F-6637EE27120D}"/>
            </a:ext>
          </a:extLst>
        </xdr:cNvPr>
        <xdr:cNvSpPr/>
      </xdr:nvSpPr>
      <xdr:spPr>
        <a:xfrm>
          <a:off x="36288133" y="13030200"/>
          <a:ext cx="446200" cy="2016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67</xdr:row>
      <xdr:rowOff>190500</xdr:rowOff>
    </xdr:from>
    <xdr:to>
      <xdr:col>43</xdr:col>
      <xdr:colOff>446200</xdr:colOff>
      <xdr:row>69</xdr:row>
      <xdr:rowOff>38100</xdr:rowOff>
    </xdr:to>
    <xdr:sp macro="" textlink="">
      <xdr:nvSpPr>
        <xdr:cNvPr id="5002" name="Rectangle 5001">
          <a:extLst>
            <a:ext uri="{FF2B5EF4-FFF2-40B4-BE49-F238E27FC236}">
              <a16:creationId xmlns:a16="http://schemas.microsoft.com/office/drawing/2014/main" id="{039DB041-9AB8-E44A-82B2-8A8F39311196}"/>
            </a:ext>
          </a:extLst>
        </xdr:cNvPr>
        <xdr:cNvSpPr/>
      </xdr:nvSpPr>
      <xdr:spPr>
        <a:xfrm>
          <a:off x="36288133" y="13220700"/>
          <a:ext cx="446200" cy="270933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69</xdr:row>
      <xdr:rowOff>12700</xdr:rowOff>
    </xdr:from>
    <xdr:to>
      <xdr:col>43</xdr:col>
      <xdr:colOff>446200</xdr:colOff>
      <xdr:row>70</xdr:row>
      <xdr:rowOff>12700</xdr:rowOff>
    </xdr:to>
    <xdr:sp macro="" textlink="">
      <xdr:nvSpPr>
        <xdr:cNvPr id="5003" name="Rectangle 5002">
          <a:extLst>
            <a:ext uri="{FF2B5EF4-FFF2-40B4-BE49-F238E27FC236}">
              <a16:creationId xmlns:a16="http://schemas.microsoft.com/office/drawing/2014/main" id="{5EBD2FBA-A59B-D445-B19D-A5474086A54E}"/>
            </a:ext>
          </a:extLst>
        </xdr:cNvPr>
        <xdr:cNvSpPr/>
      </xdr:nvSpPr>
      <xdr:spPr>
        <a:xfrm>
          <a:off x="36288133" y="13466233"/>
          <a:ext cx="4462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71</xdr:row>
      <xdr:rowOff>12700</xdr:rowOff>
    </xdr:from>
    <xdr:to>
      <xdr:col>43</xdr:col>
      <xdr:colOff>446200</xdr:colOff>
      <xdr:row>72</xdr:row>
      <xdr:rowOff>12700</xdr:rowOff>
    </xdr:to>
    <xdr:sp macro="" textlink="">
      <xdr:nvSpPr>
        <xdr:cNvPr id="5004" name="Rectangle 5003">
          <a:extLst>
            <a:ext uri="{FF2B5EF4-FFF2-40B4-BE49-F238E27FC236}">
              <a16:creationId xmlns:a16="http://schemas.microsoft.com/office/drawing/2014/main" id="{E4392EC3-7712-9143-B3D0-6DCC3DB2E400}"/>
            </a:ext>
          </a:extLst>
        </xdr:cNvPr>
        <xdr:cNvSpPr/>
      </xdr:nvSpPr>
      <xdr:spPr>
        <a:xfrm>
          <a:off x="36288133" y="13872633"/>
          <a:ext cx="446200" cy="220134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70</xdr:row>
      <xdr:rowOff>12700</xdr:rowOff>
    </xdr:from>
    <xdr:to>
      <xdr:col>43</xdr:col>
      <xdr:colOff>446200</xdr:colOff>
      <xdr:row>71</xdr:row>
      <xdr:rowOff>12700</xdr:rowOff>
    </xdr:to>
    <xdr:sp macro="" textlink="">
      <xdr:nvSpPr>
        <xdr:cNvPr id="5005" name="Rectangle 5004">
          <a:extLst>
            <a:ext uri="{FF2B5EF4-FFF2-40B4-BE49-F238E27FC236}">
              <a16:creationId xmlns:a16="http://schemas.microsoft.com/office/drawing/2014/main" id="{9CCC60EF-BDBE-5D4A-AD29-971B8348C8BF}"/>
            </a:ext>
          </a:extLst>
        </xdr:cNvPr>
        <xdr:cNvSpPr/>
      </xdr:nvSpPr>
      <xdr:spPr>
        <a:xfrm>
          <a:off x="36288133" y="13669433"/>
          <a:ext cx="4462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14</xdr:row>
      <xdr:rowOff>0</xdr:rowOff>
    </xdr:from>
    <xdr:to>
      <xdr:col>49</xdr:col>
      <xdr:colOff>10165</xdr:colOff>
      <xdr:row>14</xdr:row>
      <xdr:rowOff>201600</xdr:rowOff>
    </xdr:to>
    <xdr:sp macro="" textlink="">
      <xdr:nvSpPr>
        <xdr:cNvPr id="5473" name="Rectangle 5472">
          <a:extLst>
            <a:ext uri="{FF2B5EF4-FFF2-40B4-BE49-F238E27FC236}">
              <a16:creationId xmlns:a16="http://schemas.microsoft.com/office/drawing/2014/main" id="{4360F427-7524-1643-A671-9E352CF37566}"/>
            </a:ext>
          </a:extLst>
        </xdr:cNvPr>
        <xdr:cNvSpPr/>
      </xdr:nvSpPr>
      <xdr:spPr>
        <a:xfrm>
          <a:off x="40623065" y="2184400"/>
          <a:ext cx="4589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7</xdr:row>
      <xdr:rowOff>12700</xdr:rowOff>
    </xdr:from>
    <xdr:to>
      <xdr:col>49</xdr:col>
      <xdr:colOff>10165</xdr:colOff>
      <xdr:row>8</xdr:row>
      <xdr:rowOff>11100</xdr:rowOff>
    </xdr:to>
    <xdr:sp macro="" textlink="">
      <xdr:nvSpPr>
        <xdr:cNvPr id="5474" name="Rectangle 5473">
          <a:extLst>
            <a:ext uri="{FF2B5EF4-FFF2-40B4-BE49-F238E27FC236}">
              <a16:creationId xmlns:a16="http://schemas.microsoft.com/office/drawing/2014/main" id="{633C80E9-BD8F-EF49-B93D-42A26C075DBD}"/>
            </a:ext>
          </a:extLst>
        </xdr:cNvPr>
        <xdr:cNvSpPr/>
      </xdr:nvSpPr>
      <xdr:spPr>
        <a:xfrm>
          <a:off x="40766998" y="783167"/>
          <a:ext cx="458900" cy="2016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20</xdr:row>
      <xdr:rowOff>0</xdr:rowOff>
    </xdr:from>
    <xdr:to>
      <xdr:col>49</xdr:col>
      <xdr:colOff>10165</xdr:colOff>
      <xdr:row>20</xdr:row>
      <xdr:rowOff>201600</xdr:rowOff>
    </xdr:to>
    <xdr:sp macro="" textlink="">
      <xdr:nvSpPr>
        <xdr:cNvPr id="5475" name="Rectangle 5474">
          <a:extLst>
            <a:ext uri="{FF2B5EF4-FFF2-40B4-BE49-F238E27FC236}">
              <a16:creationId xmlns:a16="http://schemas.microsoft.com/office/drawing/2014/main" id="{1AC68AE0-69DE-6D42-AD87-6424075579BA}"/>
            </a:ext>
          </a:extLst>
        </xdr:cNvPr>
        <xdr:cNvSpPr/>
      </xdr:nvSpPr>
      <xdr:spPr>
        <a:xfrm>
          <a:off x="40766998" y="3429000"/>
          <a:ext cx="4589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21</xdr:row>
      <xdr:rowOff>0</xdr:rowOff>
    </xdr:from>
    <xdr:to>
      <xdr:col>49</xdr:col>
      <xdr:colOff>10165</xdr:colOff>
      <xdr:row>21</xdr:row>
      <xdr:rowOff>201600</xdr:rowOff>
    </xdr:to>
    <xdr:sp macro="" textlink="">
      <xdr:nvSpPr>
        <xdr:cNvPr id="5476" name="Rectangle 5475">
          <a:extLst>
            <a:ext uri="{FF2B5EF4-FFF2-40B4-BE49-F238E27FC236}">
              <a16:creationId xmlns:a16="http://schemas.microsoft.com/office/drawing/2014/main" id="{0F37A3A5-7C0B-B04E-9D92-33B719E4ADA2}"/>
            </a:ext>
          </a:extLst>
        </xdr:cNvPr>
        <xdr:cNvSpPr/>
      </xdr:nvSpPr>
      <xdr:spPr>
        <a:xfrm>
          <a:off x="40766998" y="3632200"/>
          <a:ext cx="458900" cy="2016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22</xdr:row>
      <xdr:rowOff>0</xdr:rowOff>
    </xdr:from>
    <xdr:to>
      <xdr:col>49</xdr:col>
      <xdr:colOff>10165</xdr:colOff>
      <xdr:row>23</xdr:row>
      <xdr:rowOff>0</xdr:rowOff>
    </xdr:to>
    <xdr:sp macro="" textlink="">
      <xdr:nvSpPr>
        <xdr:cNvPr id="5477" name="Rectangle 5476">
          <a:extLst>
            <a:ext uri="{FF2B5EF4-FFF2-40B4-BE49-F238E27FC236}">
              <a16:creationId xmlns:a16="http://schemas.microsoft.com/office/drawing/2014/main" id="{848615CB-7D55-C243-B8FB-8DDEC4C61BC8}"/>
            </a:ext>
          </a:extLst>
        </xdr:cNvPr>
        <xdr:cNvSpPr/>
      </xdr:nvSpPr>
      <xdr:spPr>
        <a:xfrm>
          <a:off x="40766998" y="3835400"/>
          <a:ext cx="458900" cy="220133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6</xdr:row>
      <xdr:rowOff>12700</xdr:rowOff>
    </xdr:from>
    <xdr:to>
      <xdr:col>49</xdr:col>
      <xdr:colOff>10165</xdr:colOff>
      <xdr:row>7</xdr:row>
      <xdr:rowOff>11100</xdr:rowOff>
    </xdr:to>
    <xdr:sp macro="" textlink="">
      <xdr:nvSpPr>
        <xdr:cNvPr id="5478" name="Rectangle 5477">
          <a:extLst>
            <a:ext uri="{FF2B5EF4-FFF2-40B4-BE49-F238E27FC236}">
              <a16:creationId xmlns:a16="http://schemas.microsoft.com/office/drawing/2014/main" id="{7BCB2B84-A996-CC41-A710-3856259EAEEA}"/>
            </a:ext>
          </a:extLst>
        </xdr:cNvPr>
        <xdr:cNvSpPr/>
      </xdr:nvSpPr>
      <xdr:spPr>
        <a:xfrm>
          <a:off x="40766998" y="579967"/>
          <a:ext cx="4589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8</xdr:row>
      <xdr:rowOff>0</xdr:rowOff>
    </xdr:from>
    <xdr:to>
      <xdr:col>49</xdr:col>
      <xdr:colOff>10165</xdr:colOff>
      <xdr:row>9</xdr:row>
      <xdr:rowOff>0</xdr:rowOff>
    </xdr:to>
    <xdr:sp macro="" textlink="">
      <xdr:nvSpPr>
        <xdr:cNvPr id="5480" name="Rectangle 5479">
          <a:extLst>
            <a:ext uri="{FF2B5EF4-FFF2-40B4-BE49-F238E27FC236}">
              <a16:creationId xmlns:a16="http://schemas.microsoft.com/office/drawing/2014/main" id="{B51F3734-275B-C44F-AC30-E0A2DB6EC19A}"/>
            </a:ext>
          </a:extLst>
        </xdr:cNvPr>
        <xdr:cNvSpPr/>
      </xdr:nvSpPr>
      <xdr:spPr>
        <a:xfrm>
          <a:off x="40766998" y="973667"/>
          <a:ext cx="4589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9</xdr:row>
      <xdr:rowOff>0</xdr:rowOff>
    </xdr:from>
    <xdr:to>
      <xdr:col>49</xdr:col>
      <xdr:colOff>10165</xdr:colOff>
      <xdr:row>10</xdr:row>
      <xdr:rowOff>0</xdr:rowOff>
    </xdr:to>
    <xdr:sp macro="" textlink="">
      <xdr:nvSpPr>
        <xdr:cNvPr id="5481" name="Rectangle 5480">
          <a:extLst>
            <a:ext uri="{FF2B5EF4-FFF2-40B4-BE49-F238E27FC236}">
              <a16:creationId xmlns:a16="http://schemas.microsoft.com/office/drawing/2014/main" id="{80A639E4-FDBC-9C4C-A38A-30F98D064129}"/>
            </a:ext>
          </a:extLst>
        </xdr:cNvPr>
        <xdr:cNvSpPr/>
      </xdr:nvSpPr>
      <xdr:spPr>
        <a:xfrm>
          <a:off x="40766998" y="1176867"/>
          <a:ext cx="4589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11</xdr:row>
      <xdr:rowOff>0</xdr:rowOff>
    </xdr:from>
    <xdr:to>
      <xdr:col>49</xdr:col>
      <xdr:colOff>10165</xdr:colOff>
      <xdr:row>12</xdr:row>
      <xdr:rowOff>0</xdr:rowOff>
    </xdr:to>
    <xdr:sp macro="" textlink="">
      <xdr:nvSpPr>
        <xdr:cNvPr id="5482" name="Rectangle 5481">
          <a:extLst>
            <a:ext uri="{FF2B5EF4-FFF2-40B4-BE49-F238E27FC236}">
              <a16:creationId xmlns:a16="http://schemas.microsoft.com/office/drawing/2014/main" id="{AC38EB2D-C57B-5C4D-B135-3DB7BB81344B}"/>
            </a:ext>
          </a:extLst>
        </xdr:cNvPr>
        <xdr:cNvSpPr/>
      </xdr:nvSpPr>
      <xdr:spPr>
        <a:xfrm>
          <a:off x="40766998" y="1583267"/>
          <a:ext cx="4589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10</xdr:row>
      <xdr:rowOff>0</xdr:rowOff>
    </xdr:from>
    <xdr:to>
      <xdr:col>49</xdr:col>
      <xdr:colOff>10165</xdr:colOff>
      <xdr:row>10</xdr:row>
      <xdr:rowOff>201600</xdr:rowOff>
    </xdr:to>
    <xdr:sp macro="" textlink="">
      <xdr:nvSpPr>
        <xdr:cNvPr id="5483" name="Rectangle 5482">
          <a:extLst>
            <a:ext uri="{FF2B5EF4-FFF2-40B4-BE49-F238E27FC236}">
              <a16:creationId xmlns:a16="http://schemas.microsoft.com/office/drawing/2014/main" id="{E209CD89-5DF1-8D4E-9E79-2EFEB1D9C5FC}"/>
            </a:ext>
          </a:extLst>
        </xdr:cNvPr>
        <xdr:cNvSpPr/>
      </xdr:nvSpPr>
      <xdr:spPr>
        <a:xfrm>
          <a:off x="40766998" y="1380067"/>
          <a:ext cx="4589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12</xdr:row>
      <xdr:rowOff>0</xdr:rowOff>
    </xdr:from>
    <xdr:to>
      <xdr:col>49</xdr:col>
      <xdr:colOff>10165</xdr:colOff>
      <xdr:row>13</xdr:row>
      <xdr:rowOff>0</xdr:rowOff>
    </xdr:to>
    <xdr:sp macro="" textlink="">
      <xdr:nvSpPr>
        <xdr:cNvPr id="5484" name="Rectangle 5483">
          <a:extLst>
            <a:ext uri="{FF2B5EF4-FFF2-40B4-BE49-F238E27FC236}">
              <a16:creationId xmlns:a16="http://schemas.microsoft.com/office/drawing/2014/main" id="{D250881F-6B91-DB44-8C88-3FF179ECD8A4}"/>
            </a:ext>
          </a:extLst>
        </xdr:cNvPr>
        <xdr:cNvSpPr/>
      </xdr:nvSpPr>
      <xdr:spPr>
        <a:xfrm>
          <a:off x="40766998" y="1786467"/>
          <a:ext cx="4589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13</xdr:row>
      <xdr:rowOff>0</xdr:rowOff>
    </xdr:from>
    <xdr:to>
      <xdr:col>49</xdr:col>
      <xdr:colOff>10165</xdr:colOff>
      <xdr:row>14</xdr:row>
      <xdr:rowOff>0</xdr:rowOff>
    </xdr:to>
    <xdr:sp macro="" textlink="">
      <xdr:nvSpPr>
        <xdr:cNvPr id="5485" name="Rectangle 5484">
          <a:extLst>
            <a:ext uri="{FF2B5EF4-FFF2-40B4-BE49-F238E27FC236}">
              <a16:creationId xmlns:a16="http://schemas.microsoft.com/office/drawing/2014/main" id="{0998BD82-236B-9D4B-B00E-1811C37AC71B}"/>
            </a:ext>
          </a:extLst>
        </xdr:cNvPr>
        <xdr:cNvSpPr/>
      </xdr:nvSpPr>
      <xdr:spPr>
        <a:xfrm>
          <a:off x="40766998" y="1989667"/>
          <a:ext cx="4589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15</xdr:row>
      <xdr:rowOff>0</xdr:rowOff>
    </xdr:from>
    <xdr:to>
      <xdr:col>49</xdr:col>
      <xdr:colOff>10165</xdr:colOff>
      <xdr:row>16</xdr:row>
      <xdr:rowOff>0</xdr:rowOff>
    </xdr:to>
    <xdr:sp macro="" textlink="">
      <xdr:nvSpPr>
        <xdr:cNvPr id="5486" name="Rectangle 5485">
          <a:extLst>
            <a:ext uri="{FF2B5EF4-FFF2-40B4-BE49-F238E27FC236}">
              <a16:creationId xmlns:a16="http://schemas.microsoft.com/office/drawing/2014/main" id="{BA50EB49-564A-D149-A17E-203503BD3500}"/>
            </a:ext>
          </a:extLst>
        </xdr:cNvPr>
        <xdr:cNvSpPr/>
      </xdr:nvSpPr>
      <xdr:spPr>
        <a:xfrm>
          <a:off x="40766998" y="2396067"/>
          <a:ext cx="4589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16</xdr:row>
      <xdr:rowOff>0</xdr:rowOff>
    </xdr:from>
    <xdr:to>
      <xdr:col>49</xdr:col>
      <xdr:colOff>10165</xdr:colOff>
      <xdr:row>17</xdr:row>
      <xdr:rowOff>0</xdr:rowOff>
    </xdr:to>
    <xdr:sp macro="" textlink="">
      <xdr:nvSpPr>
        <xdr:cNvPr id="5487" name="Rectangle 5486">
          <a:extLst>
            <a:ext uri="{FF2B5EF4-FFF2-40B4-BE49-F238E27FC236}">
              <a16:creationId xmlns:a16="http://schemas.microsoft.com/office/drawing/2014/main" id="{C0A05CAB-FA71-1345-B3F8-8F37937922F4}"/>
            </a:ext>
          </a:extLst>
        </xdr:cNvPr>
        <xdr:cNvSpPr/>
      </xdr:nvSpPr>
      <xdr:spPr>
        <a:xfrm>
          <a:off x="40766998" y="2599267"/>
          <a:ext cx="458900" cy="220133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17</xdr:row>
      <xdr:rowOff>0</xdr:rowOff>
    </xdr:from>
    <xdr:to>
      <xdr:col>49</xdr:col>
      <xdr:colOff>10165</xdr:colOff>
      <xdr:row>18</xdr:row>
      <xdr:rowOff>0</xdr:rowOff>
    </xdr:to>
    <xdr:sp macro="" textlink="">
      <xdr:nvSpPr>
        <xdr:cNvPr id="5488" name="Rectangle 5487">
          <a:extLst>
            <a:ext uri="{FF2B5EF4-FFF2-40B4-BE49-F238E27FC236}">
              <a16:creationId xmlns:a16="http://schemas.microsoft.com/office/drawing/2014/main" id="{41F886FC-E657-EE44-B218-048BECB83236}"/>
            </a:ext>
          </a:extLst>
        </xdr:cNvPr>
        <xdr:cNvSpPr/>
      </xdr:nvSpPr>
      <xdr:spPr>
        <a:xfrm>
          <a:off x="40766998" y="2819400"/>
          <a:ext cx="4589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18</xdr:row>
      <xdr:rowOff>0</xdr:rowOff>
    </xdr:from>
    <xdr:to>
      <xdr:col>49</xdr:col>
      <xdr:colOff>10165</xdr:colOff>
      <xdr:row>19</xdr:row>
      <xdr:rowOff>50800</xdr:rowOff>
    </xdr:to>
    <xdr:sp macro="" textlink="">
      <xdr:nvSpPr>
        <xdr:cNvPr id="5489" name="Rectangle 5488">
          <a:extLst>
            <a:ext uri="{FF2B5EF4-FFF2-40B4-BE49-F238E27FC236}">
              <a16:creationId xmlns:a16="http://schemas.microsoft.com/office/drawing/2014/main" id="{1F1AF063-8B82-0C46-B46C-F040E6A20286}"/>
            </a:ext>
          </a:extLst>
        </xdr:cNvPr>
        <xdr:cNvSpPr/>
      </xdr:nvSpPr>
      <xdr:spPr>
        <a:xfrm>
          <a:off x="40766998" y="3022600"/>
          <a:ext cx="4589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19</xdr:row>
      <xdr:rowOff>12700</xdr:rowOff>
    </xdr:from>
    <xdr:to>
      <xdr:col>49</xdr:col>
      <xdr:colOff>10165</xdr:colOff>
      <xdr:row>20</xdr:row>
      <xdr:rowOff>12700</xdr:rowOff>
    </xdr:to>
    <xdr:sp macro="" textlink="">
      <xdr:nvSpPr>
        <xdr:cNvPr id="5490" name="Rectangle 5489">
          <a:extLst>
            <a:ext uri="{FF2B5EF4-FFF2-40B4-BE49-F238E27FC236}">
              <a16:creationId xmlns:a16="http://schemas.microsoft.com/office/drawing/2014/main" id="{026004C3-4EFA-204A-BB1E-EB778FB4571E}"/>
            </a:ext>
          </a:extLst>
        </xdr:cNvPr>
        <xdr:cNvSpPr/>
      </xdr:nvSpPr>
      <xdr:spPr>
        <a:xfrm>
          <a:off x="40766998" y="3238500"/>
          <a:ext cx="4589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12700</xdr:colOff>
      <xdr:row>63</xdr:row>
      <xdr:rowOff>12700</xdr:rowOff>
    </xdr:from>
    <xdr:to>
      <xdr:col>39</xdr:col>
      <xdr:colOff>8467</xdr:colOff>
      <xdr:row>64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1C0B45DC-29C7-B94F-B9A4-23BB10934BFF}"/>
            </a:ext>
          </a:extLst>
        </xdr:cNvPr>
        <xdr:cNvSpPr/>
      </xdr:nvSpPr>
      <xdr:spPr>
        <a:xfrm>
          <a:off x="31800800" y="12179300"/>
          <a:ext cx="465667" cy="203200"/>
        </a:xfrm>
        <a:prstGeom prst="rect">
          <a:avLst/>
        </a:prstGeom>
        <a:gradFill flip="none" rotWithShape="1">
          <a:gsLst>
            <a:gs pos="100000">
              <a:srgbClr val="FFFF00"/>
            </a:gs>
            <a:gs pos="25000">
              <a:srgbClr val="C83940"/>
            </a:gs>
            <a:gs pos="52000">
              <a:srgbClr val="FFFF00"/>
            </a:gs>
            <a:gs pos="76000">
              <a:srgbClr val="92D050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12700</xdr:colOff>
      <xdr:row>64</xdr:row>
      <xdr:rowOff>12700</xdr:rowOff>
    </xdr:from>
    <xdr:to>
      <xdr:col>39</xdr:col>
      <xdr:colOff>8467</xdr:colOff>
      <xdr:row>65</xdr:row>
      <xdr:rowOff>0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DFB1B3C1-5D51-F94D-91B2-41686D50A0CA}"/>
            </a:ext>
          </a:extLst>
        </xdr:cNvPr>
        <xdr:cNvSpPr/>
      </xdr:nvSpPr>
      <xdr:spPr>
        <a:xfrm>
          <a:off x="31800800" y="12395200"/>
          <a:ext cx="465667" cy="203200"/>
        </a:xfrm>
        <a:prstGeom prst="rect">
          <a:avLst/>
        </a:prstGeom>
        <a:gradFill flip="none" rotWithShape="1">
          <a:gsLst>
            <a:gs pos="71000">
              <a:srgbClr val="00B0F0"/>
            </a:gs>
            <a:gs pos="56000">
              <a:srgbClr val="FFFF00"/>
            </a:gs>
            <a:gs pos="92000">
              <a:schemeClr val="tx1"/>
            </a:gs>
            <a:gs pos="30000">
              <a:srgbClr val="C83940"/>
            </a:gs>
            <a:gs pos="42000">
              <a:srgbClr val="92D050"/>
            </a:gs>
            <a:gs pos="12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69</xdr:row>
      <xdr:rowOff>0</xdr:rowOff>
    </xdr:from>
    <xdr:to>
      <xdr:col>38</xdr:col>
      <xdr:colOff>465667</xdr:colOff>
      <xdr:row>70</xdr:row>
      <xdr:rowOff>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A8349861-58B0-DF4C-A8F3-277D09213AFC}"/>
            </a:ext>
          </a:extLst>
        </xdr:cNvPr>
        <xdr:cNvSpPr/>
      </xdr:nvSpPr>
      <xdr:spPr>
        <a:xfrm>
          <a:off x="31788100" y="13423900"/>
          <a:ext cx="465667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70</xdr:row>
      <xdr:rowOff>0</xdr:rowOff>
    </xdr:from>
    <xdr:to>
      <xdr:col>38</xdr:col>
      <xdr:colOff>465667</xdr:colOff>
      <xdr:row>71</xdr:row>
      <xdr:rowOff>0</xdr:rowOff>
    </xdr:to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F9F3EE60-555A-614E-9CF7-077DAFBD9B70}"/>
            </a:ext>
          </a:extLst>
        </xdr:cNvPr>
        <xdr:cNvSpPr/>
      </xdr:nvSpPr>
      <xdr:spPr>
        <a:xfrm>
          <a:off x="31788100" y="13627100"/>
          <a:ext cx="465667" cy="203200"/>
        </a:xfrm>
        <a:prstGeom prst="rect">
          <a:avLst/>
        </a:prstGeom>
        <a:gradFill flip="none" rotWithShape="1">
          <a:gsLst>
            <a:gs pos="7000">
              <a:srgbClr val="FFE700"/>
            </a:gs>
            <a:gs pos="30000">
              <a:srgbClr val="9CDE55"/>
            </a:gs>
            <a:gs pos="64000">
              <a:srgbClr val="216AC3"/>
            </a:gs>
            <a:gs pos="50000">
              <a:srgbClr val="FFE700"/>
            </a:gs>
            <a:gs pos="88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71</xdr:row>
      <xdr:rowOff>0</xdr:rowOff>
    </xdr:from>
    <xdr:to>
      <xdr:col>38</xdr:col>
      <xdr:colOff>465667</xdr:colOff>
      <xdr:row>71</xdr:row>
      <xdr:rowOff>203200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86E0C95-FB7A-DD47-966E-30C27F59CF92}"/>
            </a:ext>
          </a:extLst>
        </xdr:cNvPr>
        <xdr:cNvSpPr/>
      </xdr:nvSpPr>
      <xdr:spPr>
        <a:xfrm>
          <a:off x="31788100" y="13830300"/>
          <a:ext cx="465667" cy="2032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8480</xdr:colOff>
      <xdr:row>63</xdr:row>
      <xdr:rowOff>0</xdr:rowOff>
    </xdr:from>
    <xdr:to>
      <xdr:col>39</xdr:col>
      <xdr:colOff>4247</xdr:colOff>
      <xdr:row>64</xdr:row>
      <xdr:rowOff>0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B766CE84-A5A1-BE4B-BEBC-7019DD3D32B3}"/>
            </a:ext>
          </a:extLst>
        </xdr:cNvPr>
        <xdr:cNvSpPr/>
      </xdr:nvSpPr>
      <xdr:spPr>
        <a:xfrm>
          <a:off x="31885480" y="12814300"/>
          <a:ext cx="465667" cy="203200"/>
        </a:xfrm>
        <a:prstGeom prst="rect">
          <a:avLst/>
        </a:prstGeom>
        <a:gradFill flip="none" rotWithShape="1">
          <a:gsLst>
            <a:gs pos="0">
              <a:srgbClr val="C01C49"/>
            </a:gs>
            <a:gs pos="31000">
              <a:srgbClr val="A6E3E4"/>
            </a:gs>
            <a:gs pos="65000">
              <a:srgbClr val="FC8A0F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2130</xdr:colOff>
      <xdr:row>66</xdr:row>
      <xdr:rowOff>6350</xdr:rowOff>
    </xdr:from>
    <xdr:to>
      <xdr:col>38</xdr:col>
      <xdr:colOff>467797</xdr:colOff>
      <xdr:row>67</xdr:row>
      <xdr:rowOff>6350</xdr:rowOff>
    </xdr:to>
    <xdr:sp macro="" textlink="">
      <xdr:nvSpPr>
        <xdr:cNvPr id="193" name="Rectangle 192">
          <a:extLst>
            <a:ext uri="{FF2B5EF4-FFF2-40B4-BE49-F238E27FC236}">
              <a16:creationId xmlns:a16="http://schemas.microsoft.com/office/drawing/2014/main" id="{4670CBC6-7441-4F41-99F3-62EC6D58CC5E}"/>
            </a:ext>
          </a:extLst>
        </xdr:cNvPr>
        <xdr:cNvSpPr/>
      </xdr:nvSpPr>
      <xdr:spPr>
        <a:xfrm>
          <a:off x="31879130" y="13658850"/>
          <a:ext cx="465667" cy="215900"/>
        </a:xfrm>
        <a:prstGeom prst="rect">
          <a:avLst/>
        </a:prstGeom>
        <a:gradFill flip="none" rotWithShape="1">
          <a:gsLst>
            <a:gs pos="0">
              <a:srgbClr val="A8E1E6"/>
            </a:gs>
            <a:gs pos="31000">
              <a:srgbClr val="A6E3E4"/>
            </a:gs>
            <a:gs pos="65000">
              <a:srgbClr val="CBC959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12700</xdr:colOff>
      <xdr:row>64</xdr:row>
      <xdr:rowOff>12700</xdr:rowOff>
    </xdr:from>
    <xdr:to>
      <xdr:col>39</xdr:col>
      <xdr:colOff>8467</xdr:colOff>
      <xdr:row>65</xdr:row>
      <xdr:rowOff>0</xdr:rowOff>
    </xdr:to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CC6C817E-4F9B-214C-B3DB-9469DEF099DB}"/>
            </a:ext>
          </a:extLst>
        </xdr:cNvPr>
        <xdr:cNvSpPr/>
      </xdr:nvSpPr>
      <xdr:spPr>
        <a:xfrm>
          <a:off x="31889700" y="13030200"/>
          <a:ext cx="465667" cy="203200"/>
        </a:xfrm>
        <a:prstGeom prst="rect">
          <a:avLst/>
        </a:prstGeom>
        <a:gradFill flip="none" rotWithShape="1">
          <a:gsLst>
            <a:gs pos="100000">
              <a:srgbClr val="FFFF00"/>
            </a:gs>
            <a:gs pos="25000">
              <a:srgbClr val="C83940"/>
            </a:gs>
            <a:gs pos="52000">
              <a:srgbClr val="FFFF00"/>
            </a:gs>
            <a:gs pos="76000">
              <a:srgbClr val="92D050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65</xdr:row>
      <xdr:rowOff>6350</xdr:rowOff>
    </xdr:from>
    <xdr:to>
      <xdr:col>38</xdr:col>
      <xdr:colOff>465667</xdr:colOff>
      <xdr:row>65</xdr:row>
      <xdr:rowOff>196850</xdr:rowOff>
    </xdr:to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A2BD98AB-42B5-374E-A00C-F6610F6664E5}"/>
            </a:ext>
          </a:extLst>
        </xdr:cNvPr>
        <xdr:cNvSpPr/>
      </xdr:nvSpPr>
      <xdr:spPr>
        <a:xfrm>
          <a:off x="31877000" y="13455650"/>
          <a:ext cx="465667" cy="190500"/>
        </a:xfrm>
        <a:prstGeom prst="rect">
          <a:avLst/>
        </a:prstGeom>
        <a:gradFill flip="none" rotWithShape="1">
          <a:gsLst>
            <a:gs pos="71000">
              <a:srgbClr val="00B0F0"/>
            </a:gs>
            <a:gs pos="56000">
              <a:srgbClr val="FFFF00"/>
            </a:gs>
            <a:gs pos="92000">
              <a:schemeClr val="tx1"/>
            </a:gs>
            <a:gs pos="30000">
              <a:srgbClr val="C83940"/>
            </a:gs>
            <a:gs pos="42000">
              <a:srgbClr val="92D050"/>
            </a:gs>
            <a:gs pos="12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6350</xdr:colOff>
      <xdr:row>67</xdr:row>
      <xdr:rowOff>0</xdr:rowOff>
    </xdr:from>
    <xdr:to>
      <xdr:col>39</xdr:col>
      <xdr:colOff>2117</xdr:colOff>
      <xdr:row>68</xdr:row>
      <xdr:rowOff>0</xdr:rowOff>
    </xdr:to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6378CDF3-FC83-F141-8907-9483F6F21037}"/>
            </a:ext>
          </a:extLst>
        </xdr:cNvPr>
        <xdr:cNvSpPr/>
      </xdr:nvSpPr>
      <xdr:spPr>
        <a:xfrm>
          <a:off x="31883350" y="13868400"/>
          <a:ext cx="465667" cy="203200"/>
        </a:xfrm>
        <a:prstGeom prst="rect">
          <a:avLst/>
        </a:prstGeom>
        <a:gradFill flip="none" rotWithShape="1">
          <a:gsLst>
            <a:gs pos="0">
              <a:srgbClr val="00A349"/>
            </a:gs>
            <a:gs pos="31000">
              <a:srgbClr val="00A349"/>
            </a:gs>
            <a:gs pos="65000">
              <a:srgbClr val="92D050"/>
            </a:gs>
            <a:gs pos="100000">
              <a:srgbClr val="CCF45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6350</xdr:colOff>
      <xdr:row>68</xdr:row>
      <xdr:rowOff>6350</xdr:rowOff>
    </xdr:from>
    <xdr:to>
      <xdr:col>39</xdr:col>
      <xdr:colOff>2117</xdr:colOff>
      <xdr:row>68</xdr:row>
      <xdr:rowOff>196850</xdr:rowOff>
    </xdr:to>
    <xdr:sp macro="" textlink="">
      <xdr:nvSpPr>
        <xdr:cNvPr id="205" name="Rectangle 204">
          <a:extLst>
            <a:ext uri="{FF2B5EF4-FFF2-40B4-BE49-F238E27FC236}">
              <a16:creationId xmlns:a16="http://schemas.microsoft.com/office/drawing/2014/main" id="{95797BE0-230D-8346-BE5E-361D6FAE6EE3}"/>
            </a:ext>
          </a:extLst>
        </xdr:cNvPr>
        <xdr:cNvSpPr/>
      </xdr:nvSpPr>
      <xdr:spPr>
        <a:xfrm>
          <a:off x="31883350" y="14077950"/>
          <a:ext cx="465667" cy="190500"/>
        </a:xfrm>
        <a:prstGeom prst="rect">
          <a:avLst/>
        </a:prstGeom>
        <a:gradFill flip="none" rotWithShape="1">
          <a:gsLst>
            <a:gs pos="0">
              <a:srgbClr val="216AC3"/>
            </a:gs>
            <a:gs pos="31000">
              <a:srgbClr val="A264A2"/>
            </a:gs>
            <a:gs pos="47000">
              <a:schemeClr val="accent2"/>
            </a:gs>
            <a:gs pos="73000">
              <a:srgbClr val="9CDE55"/>
            </a:gs>
            <a:gs pos="60000">
              <a:srgbClr val="FFFF00"/>
            </a:gs>
            <a:gs pos="100000">
              <a:srgbClr val="216AC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70</xdr:row>
      <xdr:rowOff>0</xdr:rowOff>
    </xdr:from>
    <xdr:to>
      <xdr:col>38</xdr:col>
      <xdr:colOff>465667</xdr:colOff>
      <xdr:row>71</xdr:row>
      <xdr:rowOff>0</xdr:rowOff>
    </xdr:to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8366BE7E-4252-3D4E-9FF7-846A582D5E0A}"/>
            </a:ext>
          </a:extLst>
        </xdr:cNvPr>
        <xdr:cNvSpPr/>
      </xdr:nvSpPr>
      <xdr:spPr>
        <a:xfrm>
          <a:off x="31877000" y="14274800"/>
          <a:ext cx="465667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71</xdr:row>
      <xdr:rowOff>0</xdr:rowOff>
    </xdr:from>
    <xdr:to>
      <xdr:col>38</xdr:col>
      <xdr:colOff>465667</xdr:colOff>
      <xdr:row>72</xdr:row>
      <xdr:rowOff>0</xdr:rowOff>
    </xdr:to>
    <xdr:sp macro="" textlink="">
      <xdr:nvSpPr>
        <xdr:cNvPr id="209" name="Rectangle 208">
          <a:extLst>
            <a:ext uri="{FF2B5EF4-FFF2-40B4-BE49-F238E27FC236}">
              <a16:creationId xmlns:a16="http://schemas.microsoft.com/office/drawing/2014/main" id="{BA3B00EB-7BF1-AE4F-BE67-E7B33F585B5F}"/>
            </a:ext>
          </a:extLst>
        </xdr:cNvPr>
        <xdr:cNvSpPr/>
      </xdr:nvSpPr>
      <xdr:spPr>
        <a:xfrm>
          <a:off x="31877000" y="14478000"/>
          <a:ext cx="465667" cy="203200"/>
        </a:xfrm>
        <a:prstGeom prst="rect">
          <a:avLst/>
        </a:prstGeom>
        <a:gradFill flip="none" rotWithShape="1">
          <a:gsLst>
            <a:gs pos="7000">
              <a:srgbClr val="FFE700"/>
            </a:gs>
            <a:gs pos="30000">
              <a:srgbClr val="9CDE55"/>
            </a:gs>
            <a:gs pos="64000">
              <a:srgbClr val="216AC3"/>
            </a:gs>
            <a:gs pos="50000">
              <a:srgbClr val="FFE700"/>
            </a:gs>
            <a:gs pos="88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69</xdr:row>
      <xdr:rowOff>0</xdr:rowOff>
    </xdr:from>
    <xdr:to>
      <xdr:col>38</xdr:col>
      <xdr:colOff>465667</xdr:colOff>
      <xdr:row>70</xdr:row>
      <xdr:rowOff>0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DC02DDB-DDE0-7241-87B3-7A151CD7780F}"/>
            </a:ext>
          </a:extLst>
        </xdr:cNvPr>
        <xdr:cNvSpPr/>
      </xdr:nvSpPr>
      <xdr:spPr>
        <a:xfrm>
          <a:off x="31877000" y="14071600"/>
          <a:ext cx="465667" cy="203200"/>
        </a:xfrm>
        <a:prstGeom prst="rect">
          <a:avLst/>
        </a:prstGeom>
        <a:gradFill flip="none" rotWithShape="1">
          <a:gsLst>
            <a:gs pos="0">
              <a:srgbClr val="0067EF"/>
            </a:gs>
            <a:gs pos="34000">
              <a:srgbClr val="7A52EF"/>
            </a:gs>
            <a:gs pos="47000">
              <a:srgbClr val="00B050"/>
            </a:gs>
            <a:gs pos="73000">
              <a:srgbClr val="FF0000"/>
            </a:gs>
            <a:gs pos="60000">
              <a:srgbClr val="FFFF00"/>
            </a:gs>
            <a:gs pos="100000">
              <a:srgbClr val="0067E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61</xdr:row>
      <xdr:rowOff>0</xdr:rowOff>
    </xdr:from>
    <xdr:to>
      <xdr:col>38</xdr:col>
      <xdr:colOff>465667</xdr:colOff>
      <xdr:row>62</xdr:row>
      <xdr:rowOff>12700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9D0D0C5A-1DD4-9F4D-AF75-9DE509CF7149}"/>
            </a:ext>
          </a:extLst>
        </xdr:cNvPr>
        <xdr:cNvSpPr/>
      </xdr:nvSpPr>
      <xdr:spPr>
        <a:xfrm>
          <a:off x="31877000" y="12611100"/>
          <a:ext cx="465667" cy="215900"/>
        </a:xfrm>
        <a:prstGeom prst="rect">
          <a:avLst/>
        </a:prstGeom>
        <a:gradFill flip="none" rotWithShape="1">
          <a:gsLst>
            <a:gs pos="0">
              <a:srgbClr val="2A3A79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15</xdr:row>
      <xdr:rowOff>0</xdr:rowOff>
    </xdr:from>
    <xdr:to>
      <xdr:col>49</xdr:col>
      <xdr:colOff>10165</xdr:colOff>
      <xdr:row>15</xdr:row>
      <xdr:rowOff>201600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290B6EE7-32DD-094E-9382-74A8B0DDC026}"/>
            </a:ext>
          </a:extLst>
        </xdr:cNvPr>
        <xdr:cNvSpPr/>
      </xdr:nvSpPr>
      <xdr:spPr>
        <a:xfrm>
          <a:off x="40711965" y="3035300"/>
          <a:ext cx="4589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8</xdr:row>
      <xdr:rowOff>12700</xdr:rowOff>
    </xdr:from>
    <xdr:to>
      <xdr:col>49</xdr:col>
      <xdr:colOff>10165</xdr:colOff>
      <xdr:row>9</xdr:row>
      <xdr:rowOff>11100</xdr:rowOff>
    </xdr:to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0DD7EC2-47EE-6E46-8D10-E1CA9FCE5448}"/>
            </a:ext>
          </a:extLst>
        </xdr:cNvPr>
        <xdr:cNvSpPr/>
      </xdr:nvSpPr>
      <xdr:spPr>
        <a:xfrm>
          <a:off x="40711965" y="1625600"/>
          <a:ext cx="458900" cy="2016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21</xdr:row>
      <xdr:rowOff>0</xdr:rowOff>
    </xdr:from>
    <xdr:to>
      <xdr:col>49</xdr:col>
      <xdr:colOff>10165</xdr:colOff>
      <xdr:row>21</xdr:row>
      <xdr:rowOff>201600</xdr:rowOff>
    </xdr:to>
    <xdr:sp macro="" textlink="">
      <xdr:nvSpPr>
        <xdr:cNvPr id="219" name="Rectangle 218">
          <a:extLst>
            <a:ext uri="{FF2B5EF4-FFF2-40B4-BE49-F238E27FC236}">
              <a16:creationId xmlns:a16="http://schemas.microsoft.com/office/drawing/2014/main" id="{41D8FF6B-3A5A-BE40-983F-4DDEE3FC6AE5}"/>
            </a:ext>
          </a:extLst>
        </xdr:cNvPr>
        <xdr:cNvSpPr/>
      </xdr:nvSpPr>
      <xdr:spPr>
        <a:xfrm>
          <a:off x="40711965" y="4254500"/>
          <a:ext cx="4589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22</xdr:row>
      <xdr:rowOff>0</xdr:rowOff>
    </xdr:from>
    <xdr:to>
      <xdr:col>49</xdr:col>
      <xdr:colOff>10165</xdr:colOff>
      <xdr:row>22</xdr:row>
      <xdr:rowOff>201600</xdr:rowOff>
    </xdr:to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20688321-9909-724A-B15C-EA4517999E51}"/>
            </a:ext>
          </a:extLst>
        </xdr:cNvPr>
        <xdr:cNvSpPr/>
      </xdr:nvSpPr>
      <xdr:spPr>
        <a:xfrm>
          <a:off x="40711965" y="4457700"/>
          <a:ext cx="458900" cy="2016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23</xdr:row>
      <xdr:rowOff>0</xdr:rowOff>
    </xdr:from>
    <xdr:to>
      <xdr:col>49</xdr:col>
      <xdr:colOff>10165</xdr:colOff>
      <xdr:row>24</xdr:row>
      <xdr:rowOff>0</xdr:rowOff>
    </xdr:to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47F13D0-E442-AB41-AF80-3BE7994EB23B}"/>
            </a:ext>
          </a:extLst>
        </xdr:cNvPr>
        <xdr:cNvSpPr/>
      </xdr:nvSpPr>
      <xdr:spPr>
        <a:xfrm>
          <a:off x="40711965" y="4660900"/>
          <a:ext cx="458900" cy="2159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7</xdr:row>
      <xdr:rowOff>12700</xdr:rowOff>
    </xdr:from>
    <xdr:to>
      <xdr:col>49</xdr:col>
      <xdr:colOff>10165</xdr:colOff>
      <xdr:row>8</xdr:row>
      <xdr:rowOff>11100</xdr:rowOff>
    </xdr:to>
    <xdr:sp macro="" textlink="">
      <xdr:nvSpPr>
        <xdr:cNvPr id="223" name="Rectangle 222">
          <a:extLst>
            <a:ext uri="{FF2B5EF4-FFF2-40B4-BE49-F238E27FC236}">
              <a16:creationId xmlns:a16="http://schemas.microsoft.com/office/drawing/2014/main" id="{C89861AA-0EAA-C24C-AC54-4C32984BBDDB}"/>
            </a:ext>
          </a:extLst>
        </xdr:cNvPr>
        <xdr:cNvSpPr/>
      </xdr:nvSpPr>
      <xdr:spPr>
        <a:xfrm>
          <a:off x="40711965" y="1422400"/>
          <a:ext cx="4589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6</xdr:row>
      <xdr:rowOff>4234</xdr:rowOff>
    </xdr:from>
    <xdr:to>
      <xdr:col>49</xdr:col>
      <xdr:colOff>10165</xdr:colOff>
      <xdr:row>7</xdr:row>
      <xdr:rowOff>2634</xdr:rowOff>
    </xdr:to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736B2991-3E72-1D46-AC71-1A642BEAFEED}"/>
            </a:ext>
          </a:extLst>
        </xdr:cNvPr>
        <xdr:cNvSpPr/>
      </xdr:nvSpPr>
      <xdr:spPr>
        <a:xfrm>
          <a:off x="40711965" y="1198034"/>
          <a:ext cx="458900" cy="214300"/>
        </a:xfrm>
        <a:prstGeom prst="rect">
          <a:avLst/>
        </a:prstGeom>
        <a:gradFill flip="none" rotWithShape="1">
          <a:gsLst>
            <a:gs pos="0">
              <a:srgbClr val="C83A23"/>
            </a:gs>
            <a:gs pos="47000">
              <a:srgbClr val="F46440"/>
            </a:gs>
            <a:gs pos="100000">
              <a:srgbClr val="F9875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9</xdr:row>
      <xdr:rowOff>0</xdr:rowOff>
    </xdr:from>
    <xdr:to>
      <xdr:col>49</xdr:col>
      <xdr:colOff>10165</xdr:colOff>
      <xdr:row>10</xdr:row>
      <xdr:rowOff>0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A1C248F0-C5B7-444F-8841-355DD230965C}"/>
            </a:ext>
          </a:extLst>
        </xdr:cNvPr>
        <xdr:cNvSpPr/>
      </xdr:nvSpPr>
      <xdr:spPr>
        <a:xfrm>
          <a:off x="40711965" y="1816100"/>
          <a:ext cx="4589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10</xdr:row>
      <xdr:rowOff>0</xdr:rowOff>
    </xdr:from>
    <xdr:to>
      <xdr:col>49</xdr:col>
      <xdr:colOff>10165</xdr:colOff>
      <xdr:row>11</xdr:row>
      <xdr:rowOff>0</xdr:rowOff>
    </xdr:to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1D36E66C-EA95-B34A-BC8E-A068063C7CFE}"/>
            </a:ext>
          </a:extLst>
        </xdr:cNvPr>
        <xdr:cNvSpPr/>
      </xdr:nvSpPr>
      <xdr:spPr>
        <a:xfrm>
          <a:off x="40711965" y="2019300"/>
          <a:ext cx="4589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12</xdr:row>
      <xdr:rowOff>0</xdr:rowOff>
    </xdr:from>
    <xdr:to>
      <xdr:col>49</xdr:col>
      <xdr:colOff>10165</xdr:colOff>
      <xdr:row>13</xdr:row>
      <xdr:rowOff>0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EBD6962F-816A-F84C-BB97-30B37E2AE7E4}"/>
            </a:ext>
          </a:extLst>
        </xdr:cNvPr>
        <xdr:cNvSpPr/>
      </xdr:nvSpPr>
      <xdr:spPr>
        <a:xfrm>
          <a:off x="40711965" y="2425700"/>
          <a:ext cx="4589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11</xdr:row>
      <xdr:rowOff>0</xdr:rowOff>
    </xdr:from>
    <xdr:to>
      <xdr:col>49</xdr:col>
      <xdr:colOff>10165</xdr:colOff>
      <xdr:row>11</xdr:row>
      <xdr:rowOff>201600</xdr:rowOff>
    </xdr:to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5D08992-C564-A44A-8C53-4064E5CEC950}"/>
            </a:ext>
          </a:extLst>
        </xdr:cNvPr>
        <xdr:cNvSpPr/>
      </xdr:nvSpPr>
      <xdr:spPr>
        <a:xfrm>
          <a:off x="40711965" y="2222500"/>
          <a:ext cx="4589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13</xdr:row>
      <xdr:rowOff>0</xdr:rowOff>
    </xdr:from>
    <xdr:to>
      <xdr:col>49</xdr:col>
      <xdr:colOff>10165</xdr:colOff>
      <xdr:row>14</xdr:row>
      <xdr:rowOff>0</xdr:rowOff>
    </xdr:to>
    <xdr:sp macro="" textlink="">
      <xdr:nvSpPr>
        <xdr:cNvPr id="229" name="Rectangle 228">
          <a:extLst>
            <a:ext uri="{FF2B5EF4-FFF2-40B4-BE49-F238E27FC236}">
              <a16:creationId xmlns:a16="http://schemas.microsoft.com/office/drawing/2014/main" id="{DA47CDE2-1CC9-5347-855A-86978DD353DC}"/>
            </a:ext>
          </a:extLst>
        </xdr:cNvPr>
        <xdr:cNvSpPr/>
      </xdr:nvSpPr>
      <xdr:spPr>
        <a:xfrm>
          <a:off x="40711965" y="2628900"/>
          <a:ext cx="4589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14</xdr:row>
      <xdr:rowOff>0</xdr:rowOff>
    </xdr:from>
    <xdr:to>
      <xdr:col>49</xdr:col>
      <xdr:colOff>10165</xdr:colOff>
      <xdr:row>15</xdr:row>
      <xdr:rowOff>0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0FEC90DA-745B-5843-9E5A-21967B4951CE}"/>
            </a:ext>
          </a:extLst>
        </xdr:cNvPr>
        <xdr:cNvSpPr/>
      </xdr:nvSpPr>
      <xdr:spPr>
        <a:xfrm>
          <a:off x="40711965" y="2832100"/>
          <a:ext cx="4589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16</xdr:row>
      <xdr:rowOff>0</xdr:rowOff>
    </xdr:from>
    <xdr:to>
      <xdr:col>49</xdr:col>
      <xdr:colOff>10165</xdr:colOff>
      <xdr:row>17</xdr:row>
      <xdr:rowOff>0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F708200F-0215-6D4B-9D61-42C85F826863}"/>
            </a:ext>
          </a:extLst>
        </xdr:cNvPr>
        <xdr:cNvSpPr/>
      </xdr:nvSpPr>
      <xdr:spPr>
        <a:xfrm>
          <a:off x="40711965" y="3238500"/>
          <a:ext cx="4589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17</xdr:row>
      <xdr:rowOff>0</xdr:rowOff>
    </xdr:from>
    <xdr:to>
      <xdr:col>49</xdr:col>
      <xdr:colOff>10165</xdr:colOff>
      <xdr:row>18</xdr:row>
      <xdr:rowOff>0</xdr:rowOff>
    </xdr:to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30EDD0CC-9365-464C-9706-48B958EB7B02}"/>
            </a:ext>
          </a:extLst>
        </xdr:cNvPr>
        <xdr:cNvSpPr/>
      </xdr:nvSpPr>
      <xdr:spPr>
        <a:xfrm>
          <a:off x="40711965" y="3441700"/>
          <a:ext cx="4589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18</xdr:row>
      <xdr:rowOff>0</xdr:rowOff>
    </xdr:from>
    <xdr:to>
      <xdr:col>49</xdr:col>
      <xdr:colOff>10165</xdr:colOff>
      <xdr:row>19</xdr:row>
      <xdr:rowOff>0</xdr:rowOff>
    </xdr:to>
    <xdr:sp macro="" textlink="">
      <xdr:nvSpPr>
        <xdr:cNvPr id="233" name="Rectangle 232">
          <a:extLst>
            <a:ext uri="{FF2B5EF4-FFF2-40B4-BE49-F238E27FC236}">
              <a16:creationId xmlns:a16="http://schemas.microsoft.com/office/drawing/2014/main" id="{A5A1DD33-2353-EB48-AF05-AC71E52862A7}"/>
            </a:ext>
          </a:extLst>
        </xdr:cNvPr>
        <xdr:cNvSpPr/>
      </xdr:nvSpPr>
      <xdr:spPr>
        <a:xfrm>
          <a:off x="40711965" y="3644900"/>
          <a:ext cx="4589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19</xdr:row>
      <xdr:rowOff>0</xdr:rowOff>
    </xdr:from>
    <xdr:to>
      <xdr:col>49</xdr:col>
      <xdr:colOff>10165</xdr:colOff>
      <xdr:row>20</xdr:row>
      <xdr:rowOff>50800</xdr:rowOff>
    </xdr:to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5DDFCD-3986-FD41-B257-AA30D217CA6F}"/>
            </a:ext>
          </a:extLst>
        </xdr:cNvPr>
        <xdr:cNvSpPr/>
      </xdr:nvSpPr>
      <xdr:spPr>
        <a:xfrm>
          <a:off x="40711965" y="3848100"/>
          <a:ext cx="4589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8465</xdr:colOff>
      <xdr:row>20</xdr:row>
      <xdr:rowOff>12700</xdr:rowOff>
    </xdr:from>
    <xdr:to>
      <xdr:col>49</xdr:col>
      <xdr:colOff>10165</xdr:colOff>
      <xdr:row>21</xdr:row>
      <xdr:rowOff>12700</xdr:rowOff>
    </xdr:to>
    <xdr:sp macro="" textlink="">
      <xdr:nvSpPr>
        <xdr:cNvPr id="235" name="Rectangle 234">
          <a:extLst>
            <a:ext uri="{FF2B5EF4-FFF2-40B4-BE49-F238E27FC236}">
              <a16:creationId xmlns:a16="http://schemas.microsoft.com/office/drawing/2014/main" id="{E6F90E47-F801-AC42-A4C3-7F26ED3BFC17}"/>
            </a:ext>
          </a:extLst>
        </xdr:cNvPr>
        <xdr:cNvSpPr/>
      </xdr:nvSpPr>
      <xdr:spPr>
        <a:xfrm>
          <a:off x="40711965" y="4064000"/>
          <a:ext cx="4589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12700</xdr:colOff>
      <xdr:row>5</xdr:row>
      <xdr:rowOff>12700</xdr:rowOff>
    </xdr:from>
    <xdr:to>
      <xdr:col>49</xdr:col>
      <xdr:colOff>1700</xdr:colOff>
      <xdr:row>6</xdr:row>
      <xdr:rowOff>12700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16E1CC11-02D7-9147-A806-D08010681F23}"/>
            </a:ext>
          </a:extLst>
        </xdr:cNvPr>
        <xdr:cNvSpPr/>
      </xdr:nvSpPr>
      <xdr:spPr>
        <a:xfrm>
          <a:off x="40716200" y="1206500"/>
          <a:ext cx="446200" cy="2159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52</xdr:row>
      <xdr:rowOff>12700</xdr:rowOff>
    </xdr:from>
    <xdr:to>
      <xdr:col>43</xdr:col>
      <xdr:colOff>446200</xdr:colOff>
      <xdr:row>52</xdr:row>
      <xdr:rowOff>201600</xdr:rowOff>
    </xdr:to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352219D2-FF9B-704D-8FAB-DFB5FF27ED52}"/>
            </a:ext>
          </a:extLst>
        </xdr:cNvPr>
        <xdr:cNvSpPr/>
      </xdr:nvSpPr>
      <xdr:spPr>
        <a:xfrm>
          <a:off x="36245800" y="105918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55</xdr:row>
      <xdr:rowOff>12700</xdr:rowOff>
    </xdr:from>
    <xdr:to>
      <xdr:col>43</xdr:col>
      <xdr:colOff>446200</xdr:colOff>
      <xdr:row>56</xdr:row>
      <xdr:rowOff>12700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4DB678F7-BC93-9547-85C3-E162FE405201}"/>
            </a:ext>
          </a:extLst>
        </xdr:cNvPr>
        <xdr:cNvSpPr/>
      </xdr:nvSpPr>
      <xdr:spPr>
        <a:xfrm>
          <a:off x="36245800" y="11201400"/>
          <a:ext cx="446200" cy="2032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59</xdr:row>
      <xdr:rowOff>0</xdr:rowOff>
    </xdr:from>
    <xdr:to>
      <xdr:col>43</xdr:col>
      <xdr:colOff>446200</xdr:colOff>
      <xdr:row>60</xdr:row>
      <xdr:rowOff>0</xdr:rowOff>
    </xdr:to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7801612-7378-E64B-B233-C6C0EB2DDBB0}"/>
            </a:ext>
          </a:extLst>
        </xdr:cNvPr>
        <xdr:cNvSpPr/>
      </xdr:nvSpPr>
      <xdr:spPr>
        <a:xfrm>
          <a:off x="36245800" y="12001500"/>
          <a:ext cx="4462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58</xdr:row>
      <xdr:rowOff>12700</xdr:rowOff>
    </xdr:from>
    <xdr:to>
      <xdr:col>43</xdr:col>
      <xdr:colOff>446200</xdr:colOff>
      <xdr:row>58</xdr:row>
      <xdr:rowOff>201600</xdr:rowOff>
    </xdr:to>
    <xdr:sp macro="" textlink="">
      <xdr:nvSpPr>
        <xdr:cNvPr id="241" name="Rectangle 240">
          <a:extLst>
            <a:ext uri="{FF2B5EF4-FFF2-40B4-BE49-F238E27FC236}">
              <a16:creationId xmlns:a16="http://schemas.microsoft.com/office/drawing/2014/main" id="{4AD0F7DD-5621-DA4F-AABE-BFF871088D8E}"/>
            </a:ext>
          </a:extLst>
        </xdr:cNvPr>
        <xdr:cNvSpPr/>
      </xdr:nvSpPr>
      <xdr:spPr>
        <a:xfrm>
          <a:off x="36245800" y="118110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61</xdr:row>
      <xdr:rowOff>0</xdr:rowOff>
    </xdr:from>
    <xdr:to>
      <xdr:col>43</xdr:col>
      <xdr:colOff>446200</xdr:colOff>
      <xdr:row>61</xdr:row>
      <xdr:rowOff>201600</xdr:rowOff>
    </xdr:to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B1B824F-F236-5D49-AD60-12F8F6BC8245}"/>
            </a:ext>
          </a:extLst>
        </xdr:cNvPr>
        <xdr:cNvSpPr/>
      </xdr:nvSpPr>
      <xdr:spPr>
        <a:xfrm>
          <a:off x="36245800" y="12407900"/>
          <a:ext cx="4462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9674</xdr:colOff>
      <xdr:row>67</xdr:row>
      <xdr:rowOff>9676</xdr:rowOff>
    </xdr:from>
    <xdr:to>
      <xdr:col>44</xdr:col>
      <xdr:colOff>8465</xdr:colOff>
      <xdr:row>68</xdr:row>
      <xdr:rowOff>16933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416B6971-B0C4-514C-AC70-33A7DF8AEDAE}"/>
            </a:ext>
          </a:extLst>
        </xdr:cNvPr>
        <xdr:cNvSpPr/>
      </xdr:nvSpPr>
      <xdr:spPr>
        <a:xfrm>
          <a:off x="36255474" y="13662176"/>
          <a:ext cx="443291" cy="223157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56</xdr:row>
      <xdr:rowOff>12700</xdr:rowOff>
    </xdr:from>
    <xdr:to>
      <xdr:col>43</xdr:col>
      <xdr:colOff>446200</xdr:colOff>
      <xdr:row>57</xdr:row>
      <xdr:rowOff>11100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1B27D556-AA47-1943-85E3-51675FA9DE45}"/>
            </a:ext>
          </a:extLst>
        </xdr:cNvPr>
        <xdr:cNvSpPr/>
      </xdr:nvSpPr>
      <xdr:spPr>
        <a:xfrm>
          <a:off x="36245800" y="11404600"/>
          <a:ext cx="4462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57</xdr:row>
      <xdr:rowOff>12700</xdr:rowOff>
    </xdr:from>
    <xdr:to>
      <xdr:col>43</xdr:col>
      <xdr:colOff>446200</xdr:colOff>
      <xdr:row>58</xdr:row>
      <xdr:rowOff>12700</xdr:rowOff>
    </xdr:to>
    <xdr:sp macro="" textlink="">
      <xdr:nvSpPr>
        <xdr:cNvPr id="245" name="Rectangle 244">
          <a:extLst>
            <a:ext uri="{FF2B5EF4-FFF2-40B4-BE49-F238E27FC236}">
              <a16:creationId xmlns:a16="http://schemas.microsoft.com/office/drawing/2014/main" id="{9EBD5788-F9D7-5942-80AA-B655E26DA48D}"/>
            </a:ext>
          </a:extLst>
        </xdr:cNvPr>
        <xdr:cNvSpPr/>
      </xdr:nvSpPr>
      <xdr:spPr>
        <a:xfrm>
          <a:off x="36245800" y="11607800"/>
          <a:ext cx="4462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60</xdr:row>
      <xdr:rowOff>0</xdr:rowOff>
    </xdr:from>
    <xdr:to>
      <xdr:col>43</xdr:col>
      <xdr:colOff>446200</xdr:colOff>
      <xdr:row>61</xdr:row>
      <xdr:rowOff>0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05A1654-63AA-B24D-AF42-A47E2A509A39}"/>
            </a:ext>
          </a:extLst>
        </xdr:cNvPr>
        <xdr:cNvSpPr/>
      </xdr:nvSpPr>
      <xdr:spPr>
        <a:xfrm>
          <a:off x="36245800" y="12204700"/>
          <a:ext cx="4462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62</xdr:row>
      <xdr:rowOff>0</xdr:rowOff>
    </xdr:from>
    <xdr:to>
      <xdr:col>43</xdr:col>
      <xdr:colOff>446200</xdr:colOff>
      <xdr:row>63</xdr:row>
      <xdr:rowOff>0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61A0AC81-46B5-9347-B87D-A46AF039E4AF}"/>
            </a:ext>
          </a:extLst>
        </xdr:cNvPr>
        <xdr:cNvSpPr/>
      </xdr:nvSpPr>
      <xdr:spPr>
        <a:xfrm>
          <a:off x="36245800" y="12611100"/>
          <a:ext cx="4462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63</xdr:row>
      <xdr:rowOff>0</xdr:rowOff>
    </xdr:from>
    <xdr:to>
      <xdr:col>43</xdr:col>
      <xdr:colOff>446200</xdr:colOff>
      <xdr:row>63</xdr:row>
      <xdr:rowOff>201600</xdr:rowOff>
    </xdr:to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C348D996-BC14-8E4F-955F-D6EBC7409147}"/>
            </a:ext>
          </a:extLst>
        </xdr:cNvPr>
        <xdr:cNvSpPr/>
      </xdr:nvSpPr>
      <xdr:spPr>
        <a:xfrm>
          <a:off x="36245800" y="12814300"/>
          <a:ext cx="44620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64</xdr:row>
      <xdr:rowOff>0</xdr:rowOff>
    </xdr:from>
    <xdr:to>
      <xdr:col>43</xdr:col>
      <xdr:colOff>446200</xdr:colOff>
      <xdr:row>65</xdr:row>
      <xdr:rowOff>0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A2D9CA2E-CF6E-F248-A653-91340F4994A1}"/>
            </a:ext>
          </a:extLst>
        </xdr:cNvPr>
        <xdr:cNvSpPr/>
      </xdr:nvSpPr>
      <xdr:spPr>
        <a:xfrm>
          <a:off x="36245800" y="13017500"/>
          <a:ext cx="446200" cy="2159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65</xdr:row>
      <xdr:rowOff>0</xdr:rowOff>
    </xdr:from>
    <xdr:to>
      <xdr:col>43</xdr:col>
      <xdr:colOff>446200</xdr:colOff>
      <xdr:row>66</xdr:row>
      <xdr:rowOff>0</xdr:rowOff>
    </xdr:to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2C84E089-7878-7148-9684-C1A1A3ED0245}"/>
            </a:ext>
          </a:extLst>
        </xdr:cNvPr>
        <xdr:cNvSpPr/>
      </xdr:nvSpPr>
      <xdr:spPr>
        <a:xfrm>
          <a:off x="36245800" y="13233400"/>
          <a:ext cx="446200" cy="2159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446200</xdr:colOff>
      <xdr:row>67</xdr:row>
      <xdr:rowOff>0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368AA242-BF9A-FE4A-BB96-E25D5D070A92}"/>
            </a:ext>
          </a:extLst>
        </xdr:cNvPr>
        <xdr:cNvSpPr/>
      </xdr:nvSpPr>
      <xdr:spPr>
        <a:xfrm>
          <a:off x="36245800" y="13449300"/>
          <a:ext cx="4462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68</xdr:row>
      <xdr:rowOff>0</xdr:rowOff>
    </xdr:from>
    <xdr:to>
      <xdr:col>43</xdr:col>
      <xdr:colOff>446200</xdr:colOff>
      <xdr:row>68</xdr:row>
      <xdr:rowOff>201600</xdr:rowOff>
    </xdr:to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C9FCA2B1-5B5F-8E43-BEFB-776F1BD70A00}"/>
            </a:ext>
          </a:extLst>
        </xdr:cNvPr>
        <xdr:cNvSpPr/>
      </xdr:nvSpPr>
      <xdr:spPr>
        <a:xfrm>
          <a:off x="36245800" y="13868400"/>
          <a:ext cx="446200" cy="2016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68</xdr:row>
      <xdr:rowOff>190500</xdr:rowOff>
    </xdr:from>
    <xdr:to>
      <xdr:col>43</xdr:col>
      <xdr:colOff>446200</xdr:colOff>
      <xdr:row>70</xdr:row>
      <xdr:rowOff>38100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08FE636D-B5ED-CC40-9A73-FA7E76C7AA8B}"/>
            </a:ext>
          </a:extLst>
        </xdr:cNvPr>
        <xdr:cNvSpPr/>
      </xdr:nvSpPr>
      <xdr:spPr>
        <a:xfrm>
          <a:off x="36245800" y="14058900"/>
          <a:ext cx="446200" cy="2540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70</xdr:row>
      <xdr:rowOff>12700</xdr:rowOff>
    </xdr:from>
    <xdr:to>
      <xdr:col>43</xdr:col>
      <xdr:colOff>446200</xdr:colOff>
      <xdr:row>71</xdr:row>
      <xdr:rowOff>12700</xdr:rowOff>
    </xdr:to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7AD4010C-5883-5745-9BB5-807636F3AB80}"/>
            </a:ext>
          </a:extLst>
        </xdr:cNvPr>
        <xdr:cNvSpPr/>
      </xdr:nvSpPr>
      <xdr:spPr>
        <a:xfrm>
          <a:off x="36245800" y="14287500"/>
          <a:ext cx="4462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71</xdr:row>
      <xdr:rowOff>12700</xdr:rowOff>
    </xdr:from>
    <xdr:to>
      <xdr:col>43</xdr:col>
      <xdr:colOff>446200</xdr:colOff>
      <xdr:row>72</xdr:row>
      <xdr:rowOff>12700</xdr:rowOff>
    </xdr:to>
    <xdr:sp macro="" textlink="">
      <xdr:nvSpPr>
        <xdr:cNvPr id="255" name="Rectangle 254">
          <a:extLst>
            <a:ext uri="{FF2B5EF4-FFF2-40B4-BE49-F238E27FC236}">
              <a16:creationId xmlns:a16="http://schemas.microsoft.com/office/drawing/2014/main" id="{7DD4801E-77B6-8448-B262-FE99A6DBE839}"/>
            </a:ext>
          </a:extLst>
        </xdr:cNvPr>
        <xdr:cNvSpPr/>
      </xdr:nvSpPr>
      <xdr:spPr>
        <a:xfrm>
          <a:off x="36245800" y="14490700"/>
          <a:ext cx="4462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2095500</xdr:colOff>
      <xdr:row>6</xdr:row>
      <xdr:rowOff>12700</xdr:rowOff>
    </xdr:from>
    <xdr:to>
      <xdr:col>44</xdr:col>
      <xdr:colOff>8467</xdr:colOff>
      <xdr:row>7</xdr:row>
      <xdr:rowOff>0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108FF130-B1F3-F14D-9DDB-F42FD60BF6AA}"/>
            </a:ext>
          </a:extLst>
        </xdr:cNvPr>
        <xdr:cNvSpPr/>
      </xdr:nvSpPr>
      <xdr:spPr>
        <a:xfrm>
          <a:off x="36233100" y="1422400"/>
          <a:ext cx="4656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0</xdr:colOff>
      <xdr:row>5</xdr:row>
      <xdr:rowOff>12700</xdr:rowOff>
    </xdr:from>
    <xdr:to>
      <xdr:col>43</xdr:col>
      <xdr:colOff>440267</xdr:colOff>
      <xdr:row>6</xdr:row>
      <xdr:rowOff>0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8FD292F8-6690-6145-8F7D-DC8A32AF2060}"/>
            </a:ext>
          </a:extLst>
        </xdr:cNvPr>
        <xdr:cNvSpPr/>
      </xdr:nvSpPr>
      <xdr:spPr>
        <a:xfrm>
          <a:off x="36245800" y="1206500"/>
          <a:ext cx="440267" cy="2032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8</xdr:row>
      <xdr:rowOff>18142</xdr:rowOff>
    </xdr:from>
    <xdr:to>
      <xdr:col>68</xdr:col>
      <xdr:colOff>479574</xdr:colOff>
      <xdr:row>9</xdr:row>
      <xdr:rowOff>21771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ACE7089-24D4-1F4B-8481-319DF255349B}"/>
            </a:ext>
          </a:extLst>
        </xdr:cNvPr>
        <xdr:cNvSpPr/>
      </xdr:nvSpPr>
      <xdr:spPr>
        <a:xfrm>
          <a:off x="69377074" y="1631042"/>
          <a:ext cx="469900" cy="206829"/>
        </a:xfrm>
        <a:prstGeom prst="rect">
          <a:avLst/>
        </a:prstGeom>
        <a:gradFill flip="none" rotWithShape="1">
          <a:gsLst>
            <a:gs pos="50000">
              <a:srgbClr val="FEA271"/>
            </a:gs>
            <a:gs pos="0">
              <a:srgbClr val="FA6722"/>
            </a:gs>
            <a:gs pos="100000">
              <a:srgbClr val="FBAD5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9</xdr:row>
      <xdr:rowOff>0</xdr:rowOff>
    </xdr:from>
    <xdr:to>
      <xdr:col>68</xdr:col>
      <xdr:colOff>479574</xdr:colOff>
      <xdr:row>10</xdr:row>
      <xdr:rowOff>3628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E3A549B1-D29D-5343-BD4D-9519748CFB78}"/>
            </a:ext>
          </a:extLst>
        </xdr:cNvPr>
        <xdr:cNvSpPr/>
      </xdr:nvSpPr>
      <xdr:spPr>
        <a:xfrm>
          <a:off x="69377074" y="1816100"/>
          <a:ext cx="469900" cy="206828"/>
        </a:xfrm>
        <a:prstGeom prst="rect">
          <a:avLst/>
        </a:prstGeom>
        <a:gradFill flip="none" rotWithShape="1">
          <a:gsLst>
            <a:gs pos="68000">
              <a:srgbClr val="580D5C"/>
            </a:gs>
            <a:gs pos="38000">
              <a:srgbClr val="9442A8"/>
            </a:gs>
            <a:gs pos="0">
              <a:srgbClr val="EAC5EB"/>
            </a:gs>
            <a:gs pos="100000">
              <a:srgbClr val="89299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10</xdr:row>
      <xdr:rowOff>0</xdr:rowOff>
    </xdr:from>
    <xdr:to>
      <xdr:col>68</xdr:col>
      <xdr:colOff>479574</xdr:colOff>
      <xdr:row>11</xdr:row>
      <xdr:rowOff>3629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913B8544-E541-2D4A-BCCA-B724A85CB378}"/>
            </a:ext>
          </a:extLst>
        </xdr:cNvPr>
        <xdr:cNvSpPr/>
      </xdr:nvSpPr>
      <xdr:spPr>
        <a:xfrm>
          <a:off x="69377074" y="2019300"/>
          <a:ext cx="469900" cy="206829"/>
        </a:xfrm>
        <a:prstGeom prst="rect">
          <a:avLst/>
        </a:prstGeom>
        <a:gradFill flip="none" rotWithShape="1">
          <a:gsLst>
            <a:gs pos="50000">
              <a:srgbClr val="494749"/>
            </a:gs>
            <a:gs pos="0">
              <a:srgbClr val="B1AEB7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11</xdr:row>
      <xdr:rowOff>0</xdr:rowOff>
    </xdr:from>
    <xdr:to>
      <xdr:col>68</xdr:col>
      <xdr:colOff>479574</xdr:colOff>
      <xdr:row>12</xdr:row>
      <xdr:rowOff>3628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id="{3E427CCE-9D1E-1241-A2AA-E4A82C6D7E89}"/>
            </a:ext>
          </a:extLst>
        </xdr:cNvPr>
        <xdr:cNvSpPr/>
      </xdr:nvSpPr>
      <xdr:spPr>
        <a:xfrm>
          <a:off x="69377074" y="2222500"/>
          <a:ext cx="469900" cy="206828"/>
        </a:xfrm>
        <a:prstGeom prst="rect">
          <a:avLst/>
        </a:prstGeom>
        <a:gradFill flip="none" rotWithShape="1">
          <a:gsLst>
            <a:gs pos="50000">
              <a:srgbClr val="E4363C"/>
            </a:gs>
            <a:gs pos="0">
              <a:srgbClr val="CE1C32"/>
            </a:gs>
            <a:gs pos="100000">
              <a:srgbClr val="FD6E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9673</xdr:colOff>
      <xdr:row>15</xdr:row>
      <xdr:rowOff>0</xdr:rowOff>
    </xdr:from>
    <xdr:to>
      <xdr:col>68</xdr:col>
      <xdr:colOff>479573</xdr:colOff>
      <xdr:row>16</xdr:row>
      <xdr:rowOff>3629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8A8BE862-4881-B243-A380-BAC061A1DD28}"/>
            </a:ext>
          </a:extLst>
        </xdr:cNvPr>
        <xdr:cNvSpPr/>
      </xdr:nvSpPr>
      <xdr:spPr>
        <a:xfrm>
          <a:off x="69377073" y="3035300"/>
          <a:ext cx="469900" cy="206829"/>
        </a:xfrm>
        <a:prstGeom prst="rect">
          <a:avLst/>
        </a:prstGeom>
        <a:gradFill flip="none" rotWithShape="1">
          <a:gsLst>
            <a:gs pos="50000">
              <a:srgbClr val="912F25"/>
            </a:gs>
            <a:gs pos="0">
              <a:srgbClr val="F7C9B1"/>
            </a:gs>
            <a:gs pos="100000">
              <a:srgbClr val="A9403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17</xdr:row>
      <xdr:rowOff>9677</xdr:rowOff>
    </xdr:from>
    <xdr:to>
      <xdr:col>68</xdr:col>
      <xdr:colOff>479574</xdr:colOff>
      <xdr:row>18</xdr:row>
      <xdr:rowOff>0</xdr:rowOff>
    </xdr:to>
    <xdr:sp macro="" textlink="">
      <xdr:nvSpPr>
        <xdr:cNvPr id="421" name="Rectangle 420">
          <a:extLst>
            <a:ext uri="{FF2B5EF4-FFF2-40B4-BE49-F238E27FC236}">
              <a16:creationId xmlns:a16="http://schemas.microsoft.com/office/drawing/2014/main" id="{2C5B23EB-7D39-6B4B-8E20-7A6648315C27}"/>
            </a:ext>
          </a:extLst>
        </xdr:cNvPr>
        <xdr:cNvSpPr/>
      </xdr:nvSpPr>
      <xdr:spPr>
        <a:xfrm>
          <a:off x="69377074" y="3451377"/>
          <a:ext cx="469900" cy="193523"/>
        </a:xfrm>
        <a:prstGeom prst="rect">
          <a:avLst/>
        </a:prstGeom>
        <a:gradFill flip="none" rotWithShape="1">
          <a:gsLst>
            <a:gs pos="50000">
              <a:srgbClr val="FDAF3D"/>
            </a:gs>
            <a:gs pos="0">
              <a:srgbClr val="FC8C11"/>
            </a:gs>
            <a:gs pos="100000">
              <a:srgbClr val="FDEA4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44</xdr:row>
      <xdr:rowOff>0</xdr:rowOff>
    </xdr:from>
    <xdr:to>
      <xdr:col>68</xdr:col>
      <xdr:colOff>479578</xdr:colOff>
      <xdr:row>45</xdr:row>
      <xdr:rowOff>3629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1414C425-1CD7-3E49-AAFF-4D48390C9243}"/>
            </a:ext>
          </a:extLst>
        </xdr:cNvPr>
        <xdr:cNvSpPr/>
      </xdr:nvSpPr>
      <xdr:spPr>
        <a:xfrm>
          <a:off x="69377078" y="8940800"/>
          <a:ext cx="469900" cy="206829"/>
        </a:xfrm>
        <a:prstGeom prst="rect">
          <a:avLst/>
        </a:prstGeom>
        <a:gradFill flip="none" rotWithShape="1">
          <a:gsLst>
            <a:gs pos="67000">
              <a:srgbClr val="34210D"/>
            </a:gs>
            <a:gs pos="31000">
              <a:srgbClr val="3F2E12"/>
            </a:gs>
            <a:gs pos="0">
              <a:srgbClr val="4F403B"/>
            </a:gs>
            <a:gs pos="100000">
              <a:srgbClr val="3637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53</xdr:row>
      <xdr:rowOff>12700</xdr:rowOff>
    </xdr:from>
    <xdr:to>
      <xdr:col>68</xdr:col>
      <xdr:colOff>479578</xdr:colOff>
      <xdr:row>54</xdr:row>
      <xdr:rowOff>16328</xdr:rowOff>
    </xdr:to>
    <xdr:sp macro="" textlink="">
      <xdr:nvSpPr>
        <xdr:cNvPr id="423" name="Rectangle 422">
          <a:extLst>
            <a:ext uri="{FF2B5EF4-FFF2-40B4-BE49-F238E27FC236}">
              <a16:creationId xmlns:a16="http://schemas.microsoft.com/office/drawing/2014/main" id="{C419789D-EC30-F34A-8784-592A7AF145C5}"/>
            </a:ext>
          </a:extLst>
        </xdr:cNvPr>
        <xdr:cNvSpPr/>
      </xdr:nvSpPr>
      <xdr:spPr>
        <a:xfrm>
          <a:off x="69377078" y="10795000"/>
          <a:ext cx="469900" cy="206828"/>
        </a:xfrm>
        <a:prstGeom prst="rect">
          <a:avLst/>
        </a:prstGeom>
        <a:gradFill flip="none" rotWithShape="1">
          <a:gsLst>
            <a:gs pos="68000">
              <a:srgbClr val="E3A62F"/>
            </a:gs>
            <a:gs pos="34000">
              <a:srgbClr val="FDDC61"/>
            </a:gs>
            <a:gs pos="0">
              <a:srgbClr val="EBBC52"/>
            </a:gs>
            <a:gs pos="100000">
              <a:srgbClr val="F2DCA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59</xdr:row>
      <xdr:rowOff>30843</xdr:rowOff>
    </xdr:from>
    <xdr:to>
      <xdr:col>68</xdr:col>
      <xdr:colOff>479578</xdr:colOff>
      <xdr:row>60</xdr:row>
      <xdr:rowOff>16329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F54E8B0C-AD49-824E-9EA9-FEC7B07EF81F}"/>
            </a:ext>
          </a:extLst>
        </xdr:cNvPr>
        <xdr:cNvSpPr/>
      </xdr:nvSpPr>
      <xdr:spPr>
        <a:xfrm>
          <a:off x="69377078" y="12032343"/>
          <a:ext cx="469900" cy="188686"/>
        </a:xfrm>
        <a:prstGeom prst="rect">
          <a:avLst/>
        </a:prstGeom>
        <a:gradFill flip="none" rotWithShape="1">
          <a:gsLst>
            <a:gs pos="67000">
              <a:srgbClr val="5D0E76"/>
            </a:gs>
            <a:gs pos="33000">
              <a:srgbClr val="CA208A"/>
            </a:gs>
            <a:gs pos="0">
              <a:srgbClr val="AC1C36"/>
            </a:gs>
            <a:gs pos="100000">
              <a:srgbClr val="D59FE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23</xdr:row>
      <xdr:rowOff>0</xdr:rowOff>
    </xdr:from>
    <xdr:to>
      <xdr:col>68</xdr:col>
      <xdr:colOff>479574</xdr:colOff>
      <xdr:row>24</xdr:row>
      <xdr:rowOff>3629</xdr:rowOff>
    </xdr:to>
    <xdr:sp macro="" textlink="">
      <xdr:nvSpPr>
        <xdr:cNvPr id="425" name="Rectangle 424">
          <a:extLst>
            <a:ext uri="{FF2B5EF4-FFF2-40B4-BE49-F238E27FC236}">
              <a16:creationId xmlns:a16="http://schemas.microsoft.com/office/drawing/2014/main" id="{C6972E99-BCE0-B544-9A72-9375A7822BA5}"/>
            </a:ext>
          </a:extLst>
        </xdr:cNvPr>
        <xdr:cNvSpPr/>
      </xdr:nvSpPr>
      <xdr:spPr>
        <a:xfrm>
          <a:off x="69377074" y="4660900"/>
          <a:ext cx="469900" cy="206829"/>
        </a:xfrm>
        <a:prstGeom prst="rect">
          <a:avLst/>
        </a:prstGeom>
        <a:gradFill flip="none" rotWithShape="1">
          <a:gsLst>
            <a:gs pos="50000">
              <a:srgbClr val="FEDEDD"/>
            </a:gs>
            <a:gs pos="0">
              <a:srgbClr val="B5445D"/>
            </a:gs>
            <a:gs pos="100000">
              <a:srgbClr val="79263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9673</xdr:colOff>
      <xdr:row>19</xdr:row>
      <xdr:rowOff>0</xdr:rowOff>
    </xdr:from>
    <xdr:to>
      <xdr:col>68</xdr:col>
      <xdr:colOff>479573</xdr:colOff>
      <xdr:row>20</xdr:row>
      <xdr:rowOff>3628</xdr:rowOff>
    </xdr:to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612055A-4CBE-8842-A014-4D06E55DD1E8}"/>
            </a:ext>
          </a:extLst>
        </xdr:cNvPr>
        <xdr:cNvSpPr/>
      </xdr:nvSpPr>
      <xdr:spPr>
        <a:xfrm>
          <a:off x="69377073" y="3848100"/>
          <a:ext cx="469900" cy="206828"/>
        </a:xfrm>
        <a:prstGeom prst="rect">
          <a:avLst/>
        </a:prstGeom>
        <a:gradFill flip="none" rotWithShape="1">
          <a:gsLst>
            <a:gs pos="50000">
              <a:srgbClr val="D8EFA7"/>
            </a:gs>
            <a:gs pos="0">
              <a:srgbClr val="9EB357"/>
            </a:gs>
            <a:gs pos="100000">
              <a:srgbClr val="3862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58</xdr:row>
      <xdr:rowOff>22376</xdr:rowOff>
    </xdr:from>
    <xdr:to>
      <xdr:col>68</xdr:col>
      <xdr:colOff>479578</xdr:colOff>
      <xdr:row>59</xdr:row>
      <xdr:rowOff>26004</xdr:rowOff>
    </xdr:to>
    <xdr:sp macro="" textlink="">
      <xdr:nvSpPr>
        <xdr:cNvPr id="427" name="Rectangle 426">
          <a:extLst>
            <a:ext uri="{FF2B5EF4-FFF2-40B4-BE49-F238E27FC236}">
              <a16:creationId xmlns:a16="http://schemas.microsoft.com/office/drawing/2014/main" id="{E33F566F-4C92-5B48-A903-3A505EBBB763}"/>
            </a:ext>
          </a:extLst>
        </xdr:cNvPr>
        <xdr:cNvSpPr/>
      </xdr:nvSpPr>
      <xdr:spPr>
        <a:xfrm>
          <a:off x="69377078" y="11820676"/>
          <a:ext cx="469900" cy="206828"/>
        </a:xfrm>
        <a:prstGeom prst="rect">
          <a:avLst/>
        </a:prstGeom>
        <a:gradFill flip="none" rotWithShape="1">
          <a:gsLst>
            <a:gs pos="68000">
              <a:srgbClr val="BB172F"/>
            </a:gs>
            <a:gs pos="35000">
              <a:srgbClr val="BD1035"/>
            </a:gs>
            <a:gs pos="0">
              <a:srgbClr val="E5343E"/>
            </a:gs>
            <a:gs pos="100000">
              <a:srgbClr val="7110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36</xdr:row>
      <xdr:rowOff>0</xdr:rowOff>
    </xdr:from>
    <xdr:to>
      <xdr:col>68</xdr:col>
      <xdr:colOff>479574</xdr:colOff>
      <xdr:row>37</xdr:row>
      <xdr:rowOff>3628</xdr:rowOff>
    </xdr:to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82074E23-991E-024D-A3FD-AB09C40283FC}"/>
            </a:ext>
          </a:extLst>
        </xdr:cNvPr>
        <xdr:cNvSpPr/>
      </xdr:nvSpPr>
      <xdr:spPr>
        <a:xfrm>
          <a:off x="69377074" y="7315200"/>
          <a:ext cx="469900" cy="206828"/>
        </a:xfrm>
        <a:prstGeom prst="rect">
          <a:avLst/>
        </a:prstGeom>
        <a:gradFill flip="none" rotWithShape="1">
          <a:gsLst>
            <a:gs pos="50000">
              <a:srgbClr val="800933"/>
            </a:gs>
            <a:gs pos="0">
              <a:srgbClr val="BE0F37"/>
            </a:gs>
            <a:gs pos="100000">
              <a:srgbClr val="6611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21</xdr:row>
      <xdr:rowOff>0</xdr:rowOff>
    </xdr:from>
    <xdr:to>
      <xdr:col>68</xdr:col>
      <xdr:colOff>479574</xdr:colOff>
      <xdr:row>22</xdr:row>
      <xdr:rowOff>3629</xdr:rowOff>
    </xdr:to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1189C29-5CE3-A644-A13D-0A42FF4AFEDF}"/>
            </a:ext>
          </a:extLst>
        </xdr:cNvPr>
        <xdr:cNvSpPr/>
      </xdr:nvSpPr>
      <xdr:spPr>
        <a:xfrm>
          <a:off x="69377074" y="4254500"/>
          <a:ext cx="469900" cy="206829"/>
        </a:xfrm>
        <a:prstGeom prst="rect">
          <a:avLst/>
        </a:prstGeom>
        <a:gradFill flip="none" rotWithShape="1">
          <a:gsLst>
            <a:gs pos="50000">
              <a:srgbClr val="8A7B4E"/>
            </a:gs>
            <a:gs pos="0">
              <a:srgbClr val="625209"/>
            </a:gs>
            <a:gs pos="100000">
              <a:srgbClr val="AFA9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54</xdr:row>
      <xdr:rowOff>12700</xdr:rowOff>
    </xdr:from>
    <xdr:to>
      <xdr:col>68</xdr:col>
      <xdr:colOff>479578</xdr:colOff>
      <xdr:row>55</xdr:row>
      <xdr:rowOff>16329</xdr:rowOff>
    </xdr:to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368D65F-F580-A344-A387-5C1FCF135DEC}"/>
            </a:ext>
          </a:extLst>
        </xdr:cNvPr>
        <xdr:cNvSpPr/>
      </xdr:nvSpPr>
      <xdr:spPr>
        <a:xfrm>
          <a:off x="69377078" y="10998200"/>
          <a:ext cx="469900" cy="206829"/>
        </a:xfrm>
        <a:prstGeom prst="rect">
          <a:avLst/>
        </a:prstGeom>
        <a:gradFill flip="none" rotWithShape="1">
          <a:gsLst>
            <a:gs pos="64000">
              <a:srgbClr val="F8D9CE"/>
            </a:gs>
            <a:gs pos="33000">
              <a:srgbClr val="EDBF7D"/>
            </a:gs>
            <a:gs pos="0">
              <a:srgbClr val="FFF6CD"/>
            </a:gs>
            <a:gs pos="100000">
              <a:srgbClr val="FCCCD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29</xdr:row>
      <xdr:rowOff>0</xdr:rowOff>
    </xdr:from>
    <xdr:to>
      <xdr:col>68</xdr:col>
      <xdr:colOff>479574</xdr:colOff>
      <xdr:row>30</xdr:row>
      <xdr:rowOff>3628</xdr:rowOff>
    </xdr:to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id="{3239C969-E977-274C-9A3E-D1E1F38D9129}"/>
            </a:ext>
          </a:extLst>
        </xdr:cNvPr>
        <xdr:cNvSpPr/>
      </xdr:nvSpPr>
      <xdr:spPr>
        <a:xfrm>
          <a:off x="69377074" y="5892800"/>
          <a:ext cx="469900" cy="206828"/>
        </a:xfrm>
        <a:prstGeom prst="rect">
          <a:avLst/>
        </a:prstGeom>
        <a:gradFill flip="none" rotWithShape="1">
          <a:gsLst>
            <a:gs pos="50000">
              <a:srgbClr val="FFC1AD"/>
            </a:gs>
            <a:gs pos="0">
              <a:srgbClr val="F80F01"/>
            </a:gs>
            <a:gs pos="100000">
              <a:srgbClr val="FD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49</xdr:row>
      <xdr:rowOff>12700</xdr:rowOff>
    </xdr:from>
    <xdr:to>
      <xdr:col>68</xdr:col>
      <xdr:colOff>479578</xdr:colOff>
      <xdr:row>50</xdr:row>
      <xdr:rowOff>16328</xdr:rowOff>
    </xdr:to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6A5C4BFA-1536-6B4E-94F5-C113BDDEEF35}"/>
            </a:ext>
          </a:extLst>
        </xdr:cNvPr>
        <xdr:cNvSpPr/>
      </xdr:nvSpPr>
      <xdr:spPr>
        <a:xfrm>
          <a:off x="69377078" y="9982200"/>
          <a:ext cx="469900" cy="206828"/>
        </a:xfrm>
        <a:prstGeom prst="rect">
          <a:avLst/>
        </a:prstGeom>
        <a:gradFill flip="none" rotWithShape="1">
          <a:gsLst>
            <a:gs pos="69000">
              <a:srgbClr val="5B6534"/>
            </a:gs>
            <a:gs pos="36000">
              <a:srgbClr val="3F4127"/>
            </a:gs>
            <a:gs pos="0">
              <a:srgbClr val="434E2C"/>
            </a:gs>
            <a:gs pos="100000">
              <a:srgbClr val="ADC23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46</xdr:row>
      <xdr:rowOff>12700</xdr:rowOff>
    </xdr:from>
    <xdr:to>
      <xdr:col>68</xdr:col>
      <xdr:colOff>479578</xdr:colOff>
      <xdr:row>47</xdr:row>
      <xdr:rowOff>16328</xdr:rowOff>
    </xdr:to>
    <xdr:sp macro="" textlink="">
      <xdr:nvSpPr>
        <xdr:cNvPr id="433" name="Rectangle 432">
          <a:extLst>
            <a:ext uri="{FF2B5EF4-FFF2-40B4-BE49-F238E27FC236}">
              <a16:creationId xmlns:a16="http://schemas.microsoft.com/office/drawing/2014/main" id="{20C7F87B-DB0E-E54E-B081-1C9AB32A4252}"/>
            </a:ext>
          </a:extLst>
        </xdr:cNvPr>
        <xdr:cNvSpPr/>
      </xdr:nvSpPr>
      <xdr:spPr>
        <a:xfrm>
          <a:off x="69377078" y="9359900"/>
          <a:ext cx="469900" cy="206828"/>
        </a:xfrm>
        <a:prstGeom prst="rect">
          <a:avLst/>
        </a:prstGeom>
        <a:gradFill flip="none" rotWithShape="1">
          <a:gsLst>
            <a:gs pos="68000">
              <a:srgbClr val="4AA7EB"/>
            </a:gs>
            <a:gs pos="34000">
              <a:srgbClr val="1D7FA0"/>
            </a:gs>
            <a:gs pos="0">
              <a:srgbClr val="28A3DF"/>
            </a:gs>
            <a:gs pos="100000">
              <a:srgbClr val="5ECCE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56</xdr:row>
      <xdr:rowOff>12700</xdr:rowOff>
    </xdr:from>
    <xdr:to>
      <xdr:col>68</xdr:col>
      <xdr:colOff>479578</xdr:colOff>
      <xdr:row>57</xdr:row>
      <xdr:rowOff>16328</xdr:rowOff>
    </xdr:to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849285D5-D64F-244D-B687-7A37037E5FBE}"/>
            </a:ext>
          </a:extLst>
        </xdr:cNvPr>
        <xdr:cNvSpPr/>
      </xdr:nvSpPr>
      <xdr:spPr>
        <a:xfrm>
          <a:off x="69377078" y="11404600"/>
          <a:ext cx="469900" cy="206828"/>
        </a:xfrm>
        <a:prstGeom prst="rect">
          <a:avLst/>
        </a:prstGeom>
        <a:gradFill flip="none" rotWithShape="1">
          <a:gsLst>
            <a:gs pos="67000">
              <a:srgbClr val="CF9557"/>
            </a:gs>
            <a:gs pos="33000">
              <a:srgbClr val="B26924"/>
            </a:gs>
            <a:gs pos="0">
              <a:srgbClr val="BA9A56"/>
            </a:gs>
            <a:gs pos="100000">
              <a:srgbClr val="A7681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26</xdr:row>
      <xdr:rowOff>0</xdr:rowOff>
    </xdr:from>
    <xdr:to>
      <xdr:col>68</xdr:col>
      <xdr:colOff>479574</xdr:colOff>
      <xdr:row>27</xdr:row>
      <xdr:rowOff>3628</xdr:rowOff>
    </xdr:to>
    <xdr:sp macro="" textlink="">
      <xdr:nvSpPr>
        <xdr:cNvPr id="435" name="Rectangle 434">
          <a:extLst>
            <a:ext uri="{FF2B5EF4-FFF2-40B4-BE49-F238E27FC236}">
              <a16:creationId xmlns:a16="http://schemas.microsoft.com/office/drawing/2014/main" id="{8650D1C8-C461-1547-9857-CE0BD0C02FAE}"/>
            </a:ext>
          </a:extLst>
        </xdr:cNvPr>
        <xdr:cNvSpPr/>
      </xdr:nvSpPr>
      <xdr:spPr>
        <a:xfrm>
          <a:off x="69377074" y="5283200"/>
          <a:ext cx="469900" cy="206828"/>
        </a:xfrm>
        <a:prstGeom prst="rect">
          <a:avLst/>
        </a:prstGeom>
        <a:gradFill flip="none" rotWithShape="1">
          <a:gsLst>
            <a:gs pos="50000">
              <a:srgbClr val="1E3279"/>
            </a:gs>
            <a:gs pos="0">
              <a:srgbClr val="202654"/>
            </a:gs>
            <a:gs pos="100000">
              <a:srgbClr val="4C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45</xdr:row>
      <xdr:rowOff>12700</xdr:rowOff>
    </xdr:from>
    <xdr:to>
      <xdr:col>68</xdr:col>
      <xdr:colOff>479578</xdr:colOff>
      <xdr:row>46</xdr:row>
      <xdr:rowOff>16329</xdr:rowOff>
    </xdr:to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135CAB4-DB43-6B49-9D08-85EE67B12AED}"/>
            </a:ext>
          </a:extLst>
        </xdr:cNvPr>
        <xdr:cNvSpPr/>
      </xdr:nvSpPr>
      <xdr:spPr>
        <a:xfrm>
          <a:off x="69377078" y="9156700"/>
          <a:ext cx="469900" cy="206829"/>
        </a:xfrm>
        <a:prstGeom prst="rect">
          <a:avLst/>
        </a:prstGeom>
        <a:gradFill flip="none" rotWithShape="1">
          <a:gsLst>
            <a:gs pos="66000">
              <a:srgbClr val="A6C0DE"/>
            </a:gs>
            <a:gs pos="34000">
              <a:srgbClr val="F0E6D8"/>
            </a:gs>
            <a:gs pos="0">
              <a:srgbClr val="A8A59E"/>
            </a:gs>
            <a:gs pos="100000">
              <a:srgbClr val="D5E4F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28</xdr:row>
      <xdr:rowOff>0</xdr:rowOff>
    </xdr:from>
    <xdr:to>
      <xdr:col>68</xdr:col>
      <xdr:colOff>479574</xdr:colOff>
      <xdr:row>29</xdr:row>
      <xdr:rowOff>3629</xdr:rowOff>
    </xdr:to>
    <xdr:sp macro="" textlink="">
      <xdr:nvSpPr>
        <xdr:cNvPr id="437" name="Rectangle 436">
          <a:extLst>
            <a:ext uri="{FF2B5EF4-FFF2-40B4-BE49-F238E27FC236}">
              <a16:creationId xmlns:a16="http://schemas.microsoft.com/office/drawing/2014/main" id="{E7D2C91A-9760-BE44-B9B2-3D1980F785AF}"/>
            </a:ext>
          </a:extLst>
        </xdr:cNvPr>
        <xdr:cNvSpPr/>
      </xdr:nvSpPr>
      <xdr:spPr>
        <a:xfrm>
          <a:off x="69377074" y="5689600"/>
          <a:ext cx="469900" cy="206829"/>
        </a:xfrm>
        <a:prstGeom prst="rect">
          <a:avLst/>
        </a:prstGeom>
        <a:gradFill flip="none" rotWithShape="1">
          <a:gsLst>
            <a:gs pos="50000">
              <a:srgbClr val="C78559"/>
            </a:gs>
            <a:gs pos="0">
              <a:srgbClr val="8F5233"/>
            </a:gs>
            <a:gs pos="100000">
              <a:srgbClr val="F3DEB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30</xdr:row>
      <xdr:rowOff>0</xdr:rowOff>
    </xdr:from>
    <xdr:to>
      <xdr:col>68</xdr:col>
      <xdr:colOff>479574</xdr:colOff>
      <xdr:row>31</xdr:row>
      <xdr:rowOff>3629</xdr:rowOff>
    </xdr:to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43E85907-FA93-CB4E-9D45-5E5E92DC43C7}"/>
            </a:ext>
          </a:extLst>
        </xdr:cNvPr>
        <xdr:cNvSpPr/>
      </xdr:nvSpPr>
      <xdr:spPr>
        <a:xfrm>
          <a:off x="69377074" y="6096000"/>
          <a:ext cx="469900" cy="206829"/>
        </a:xfrm>
        <a:prstGeom prst="rect">
          <a:avLst/>
        </a:prstGeom>
        <a:gradFill flip="none" rotWithShape="1">
          <a:gsLst>
            <a:gs pos="68000">
              <a:srgbClr val="D63F68"/>
            </a:gs>
            <a:gs pos="32000">
              <a:srgbClr val="AD1B36"/>
            </a:gs>
            <a:gs pos="0">
              <a:srgbClr val="BE1235"/>
            </a:gs>
            <a:gs pos="100000">
              <a:srgbClr val="FC4B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52</xdr:row>
      <xdr:rowOff>12700</xdr:rowOff>
    </xdr:from>
    <xdr:to>
      <xdr:col>68</xdr:col>
      <xdr:colOff>479578</xdr:colOff>
      <xdr:row>53</xdr:row>
      <xdr:rowOff>16329</xdr:rowOff>
    </xdr:to>
    <xdr:sp macro="" textlink="">
      <xdr:nvSpPr>
        <xdr:cNvPr id="439" name="Rectangle 438">
          <a:extLst>
            <a:ext uri="{FF2B5EF4-FFF2-40B4-BE49-F238E27FC236}">
              <a16:creationId xmlns:a16="http://schemas.microsoft.com/office/drawing/2014/main" id="{9814ABCE-10B2-2E4D-A980-275492187876}"/>
            </a:ext>
          </a:extLst>
        </xdr:cNvPr>
        <xdr:cNvSpPr/>
      </xdr:nvSpPr>
      <xdr:spPr>
        <a:xfrm>
          <a:off x="69377078" y="10591800"/>
          <a:ext cx="469900" cy="206829"/>
        </a:xfrm>
        <a:prstGeom prst="rect">
          <a:avLst/>
        </a:prstGeom>
        <a:gradFill flip="none" rotWithShape="1">
          <a:gsLst>
            <a:gs pos="67000">
              <a:srgbClr val="AE8153"/>
            </a:gs>
            <a:gs pos="35000">
              <a:srgbClr val="EBD9AB"/>
            </a:gs>
            <a:gs pos="0">
              <a:srgbClr val="CFB073"/>
            </a:gs>
            <a:gs pos="100000">
              <a:srgbClr val="FBF6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32</xdr:row>
      <xdr:rowOff>0</xdr:rowOff>
    </xdr:from>
    <xdr:to>
      <xdr:col>68</xdr:col>
      <xdr:colOff>479574</xdr:colOff>
      <xdr:row>33</xdr:row>
      <xdr:rowOff>3629</xdr:rowOff>
    </xdr:to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CDCC1ADE-9ABE-7040-9363-46D7A1F19D02}"/>
            </a:ext>
          </a:extLst>
        </xdr:cNvPr>
        <xdr:cNvSpPr/>
      </xdr:nvSpPr>
      <xdr:spPr>
        <a:xfrm>
          <a:off x="69377074" y="6502400"/>
          <a:ext cx="469900" cy="206829"/>
        </a:xfrm>
        <a:prstGeom prst="rect">
          <a:avLst/>
        </a:prstGeom>
        <a:gradFill flip="none" rotWithShape="1">
          <a:gsLst>
            <a:gs pos="50000">
              <a:srgbClr val="B16923"/>
            </a:gs>
            <a:gs pos="0">
              <a:srgbClr val="945027"/>
            </a:gs>
            <a:gs pos="100000">
              <a:srgbClr val="D1883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42</xdr:row>
      <xdr:rowOff>0</xdr:rowOff>
    </xdr:from>
    <xdr:to>
      <xdr:col>68</xdr:col>
      <xdr:colOff>479574</xdr:colOff>
      <xdr:row>43</xdr:row>
      <xdr:rowOff>3629</xdr:rowOff>
    </xdr:to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35B9573-EF8C-014E-AAA6-B6FE60A95CBF}"/>
            </a:ext>
          </a:extLst>
        </xdr:cNvPr>
        <xdr:cNvSpPr/>
      </xdr:nvSpPr>
      <xdr:spPr>
        <a:xfrm>
          <a:off x="69377074" y="8534400"/>
          <a:ext cx="469900" cy="206829"/>
        </a:xfrm>
        <a:prstGeom prst="rect">
          <a:avLst/>
        </a:prstGeom>
        <a:gradFill flip="none" rotWithShape="1">
          <a:gsLst>
            <a:gs pos="71000">
              <a:srgbClr val="54CA7D"/>
            </a:gs>
            <a:gs pos="32000">
              <a:srgbClr val="36B26A"/>
            </a:gs>
            <a:gs pos="0">
              <a:srgbClr val="0D6C42"/>
            </a:gs>
            <a:gs pos="100000">
              <a:srgbClr val="A9EBA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9674</xdr:colOff>
      <xdr:row>38</xdr:row>
      <xdr:rowOff>0</xdr:rowOff>
    </xdr:from>
    <xdr:to>
      <xdr:col>68</xdr:col>
      <xdr:colOff>479574</xdr:colOff>
      <xdr:row>39</xdr:row>
      <xdr:rowOff>3628</xdr:rowOff>
    </xdr:to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B3B2C3F-F599-4B48-AD4A-CFE2D5A943CB}"/>
            </a:ext>
          </a:extLst>
        </xdr:cNvPr>
        <xdr:cNvSpPr/>
      </xdr:nvSpPr>
      <xdr:spPr>
        <a:xfrm>
          <a:off x="69377074" y="7721600"/>
          <a:ext cx="469900" cy="206828"/>
        </a:xfrm>
        <a:prstGeom prst="rect">
          <a:avLst/>
        </a:prstGeom>
        <a:gradFill flip="none" rotWithShape="1">
          <a:gsLst>
            <a:gs pos="50000">
              <a:srgbClr val="272276"/>
            </a:gs>
            <a:gs pos="0">
              <a:srgbClr val="B4B9E9"/>
            </a:gs>
            <a:gs pos="100000">
              <a:srgbClr val="4F5D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47</xdr:row>
      <xdr:rowOff>12700</xdr:rowOff>
    </xdr:from>
    <xdr:to>
      <xdr:col>68</xdr:col>
      <xdr:colOff>479578</xdr:colOff>
      <xdr:row>48</xdr:row>
      <xdr:rowOff>16329</xdr:rowOff>
    </xdr:to>
    <xdr:sp macro="" textlink="">
      <xdr:nvSpPr>
        <xdr:cNvPr id="443" name="Rectangle 442">
          <a:extLst>
            <a:ext uri="{FF2B5EF4-FFF2-40B4-BE49-F238E27FC236}">
              <a16:creationId xmlns:a16="http://schemas.microsoft.com/office/drawing/2014/main" id="{8B9E5DFB-F390-7E47-B157-E91AC8476E7E}"/>
            </a:ext>
          </a:extLst>
        </xdr:cNvPr>
        <xdr:cNvSpPr/>
      </xdr:nvSpPr>
      <xdr:spPr>
        <a:xfrm>
          <a:off x="69377078" y="9563100"/>
          <a:ext cx="469900" cy="219529"/>
        </a:xfrm>
        <a:prstGeom prst="rect">
          <a:avLst/>
        </a:prstGeom>
        <a:gradFill flip="none" rotWithShape="1">
          <a:gsLst>
            <a:gs pos="68000">
              <a:srgbClr val="045B26"/>
            </a:gs>
            <a:gs pos="34000">
              <a:schemeClr val="bg1"/>
            </a:gs>
            <a:gs pos="0">
              <a:srgbClr val="BE0F35"/>
            </a:gs>
            <a:gs pos="100000">
              <a:srgbClr val="BAE5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50</xdr:row>
      <xdr:rowOff>12700</xdr:rowOff>
    </xdr:from>
    <xdr:to>
      <xdr:col>68</xdr:col>
      <xdr:colOff>479578</xdr:colOff>
      <xdr:row>51</xdr:row>
      <xdr:rowOff>16329</xdr:rowOff>
    </xdr:to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A8A91E08-8415-2340-A5CB-EA88A4975C6C}"/>
            </a:ext>
          </a:extLst>
        </xdr:cNvPr>
        <xdr:cNvSpPr/>
      </xdr:nvSpPr>
      <xdr:spPr>
        <a:xfrm>
          <a:off x="69377078" y="10185400"/>
          <a:ext cx="469900" cy="206829"/>
        </a:xfrm>
        <a:prstGeom prst="rect">
          <a:avLst/>
        </a:prstGeom>
        <a:gradFill flip="none" rotWithShape="1">
          <a:gsLst>
            <a:gs pos="67000">
              <a:srgbClr val="625209"/>
            </a:gs>
            <a:gs pos="35000">
              <a:srgbClr val="60391C"/>
            </a:gs>
            <a:gs pos="0">
              <a:srgbClr val="35220D"/>
            </a:gs>
            <a:gs pos="100000">
              <a:srgbClr val="BC9C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48</xdr:row>
      <xdr:rowOff>12700</xdr:rowOff>
    </xdr:from>
    <xdr:to>
      <xdr:col>68</xdr:col>
      <xdr:colOff>479578</xdr:colOff>
      <xdr:row>49</xdr:row>
      <xdr:rowOff>16329</xdr:rowOff>
    </xdr:to>
    <xdr:sp macro="" textlink="">
      <xdr:nvSpPr>
        <xdr:cNvPr id="445" name="Rectangle 444">
          <a:extLst>
            <a:ext uri="{FF2B5EF4-FFF2-40B4-BE49-F238E27FC236}">
              <a16:creationId xmlns:a16="http://schemas.microsoft.com/office/drawing/2014/main" id="{2F70083D-636A-D44C-94EF-15936D7A7A1F}"/>
            </a:ext>
          </a:extLst>
        </xdr:cNvPr>
        <xdr:cNvSpPr/>
      </xdr:nvSpPr>
      <xdr:spPr>
        <a:xfrm>
          <a:off x="69377078" y="9779000"/>
          <a:ext cx="469900" cy="206829"/>
        </a:xfrm>
        <a:prstGeom prst="rect">
          <a:avLst/>
        </a:prstGeom>
        <a:gradFill flip="none" rotWithShape="1">
          <a:gsLst>
            <a:gs pos="68000">
              <a:srgbClr val="344B2D"/>
            </a:gs>
            <a:gs pos="34000">
              <a:srgbClr val="106A44"/>
            </a:gs>
            <a:gs pos="0">
              <a:srgbClr val="376224"/>
            </a:gs>
            <a:gs pos="100000">
              <a:srgbClr val="3142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57</xdr:row>
      <xdr:rowOff>12700</xdr:rowOff>
    </xdr:from>
    <xdr:to>
      <xdr:col>68</xdr:col>
      <xdr:colOff>479578</xdr:colOff>
      <xdr:row>58</xdr:row>
      <xdr:rowOff>16329</xdr:rowOff>
    </xdr:to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CDB594EC-BFD8-674C-BE9B-6F168D8718E0}"/>
            </a:ext>
          </a:extLst>
        </xdr:cNvPr>
        <xdr:cNvSpPr/>
      </xdr:nvSpPr>
      <xdr:spPr>
        <a:xfrm>
          <a:off x="69377078" y="11607800"/>
          <a:ext cx="469900" cy="206829"/>
        </a:xfrm>
        <a:prstGeom prst="rect">
          <a:avLst/>
        </a:prstGeom>
        <a:gradFill flip="none" rotWithShape="1">
          <a:gsLst>
            <a:gs pos="68000">
              <a:srgbClr val="7E4233"/>
            </a:gs>
            <a:gs pos="32000">
              <a:srgbClr val="4A3021"/>
            </a:gs>
            <a:gs pos="0">
              <a:srgbClr val="883630"/>
            </a:gs>
            <a:gs pos="100000">
              <a:srgbClr val="532E1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61</xdr:row>
      <xdr:rowOff>12700</xdr:rowOff>
    </xdr:from>
    <xdr:to>
      <xdr:col>68</xdr:col>
      <xdr:colOff>479578</xdr:colOff>
      <xdr:row>62</xdr:row>
      <xdr:rowOff>16328</xdr:rowOff>
    </xdr:to>
    <xdr:sp macro="" textlink="">
      <xdr:nvSpPr>
        <xdr:cNvPr id="447" name="Rectangle 446">
          <a:extLst>
            <a:ext uri="{FF2B5EF4-FFF2-40B4-BE49-F238E27FC236}">
              <a16:creationId xmlns:a16="http://schemas.microsoft.com/office/drawing/2014/main" id="{C099651C-911E-C540-B19A-504D2B5A4C81}"/>
            </a:ext>
          </a:extLst>
        </xdr:cNvPr>
        <xdr:cNvSpPr/>
      </xdr:nvSpPr>
      <xdr:spPr>
        <a:xfrm>
          <a:off x="69377078" y="12420600"/>
          <a:ext cx="469900" cy="206828"/>
        </a:xfrm>
        <a:prstGeom prst="rect">
          <a:avLst/>
        </a:prstGeom>
        <a:gradFill flip="none" rotWithShape="1">
          <a:gsLst>
            <a:gs pos="65000">
              <a:srgbClr val="FCEBDE"/>
            </a:gs>
            <a:gs pos="31000">
              <a:srgbClr val="39609E"/>
            </a:gs>
            <a:gs pos="0">
              <a:srgbClr val="FFCBD7"/>
            </a:gs>
            <a:gs pos="100000">
              <a:srgbClr val="CAE7F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51</xdr:row>
      <xdr:rowOff>12700</xdr:rowOff>
    </xdr:from>
    <xdr:to>
      <xdr:col>68</xdr:col>
      <xdr:colOff>479578</xdr:colOff>
      <xdr:row>52</xdr:row>
      <xdr:rowOff>16328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90A0C1A-A991-4047-BD07-28B787AE21A6}"/>
            </a:ext>
          </a:extLst>
        </xdr:cNvPr>
        <xdr:cNvSpPr/>
      </xdr:nvSpPr>
      <xdr:spPr>
        <a:xfrm>
          <a:off x="69377078" y="10388600"/>
          <a:ext cx="469900" cy="206828"/>
        </a:xfrm>
        <a:prstGeom prst="rect">
          <a:avLst/>
        </a:prstGeom>
        <a:gradFill flip="none" rotWithShape="1">
          <a:gsLst>
            <a:gs pos="67000">
              <a:srgbClr val="FDE948"/>
            </a:gs>
            <a:gs pos="35000">
              <a:srgbClr val="9DC82C"/>
            </a:gs>
            <a:gs pos="0">
              <a:srgbClr val="6D9E29"/>
            </a:gs>
            <a:gs pos="100000">
              <a:srgbClr val="FCF99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55</xdr:row>
      <xdr:rowOff>12700</xdr:rowOff>
    </xdr:from>
    <xdr:to>
      <xdr:col>68</xdr:col>
      <xdr:colOff>479578</xdr:colOff>
      <xdr:row>56</xdr:row>
      <xdr:rowOff>16329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343E99FC-95C2-3440-8503-3659ABF89BD6}"/>
            </a:ext>
          </a:extLst>
        </xdr:cNvPr>
        <xdr:cNvSpPr/>
      </xdr:nvSpPr>
      <xdr:spPr>
        <a:xfrm>
          <a:off x="69377078" y="11201400"/>
          <a:ext cx="469900" cy="206829"/>
        </a:xfrm>
        <a:prstGeom prst="rect">
          <a:avLst/>
        </a:prstGeom>
        <a:gradFill flip="none" rotWithShape="1">
          <a:gsLst>
            <a:gs pos="68000">
              <a:srgbClr val="FDAE3C"/>
            </a:gs>
            <a:gs pos="34000">
              <a:srgbClr val="FC6F1B"/>
            </a:gs>
            <a:gs pos="0">
              <a:srgbClr val="813B11"/>
            </a:gs>
            <a:gs pos="100000">
              <a:srgbClr val="CE1A3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60</xdr:row>
      <xdr:rowOff>12700</xdr:rowOff>
    </xdr:from>
    <xdr:to>
      <xdr:col>68</xdr:col>
      <xdr:colOff>479578</xdr:colOff>
      <xdr:row>61</xdr:row>
      <xdr:rowOff>16329</xdr:rowOff>
    </xdr:to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DD9D7E65-F2A2-DF43-9ED7-21CCF6EAA405}"/>
            </a:ext>
          </a:extLst>
        </xdr:cNvPr>
        <xdr:cNvSpPr/>
      </xdr:nvSpPr>
      <xdr:spPr>
        <a:xfrm>
          <a:off x="69377078" y="12217400"/>
          <a:ext cx="469900" cy="206829"/>
        </a:xfrm>
        <a:prstGeom prst="rect">
          <a:avLst/>
        </a:prstGeom>
        <a:gradFill flip="none" rotWithShape="1">
          <a:gsLst>
            <a:gs pos="67000">
              <a:srgbClr val="921237"/>
            </a:gs>
            <a:gs pos="31000">
              <a:srgbClr val="2D1F69"/>
            </a:gs>
            <a:gs pos="0">
              <a:srgbClr val="580D5C"/>
            </a:gs>
            <a:gs pos="100000">
              <a:srgbClr val="7110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62</xdr:row>
      <xdr:rowOff>12700</xdr:rowOff>
    </xdr:from>
    <xdr:to>
      <xdr:col>68</xdr:col>
      <xdr:colOff>479578</xdr:colOff>
      <xdr:row>63</xdr:row>
      <xdr:rowOff>16328</xdr:rowOff>
    </xdr:to>
    <xdr:sp macro="" textlink="">
      <xdr:nvSpPr>
        <xdr:cNvPr id="451" name="Rectangle 450">
          <a:extLst>
            <a:ext uri="{FF2B5EF4-FFF2-40B4-BE49-F238E27FC236}">
              <a16:creationId xmlns:a16="http://schemas.microsoft.com/office/drawing/2014/main" id="{D72AAED9-9E34-3A45-BF0C-D8B80920DA53}"/>
            </a:ext>
          </a:extLst>
        </xdr:cNvPr>
        <xdr:cNvSpPr/>
      </xdr:nvSpPr>
      <xdr:spPr>
        <a:xfrm>
          <a:off x="69377078" y="12623800"/>
          <a:ext cx="469900" cy="206828"/>
        </a:xfrm>
        <a:prstGeom prst="rect">
          <a:avLst/>
        </a:prstGeom>
        <a:gradFill flip="none" rotWithShape="1">
          <a:gsLst>
            <a:gs pos="63000">
              <a:srgbClr val="212754"/>
            </a:gs>
            <a:gs pos="32000">
              <a:srgbClr val="CDE9EA"/>
            </a:gs>
            <a:gs pos="0">
              <a:srgbClr val="4F5CA7"/>
            </a:gs>
            <a:gs pos="100000">
              <a:srgbClr val="1C6C8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63</xdr:row>
      <xdr:rowOff>12700</xdr:rowOff>
    </xdr:from>
    <xdr:to>
      <xdr:col>68</xdr:col>
      <xdr:colOff>479578</xdr:colOff>
      <xdr:row>64</xdr:row>
      <xdr:rowOff>29028</xdr:rowOff>
    </xdr:to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625AB61-34AD-674B-8A7E-99FB8CC6B25D}"/>
            </a:ext>
          </a:extLst>
        </xdr:cNvPr>
        <xdr:cNvSpPr/>
      </xdr:nvSpPr>
      <xdr:spPr>
        <a:xfrm>
          <a:off x="69377078" y="12827000"/>
          <a:ext cx="469900" cy="219528"/>
        </a:xfrm>
        <a:prstGeom prst="rect">
          <a:avLst/>
        </a:prstGeom>
        <a:gradFill flip="none" rotWithShape="1">
          <a:gsLst>
            <a:gs pos="67000">
              <a:srgbClr val="262277"/>
            </a:gs>
            <a:gs pos="33000">
              <a:srgbClr val="2D1F69"/>
            </a:gs>
            <a:gs pos="0">
              <a:srgbClr val="580D5C"/>
            </a:gs>
            <a:gs pos="100000">
              <a:srgbClr val="08083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64</xdr:row>
      <xdr:rowOff>25400</xdr:rowOff>
    </xdr:from>
    <xdr:to>
      <xdr:col>68</xdr:col>
      <xdr:colOff>479578</xdr:colOff>
      <xdr:row>65</xdr:row>
      <xdr:rowOff>29028</xdr:rowOff>
    </xdr:to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E54C5834-4AFA-EE43-9020-10F067F620B2}"/>
            </a:ext>
          </a:extLst>
        </xdr:cNvPr>
        <xdr:cNvSpPr/>
      </xdr:nvSpPr>
      <xdr:spPr>
        <a:xfrm>
          <a:off x="69377078" y="13042900"/>
          <a:ext cx="469900" cy="219528"/>
        </a:xfrm>
        <a:prstGeom prst="rect">
          <a:avLst/>
        </a:prstGeom>
        <a:gradFill flip="none" rotWithShape="1">
          <a:gsLst>
            <a:gs pos="68000">
              <a:srgbClr val="2A3288"/>
            </a:gs>
            <a:gs pos="31000">
              <a:srgbClr val="E5BDEE"/>
            </a:gs>
            <a:gs pos="0">
              <a:srgbClr val="9442A6"/>
            </a:gs>
            <a:gs pos="100000">
              <a:srgbClr val="9A6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66</xdr:row>
      <xdr:rowOff>12700</xdr:rowOff>
    </xdr:from>
    <xdr:to>
      <xdr:col>68</xdr:col>
      <xdr:colOff>479578</xdr:colOff>
      <xdr:row>67</xdr:row>
      <xdr:rowOff>16328</xdr:rowOff>
    </xdr:to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FF92EE2-8ABE-434E-92DC-B2A076035772}"/>
            </a:ext>
          </a:extLst>
        </xdr:cNvPr>
        <xdr:cNvSpPr/>
      </xdr:nvSpPr>
      <xdr:spPr>
        <a:xfrm>
          <a:off x="69377078" y="13462000"/>
          <a:ext cx="469900" cy="206828"/>
        </a:xfrm>
        <a:prstGeom prst="rect">
          <a:avLst/>
        </a:prstGeom>
        <a:gradFill flip="none" rotWithShape="1">
          <a:gsLst>
            <a:gs pos="68000">
              <a:srgbClr val="9442A7"/>
            </a:gs>
            <a:gs pos="31000">
              <a:srgbClr val="ED81BE"/>
            </a:gs>
            <a:gs pos="0">
              <a:srgbClr val="F6B0DF"/>
            </a:gs>
            <a:gs pos="100000">
              <a:srgbClr val="C597B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65</xdr:row>
      <xdr:rowOff>25400</xdr:rowOff>
    </xdr:from>
    <xdr:to>
      <xdr:col>68</xdr:col>
      <xdr:colOff>479578</xdr:colOff>
      <xdr:row>66</xdr:row>
      <xdr:rowOff>16327</xdr:rowOff>
    </xdr:to>
    <xdr:sp macro="" textlink="">
      <xdr:nvSpPr>
        <xdr:cNvPr id="455" name="Rectangle 454">
          <a:extLst>
            <a:ext uri="{FF2B5EF4-FFF2-40B4-BE49-F238E27FC236}">
              <a16:creationId xmlns:a16="http://schemas.microsoft.com/office/drawing/2014/main" id="{AF0C3B32-C4A4-FD49-8271-2DC66FE99528}"/>
            </a:ext>
          </a:extLst>
        </xdr:cNvPr>
        <xdr:cNvSpPr/>
      </xdr:nvSpPr>
      <xdr:spPr>
        <a:xfrm>
          <a:off x="69377078" y="13258800"/>
          <a:ext cx="469900" cy="206827"/>
        </a:xfrm>
        <a:prstGeom prst="rect">
          <a:avLst/>
        </a:prstGeom>
        <a:gradFill flip="none" rotWithShape="1">
          <a:gsLst>
            <a:gs pos="68000">
              <a:srgbClr val="8A298F"/>
            </a:gs>
            <a:gs pos="31000">
              <a:srgbClr val="DB9DDE"/>
            </a:gs>
            <a:gs pos="0">
              <a:schemeClr val="bg1"/>
            </a:gs>
            <a:gs pos="100000">
              <a:srgbClr val="580D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9678</xdr:colOff>
      <xdr:row>67</xdr:row>
      <xdr:rowOff>12700</xdr:rowOff>
    </xdr:from>
    <xdr:to>
      <xdr:col>68</xdr:col>
      <xdr:colOff>479578</xdr:colOff>
      <xdr:row>68</xdr:row>
      <xdr:rowOff>12699</xdr:rowOff>
    </xdr:to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B4E78308-5862-1B4F-A42E-27A9E0C10362}"/>
            </a:ext>
          </a:extLst>
        </xdr:cNvPr>
        <xdr:cNvSpPr/>
      </xdr:nvSpPr>
      <xdr:spPr>
        <a:xfrm>
          <a:off x="69377078" y="13665200"/>
          <a:ext cx="469900" cy="215899"/>
        </a:xfrm>
        <a:prstGeom prst="rect">
          <a:avLst/>
        </a:prstGeom>
        <a:gradFill flip="none" rotWithShape="1">
          <a:gsLst>
            <a:gs pos="68000">
              <a:srgbClr val="580D5C"/>
            </a:gs>
            <a:gs pos="31000">
              <a:srgbClr val="E5BDEE"/>
            </a:gs>
            <a:gs pos="0">
              <a:srgbClr val="9442A6"/>
            </a:gs>
            <a:gs pos="100000">
              <a:srgbClr val="FD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12</xdr:row>
      <xdr:rowOff>0</xdr:rowOff>
    </xdr:from>
    <xdr:to>
      <xdr:col>69</xdr:col>
      <xdr:colOff>0</xdr:colOff>
      <xdr:row>13</xdr:row>
      <xdr:rowOff>3628</xdr:rowOff>
    </xdr:to>
    <xdr:sp macro="" textlink="">
      <xdr:nvSpPr>
        <xdr:cNvPr id="457" name="Rectangle 456">
          <a:extLst>
            <a:ext uri="{FF2B5EF4-FFF2-40B4-BE49-F238E27FC236}">
              <a16:creationId xmlns:a16="http://schemas.microsoft.com/office/drawing/2014/main" id="{E532C7BC-70A3-4D4F-AC8F-A820E417AC02}"/>
            </a:ext>
          </a:extLst>
        </xdr:cNvPr>
        <xdr:cNvSpPr/>
      </xdr:nvSpPr>
      <xdr:spPr>
        <a:xfrm>
          <a:off x="69380100" y="2425700"/>
          <a:ext cx="812800" cy="206828"/>
        </a:xfrm>
        <a:prstGeom prst="rect">
          <a:avLst/>
        </a:prstGeom>
        <a:gradFill flip="none" rotWithShape="1">
          <a:gsLst>
            <a:gs pos="50000">
              <a:srgbClr val="C79717"/>
            </a:gs>
            <a:gs pos="0">
              <a:srgbClr val="945200"/>
            </a:gs>
            <a:gs pos="100000">
              <a:srgbClr val="F5D08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37</xdr:row>
      <xdr:rowOff>0</xdr:rowOff>
    </xdr:from>
    <xdr:to>
      <xdr:col>69</xdr:col>
      <xdr:colOff>0</xdr:colOff>
      <xdr:row>38</xdr:row>
      <xdr:rowOff>3629</xdr:rowOff>
    </xdr:to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6E55A129-6E13-4645-AEC7-A31D4C752FF5}"/>
            </a:ext>
          </a:extLst>
        </xdr:cNvPr>
        <xdr:cNvSpPr/>
      </xdr:nvSpPr>
      <xdr:spPr>
        <a:xfrm>
          <a:off x="69380100" y="7518400"/>
          <a:ext cx="812800" cy="206829"/>
        </a:xfrm>
        <a:prstGeom prst="rect">
          <a:avLst/>
        </a:prstGeom>
        <a:gradFill flip="none" rotWithShape="1">
          <a:gsLst>
            <a:gs pos="100000">
              <a:srgbClr val="E97596"/>
            </a:gs>
            <a:gs pos="35000">
              <a:srgbClr val="D73E68"/>
            </a:gs>
            <a:gs pos="0">
              <a:srgbClr val="C01C48"/>
            </a:gs>
            <a:gs pos="69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13</xdr:row>
      <xdr:rowOff>0</xdr:rowOff>
    </xdr:from>
    <xdr:to>
      <xdr:col>69</xdr:col>
      <xdr:colOff>0</xdr:colOff>
      <xdr:row>14</xdr:row>
      <xdr:rowOff>3629</xdr:rowOff>
    </xdr:to>
    <xdr:sp macro="" textlink="">
      <xdr:nvSpPr>
        <xdr:cNvPr id="459" name="Rectangle 458">
          <a:extLst>
            <a:ext uri="{FF2B5EF4-FFF2-40B4-BE49-F238E27FC236}">
              <a16:creationId xmlns:a16="http://schemas.microsoft.com/office/drawing/2014/main" id="{78432C20-22D0-5842-AF0B-14BA32DE7307}"/>
            </a:ext>
          </a:extLst>
        </xdr:cNvPr>
        <xdr:cNvSpPr/>
      </xdr:nvSpPr>
      <xdr:spPr>
        <a:xfrm>
          <a:off x="69380100" y="2628900"/>
          <a:ext cx="812800" cy="206829"/>
        </a:xfrm>
        <a:prstGeom prst="rect">
          <a:avLst/>
        </a:prstGeom>
        <a:gradFill flip="none" rotWithShape="1">
          <a:gsLst>
            <a:gs pos="52000">
              <a:srgbClr val="F08AA5"/>
            </a:gs>
            <a:gs pos="0">
              <a:srgbClr val="E67391"/>
            </a:gs>
            <a:gs pos="100000">
              <a:srgbClr val="FBBBD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33</xdr:row>
      <xdr:rowOff>0</xdr:rowOff>
    </xdr:from>
    <xdr:to>
      <xdr:col>69</xdr:col>
      <xdr:colOff>0</xdr:colOff>
      <xdr:row>34</xdr:row>
      <xdr:rowOff>3629</xdr:rowOff>
    </xdr:to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5A641E82-BF20-3F4D-AE70-A5CA1AEB2624}"/>
            </a:ext>
          </a:extLst>
        </xdr:cNvPr>
        <xdr:cNvSpPr/>
      </xdr:nvSpPr>
      <xdr:spPr>
        <a:xfrm>
          <a:off x="69380100" y="6705600"/>
          <a:ext cx="812800" cy="206829"/>
        </a:xfrm>
        <a:prstGeom prst="rect">
          <a:avLst/>
        </a:prstGeom>
        <a:gradFill flip="none" rotWithShape="1">
          <a:gsLst>
            <a:gs pos="52000">
              <a:srgbClr val="F45457"/>
            </a:gs>
            <a:gs pos="0">
              <a:srgbClr val="F44245"/>
            </a:gs>
            <a:gs pos="100000">
              <a:srgbClr val="F49C9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16</xdr:row>
      <xdr:rowOff>0</xdr:rowOff>
    </xdr:from>
    <xdr:to>
      <xdr:col>69</xdr:col>
      <xdr:colOff>0</xdr:colOff>
      <xdr:row>17</xdr:row>
      <xdr:rowOff>3628</xdr:rowOff>
    </xdr:to>
    <xdr:sp macro="" textlink="">
      <xdr:nvSpPr>
        <xdr:cNvPr id="461" name="Rectangle 460">
          <a:extLst>
            <a:ext uri="{FF2B5EF4-FFF2-40B4-BE49-F238E27FC236}">
              <a16:creationId xmlns:a16="http://schemas.microsoft.com/office/drawing/2014/main" id="{9D5921A9-D358-B743-931B-18200B07B150}"/>
            </a:ext>
          </a:extLst>
        </xdr:cNvPr>
        <xdr:cNvSpPr/>
      </xdr:nvSpPr>
      <xdr:spPr>
        <a:xfrm>
          <a:off x="69380100" y="3238500"/>
          <a:ext cx="812800" cy="206828"/>
        </a:xfrm>
        <a:prstGeom prst="rect">
          <a:avLst/>
        </a:prstGeom>
        <a:gradFill flip="none" rotWithShape="1">
          <a:gsLst>
            <a:gs pos="50000">
              <a:srgbClr val="C40003"/>
            </a:gs>
            <a:gs pos="0">
              <a:srgbClr val="8C0002"/>
            </a:gs>
            <a:gs pos="100000">
              <a:srgbClr val="FF0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22</xdr:row>
      <xdr:rowOff>0</xdr:rowOff>
    </xdr:from>
    <xdr:to>
      <xdr:col>69</xdr:col>
      <xdr:colOff>0</xdr:colOff>
      <xdr:row>23</xdr:row>
      <xdr:rowOff>16329</xdr:rowOff>
    </xdr:to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17E12CF1-9CC7-C941-8425-766371CBDF1D}"/>
            </a:ext>
          </a:extLst>
        </xdr:cNvPr>
        <xdr:cNvSpPr/>
      </xdr:nvSpPr>
      <xdr:spPr>
        <a:xfrm>
          <a:off x="69380100" y="4457700"/>
          <a:ext cx="812800" cy="219529"/>
        </a:xfrm>
        <a:prstGeom prst="rect">
          <a:avLst/>
        </a:prstGeom>
        <a:gradFill flip="none" rotWithShape="1">
          <a:gsLst>
            <a:gs pos="50000">
              <a:srgbClr val="B237B8"/>
            </a:gs>
            <a:gs pos="100000">
              <a:srgbClr val="CE40D5"/>
            </a:gs>
            <a:gs pos="0">
              <a:srgbClr val="69206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43</xdr:row>
      <xdr:rowOff>0</xdr:rowOff>
    </xdr:from>
    <xdr:to>
      <xdr:col>69</xdr:col>
      <xdr:colOff>0</xdr:colOff>
      <xdr:row>44</xdr:row>
      <xdr:rowOff>16329</xdr:rowOff>
    </xdr:to>
    <xdr:sp macro="" textlink="">
      <xdr:nvSpPr>
        <xdr:cNvPr id="463" name="Rectangle 462">
          <a:extLst>
            <a:ext uri="{FF2B5EF4-FFF2-40B4-BE49-F238E27FC236}">
              <a16:creationId xmlns:a16="http://schemas.microsoft.com/office/drawing/2014/main" id="{C7FE04B5-B207-DF42-BBAF-DF259E76FDBF}"/>
            </a:ext>
          </a:extLst>
        </xdr:cNvPr>
        <xdr:cNvSpPr/>
      </xdr:nvSpPr>
      <xdr:spPr>
        <a:xfrm>
          <a:off x="69380100" y="8737600"/>
          <a:ext cx="812800" cy="219529"/>
        </a:xfrm>
        <a:prstGeom prst="rect">
          <a:avLst/>
        </a:prstGeom>
        <a:gradFill flip="none" rotWithShape="1">
          <a:gsLst>
            <a:gs pos="50000">
              <a:srgbClr val="BB80E7"/>
            </a:gs>
            <a:gs pos="0">
              <a:srgbClr val="AA5BE7"/>
            </a:gs>
            <a:gs pos="100000">
              <a:srgbClr val="DCCDE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25</xdr:row>
      <xdr:rowOff>0</xdr:rowOff>
    </xdr:from>
    <xdr:to>
      <xdr:col>69</xdr:col>
      <xdr:colOff>0</xdr:colOff>
      <xdr:row>26</xdr:row>
      <xdr:rowOff>3628</xdr:rowOff>
    </xdr:to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08EC74C1-0461-0348-96D2-02E7FA55DD9C}"/>
            </a:ext>
          </a:extLst>
        </xdr:cNvPr>
        <xdr:cNvSpPr/>
      </xdr:nvSpPr>
      <xdr:spPr>
        <a:xfrm>
          <a:off x="69380100" y="5080000"/>
          <a:ext cx="812800" cy="206828"/>
        </a:xfrm>
        <a:prstGeom prst="rect">
          <a:avLst/>
        </a:prstGeom>
        <a:gradFill flip="none" rotWithShape="1">
          <a:gsLst>
            <a:gs pos="50000">
              <a:srgbClr val="8062A4"/>
            </a:gs>
            <a:gs pos="0">
              <a:schemeClr val="accent4">
                <a:lumMod val="50000"/>
              </a:schemeClr>
            </a:gs>
            <a:gs pos="100000">
              <a:srgbClr val="A47ED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20</xdr:row>
      <xdr:rowOff>0</xdr:rowOff>
    </xdr:from>
    <xdr:to>
      <xdr:col>69</xdr:col>
      <xdr:colOff>0</xdr:colOff>
      <xdr:row>21</xdr:row>
      <xdr:rowOff>3628</xdr:rowOff>
    </xdr:to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DE7903BE-E173-7148-BCD1-54A4A40BCE2D}"/>
            </a:ext>
          </a:extLst>
        </xdr:cNvPr>
        <xdr:cNvSpPr/>
      </xdr:nvSpPr>
      <xdr:spPr>
        <a:xfrm>
          <a:off x="69380100" y="4051300"/>
          <a:ext cx="812800" cy="206828"/>
        </a:xfrm>
        <a:prstGeom prst="rect">
          <a:avLst/>
        </a:prstGeom>
        <a:gradFill flip="none" rotWithShape="1">
          <a:gsLst>
            <a:gs pos="50000">
              <a:srgbClr val="5B92D5"/>
            </a:gs>
            <a:gs pos="0">
              <a:srgbClr val="0965D5"/>
            </a:gs>
            <a:gs pos="100000">
              <a:srgbClr val="9AB5D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14</xdr:row>
      <xdr:rowOff>0</xdr:rowOff>
    </xdr:from>
    <xdr:to>
      <xdr:col>69</xdr:col>
      <xdr:colOff>0</xdr:colOff>
      <xdr:row>15</xdr:row>
      <xdr:rowOff>3629</xdr:rowOff>
    </xdr:to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DFA67C30-F77A-9B4E-92B9-358D250816F3}"/>
            </a:ext>
          </a:extLst>
        </xdr:cNvPr>
        <xdr:cNvSpPr/>
      </xdr:nvSpPr>
      <xdr:spPr>
        <a:xfrm>
          <a:off x="69380100" y="2832100"/>
          <a:ext cx="812800" cy="206829"/>
        </a:xfrm>
        <a:prstGeom prst="rect">
          <a:avLst/>
        </a:prstGeom>
        <a:gradFill flip="none" rotWithShape="1">
          <a:gsLst>
            <a:gs pos="50000">
              <a:schemeClr val="accent1">
                <a:lumMod val="20000"/>
                <a:lumOff val="80000"/>
              </a:schemeClr>
            </a:gs>
            <a:gs pos="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18</xdr:row>
      <xdr:rowOff>0</xdr:rowOff>
    </xdr:from>
    <xdr:to>
      <xdr:col>69</xdr:col>
      <xdr:colOff>0</xdr:colOff>
      <xdr:row>19</xdr:row>
      <xdr:rowOff>3629</xdr:rowOff>
    </xdr:to>
    <xdr:sp macro="" textlink="">
      <xdr:nvSpPr>
        <xdr:cNvPr id="467" name="Rectangle 466">
          <a:extLst>
            <a:ext uri="{FF2B5EF4-FFF2-40B4-BE49-F238E27FC236}">
              <a16:creationId xmlns:a16="http://schemas.microsoft.com/office/drawing/2014/main" id="{F4A526CB-5E5D-DF48-B30F-467D18C47BF5}"/>
            </a:ext>
          </a:extLst>
        </xdr:cNvPr>
        <xdr:cNvSpPr/>
      </xdr:nvSpPr>
      <xdr:spPr>
        <a:xfrm>
          <a:off x="69380100" y="3644900"/>
          <a:ext cx="812800" cy="206829"/>
        </a:xfrm>
        <a:prstGeom prst="rect">
          <a:avLst/>
        </a:prstGeom>
        <a:gradFill flip="none" rotWithShape="1">
          <a:gsLst>
            <a:gs pos="50000">
              <a:schemeClr val="accent1">
                <a:lumMod val="60000"/>
                <a:lumOff val="40000"/>
              </a:schemeClr>
            </a:gs>
            <a:gs pos="0">
              <a:schemeClr val="accent1">
                <a:lumMod val="20000"/>
                <a:lumOff val="80000"/>
              </a:schemeClr>
            </a:gs>
            <a:gs pos="100000">
              <a:schemeClr val="accent1">
                <a:lumMod val="5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24</xdr:row>
      <xdr:rowOff>0</xdr:rowOff>
    </xdr:from>
    <xdr:to>
      <xdr:col>69</xdr:col>
      <xdr:colOff>0</xdr:colOff>
      <xdr:row>25</xdr:row>
      <xdr:rowOff>16329</xdr:rowOff>
    </xdr:to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D55A23A8-072A-354A-918F-320059150592}"/>
            </a:ext>
          </a:extLst>
        </xdr:cNvPr>
        <xdr:cNvSpPr/>
      </xdr:nvSpPr>
      <xdr:spPr>
        <a:xfrm>
          <a:off x="69380100" y="4864100"/>
          <a:ext cx="812800" cy="232229"/>
        </a:xfrm>
        <a:prstGeom prst="rect">
          <a:avLst/>
        </a:prstGeom>
        <a:gradFill flip="none" rotWithShape="1">
          <a:gsLst>
            <a:gs pos="50000">
              <a:srgbClr val="35B06D"/>
            </a:gs>
            <a:gs pos="100000">
              <a:srgbClr val="00B050"/>
            </a:gs>
            <a:gs pos="0">
              <a:srgbClr val="71C59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27</xdr:row>
      <xdr:rowOff>0</xdr:rowOff>
    </xdr:from>
    <xdr:to>
      <xdr:col>69</xdr:col>
      <xdr:colOff>0</xdr:colOff>
      <xdr:row>28</xdr:row>
      <xdr:rowOff>16329</xdr:rowOff>
    </xdr:to>
    <xdr:sp macro="" textlink="">
      <xdr:nvSpPr>
        <xdr:cNvPr id="469" name="Rectangle 468">
          <a:extLst>
            <a:ext uri="{FF2B5EF4-FFF2-40B4-BE49-F238E27FC236}">
              <a16:creationId xmlns:a16="http://schemas.microsoft.com/office/drawing/2014/main" id="{68171D4C-FDED-E34A-A5BA-1F244BF4A75A}"/>
            </a:ext>
          </a:extLst>
        </xdr:cNvPr>
        <xdr:cNvSpPr/>
      </xdr:nvSpPr>
      <xdr:spPr>
        <a:xfrm>
          <a:off x="69380100" y="5486400"/>
          <a:ext cx="812800" cy="219529"/>
        </a:xfrm>
        <a:prstGeom prst="rect">
          <a:avLst/>
        </a:prstGeom>
        <a:gradFill flip="none" rotWithShape="1">
          <a:gsLst>
            <a:gs pos="50000">
              <a:srgbClr val="FFFF65"/>
            </a:gs>
            <a:gs pos="100000">
              <a:srgbClr val="FFFFBA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31</xdr:row>
      <xdr:rowOff>0</xdr:rowOff>
    </xdr:from>
    <xdr:to>
      <xdr:col>69</xdr:col>
      <xdr:colOff>0</xdr:colOff>
      <xdr:row>32</xdr:row>
      <xdr:rowOff>16329</xdr:rowOff>
    </xdr:to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7BB45D9-A03C-AD44-ADA0-1DEBE3C3273D}"/>
            </a:ext>
          </a:extLst>
        </xdr:cNvPr>
        <xdr:cNvSpPr/>
      </xdr:nvSpPr>
      <xdr:spPr>
        <a:xfrm>
          <a:off x="69380100" y="6299200"/>
          <a:ext cx="812800" cy="219529"/>
        </a:xfrm>
        <a:prstGeom prst="rect">
          <a:avLst/>
        </a:prstGeom>
        <a:gradFill flip="none" rotWithShape="1">
          <a:gsLst>
            <a:gs pos="50000">
              <a:srgbClr val="FFC000"/>
            </a:gs>
            <a:gs pos="100000">
              <a:srgbClr val="FF9D00"/>
            </a:gs>
            <a:gs pos="0">
              <a:srgbClr val="FFE2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35</xdr:row>
      <xdr:rowOff>0</xdr:rowOff>
    </xdr:from>
    <xdr:to>
      <xdr:col>69</xdr:col>
      <xdr:colOff>0</xdr:colOff>
      <xdr:row>36</xdr:row>
      <xdr:rowOff>3628</xdr:rowOff>
    </xdr:to>
    <xdr:sp macro="" textlink="">
      <xdr:nvSpPr>
        <xdr:cNvPr id="471" name="Rectangle 470">
          <a:extLst>
            <a:ext uri="{FF2B5EF4-FFF2-40B4-BE49-F238E27FC236}">
              <a16:creationId xmlns:a16="http://schemas.microsoft.com/office/drawing/2014/main" id="{A6030877-580B-AC4E-8D58-F9243A386FDA}"/>
            </a:ext>
          </a:extLst>
        </xdr:cNvPr>
        <xdr:cNvSpPr/>
      </xdr:nvSpPr>
      <xdr:spPr>
        <a:xfrm>
          <a:off x="69380100" y="7112000"/>
          <a:ext cx="812800" cy="206828"/>
        </a:xfrm>
        <a:prstGeom prst="rect">
          <a:avLst/>
        </a:prstGeom>
        <a:gradFill flip="none" rotWithShape="1">
          <a:gsLst>
            <a:gs pos="50000">
              <a:srgbClr val="92D050"/>
            </a:gs>
            <a:gs pos="0">
              <a:srgbClr val="00B050"/>
            </a:gs>
            <a:gs pos="100000">
              <a:srgbClr val="BEF18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39</xdr:row>
      <xdr:rowOff>0</xdr:rowOff>
    </xdr:from>
    <xdr:to>
      <xdr:col>69</xdr:col>
      <xdr:colOff>0</xdr:colOff>
      <xdr:row>40</xdr:row>
      <xdr:rowOff>3628</xdr:rowOff>
    </xdr:to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87752C0-015E-504B-853E-9CF60F5C749C}"/>
            </a:ext>
          </a:extLst>
        </xdr:cNvPr>
        <xdr:cNvSpPr/>
      </xdr:nvSpPr>
      <xdr:spPr>
        <a:xfrm>
          <a:off x="69380100" y="7924800"/>
          <a:ext cx="812800" cy="206828"/>
        </a:xfrm>
        <a:prstGeom prst="rect">
          <a:avLst/>
        </a:prstGeom>
        <a:gradFill flip="none" rotWithShape="1">
          <a:gsLst>
            <a:gs pos="50000">
              <a:srgbClr val="00A349"/>
            </a:gs>
            <a:gs pos="0">
              <a:srgbClr val="006B30"/>
            </a:gs>
            <a:gs pos="100000">
              <a:srgbClr val="00B05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40</xdr:row>
      <xdr:rowOff>0</xdr:rowOff>
    </xdr:from>
    <xdr:to>
      <xdr:col>69</xdr:col>
      <xdr:colOff>0</xdr:colOff>
      <xdr:row>41</xdr:row>
      <xdr:rowOff>3629</xdr:rowOff>
    </xdr:to>
    <xdr:sp macro="" textlink="">
      <xdr:nvSpPr>
        <xdr:cNvPr id="473" name="Rectangle 472">
          <a:extLst>
            <a:ext uri="{FF2B5EF4-FFF2-40B4-BE49-F238E27FC236}">
              <a16:creationId xmlns:a16="http://schemas.microsoft.com/office/drawing/2014/main" id="{A1C9D6D3-A687-7B42-9F2E-B506E5A64181}"/>
            </a:ext>
          </a:extLst>
        </xdr:cNvPr>
        <xdr:cNvSpPr/>
      </xdr:nvSpPr>
      <xdr:spPr>
        <a:xfrm>
          <a:off x="69380100" y="8128000"/>
          <a:ext cx="812800" cy="206829"/>
        </a:xfrm>
        <a:prstGeom prst="rect">
          <a:avLst/>
        </a:prstGeom>
        <a:gradFill flip="none" rotWithShape="1">
          <a:gsLst>
            <a:gs pos="48000">
              <a:srgbClr val="00E4B6"/>
            </a:gs>
            <a:gs pos="0">
              <a:srgbClr val="00B08D"/>
            </a:gs>
            <a:gs pos="100000">
              <a:srgbClr val="A0EAD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41</xdr:row>
      <xdr:rowOff>0</xdr:rowOff>
    </xdr:from>
    <xdr:to>
      <xdr:col>69</xdr:col>
      <xdr:colOff>0</xdr:colOff>
      <xdr:row>42</xdr:row>
      <xdr:rowOff>3629</xdr:rowOff>
    </xdr:to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77D21901-8675-9A42-BB15-96B6832774BD}"/>
            </a:ext>
          </a:extLst>
        </xdr:cNvPr>
        <xdr:cNvSpPr/>
      </xdr:nvSpPr>
      <xdr:spPr>
        <a:xfrm>
          <a:off x="69380100" y="8331200"/>
          <a:ext cx="812800" cy="206829"/>
        </a:xfrm>
        <a:prstGeom prst="rect">
          <a:avLst/>
        </a:prstGeom>
        <a:gradFill flip="none" rotWithShape="1">
          <a:gsLst>
            <a:gs pos="0">
              <a:schemeClr val="accent1">
                <a:lumMod val="20000"/>
                <a:lumOff val="80000"/>
              </a:schemeClr>
            </a:gs>
            <a:gs pos="51000">
              <a:schemeClr val="accent1">
                <a:lumMod val="60000"/>
                <a:lumOff val="40000"/>
              </a:schemeClr>
            </a:gs>
            <a:gs pos="100000">
              <a:srgbClr val="558DD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12700</xdr:colOff>
      <xdr:row>34</xdr:row>
      <xdr:rowOff>0</xdr:rowOff>
    </xdr:from>
    <xdr:to>
      <xdr:col>69</xdr:col>
      <xdr:colOff>0</xdr:colOff>
      <xdr:row>35</xdr:row>
      <xdr:rowOff>3629</xdr:rowOff>
    </xdr:to>
    <xdr:sp macro="" textlink="">
      <xdr:nvSpPr>
        <xdr:cNvPr id="475" name="Rectangle 474">
          <a:extLst>
            <a:ext uri="{FF2B5EF4-FFF2-40B4-BE49-F238E27FC236}">
              <a16:creationId xmlns:a16="http://schemas.microsoft.com/office/drawing/2014/main" id="{0CD62F3A-F912-D74A-AE9F-015C42914FFE}"/>
            </a:ext>
          </a:extLst>
        </xdr:cNvPr>
        <xdr:cNvSpPr/>
      </xdr:nvSpPr>
      <xdr:spPr>
        <a:xfrm>
          <a:off x="69380100" y="6908800"/>
          <a:ext cx="812800" cy="206829"/>
        </a:xfrm>
        <a:prstGeom prst="rect">
          <a:avLst/>
        </a:prstGeom>
        <a:gradFill flip="none" rotWithShape="1">
          <a:gsLst>
            <a:gs pos="1000">
              <a:srgbClr val="216AC3"/>
            </a:gs>
            <a:gs pos="98000">
              <a:srgbClr val="6B9CD7"/>
            </a:gs>
            <a:gs pos="53000">
              <a:srgbClr val="558DD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8480</xdr:colOff>
      <xdr:row>6</xdr:row>
      <xdr:rowOff>0</xdr:rowOff>
    </xdr:from>
    <xdr:to>
      <xdr:col>104</xdr:col>
      <xdr:colOff>4247</xdr:colOff>
      <xdr:row>7</xdr:row>
      <xdr:rowOff>12800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04373A-698A-B548-9B52-D0DAA960D487}"/>
            </a:ext>
          </a:extLst>
        </xdr:cNvPr>
        <xdr:cNvSpPr/>
      </xdr:nvSpPr>
      <xdr:spPr>
        <a:xfrm>
          <a:off x="90064180" y="1498600"/>
          <a:ext cx="440267" cy="216000"/>
        </a:xfrm>
        <a:prstGeom prst="rect">
          <a:avLst/>
        </a:prstGeom>
        <a:gradFill flip="none" rotWithShape="1">
          <a:gsLst>
            <a:gs pos="0">
              <a:srgbClr val="BF1B48"/>
            </a:gs>
            <a:gs pos="47000">
              <a:srgbClr val="D63F6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7</xdr:row>
      <xdr:rowOff>12700</xdr:rowOff>
    </xdr:from>
    <xdr:to>
      <xdr:col>104</xdr:col>
      <xdr:colOff>4247</xdr:colOff>
      <xdr:row>8</xdr:row>
      <xdr:rowOff>63500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078E85E-B338-C444-B3AE-D1F44BA9D0BF}"/>
            </a:ext>
          </a:extLst>
        </xdr:cNvPr>
        <xdr:cNvSpPr/>
      </xdr:nvSpPr>
      <xdr:spPr>
        <a:xfrm>
          <a:off x="90064180" y="1714500"/>
          <a:ext cx="440267" cy="2667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AC1C36"/>
            </a:gs>
            <a:gs pos="65000">
              <a:srgbClr val="D63E68"/>
            </a:gs>
            <a:gs pos="100000">
              <a:srgbClr val="F793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8</xdr:row>
      <xdr:rowOff>0</xdr:rowOff>
    </xdr:from>
    <xdr:to>
      <xdr:col>104</xdr:col>
      <xdr:colOff>4247</xdr:colOff>
      <xdr:row>9</xdr:row>
      <xdr:rowOff>12700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67F4415-A8F4-244B-B669-DB9AA7928049}"/>
            </a:ext>
          </a:extLst>
        </xdr:cNvPr>
        <xdr:cNvSpPr/>
      </xdr:nvSpPr>
      <xdr:spPr>
        <a:xfrm>
          <a:off x="90064180" y="1917700"/>
          <a:ext cx="440267" cy="2159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47000">
              <a:srgbClr val="800934"/>
            </a:gs>
            <a:gs pos="100000">
              <a:srgbClr val="66132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9</xdr:row>
      <xdr:rowOff>12700</xdr:rowOff>
    </xdr:from>
    <xdr:to>
      <xdr:col>104</xdr:col>
      <xdr:colOff>4247</xdr:colOff>
      <xdr:row>10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E2F552F-0BC1-2E46-AC21-B702DB714616}"/>
            </a:ext>
          </a:extLst>
        </xdr:cNvPr>
        <xdr:cNvSpPr/>
      </xdr:nvSpPr>
      <xdr:spPr>
        <a:xfrm>
          <a:off x="90064180" y="2133600"/>
          <a:ext cx="440267" cy="203200"/>
        </a:xfrm>
        <a:prstGeom prst="rect">
          <a:avLst/>
        </a:prstGeom>
        <a:gradFill flip="none" rotWithShape="1">
          <a:gsLst>
            <a:gs pos="0">
              <a:srgbClr val="B4445D"/>
            </a:gs>
            <a:gs pos="47000">
              <a:srgbClr val="FEDEDD"/>
            </a:gs>
            <a:gs pos="100000">
              <a:srgbClr val="7A25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10</xdr:row>
      <xdr:rowOff>12700</xdr:rowOff>
    </xdr:from>
    <xdr:to>
      <xdr:col>104</xdr:col>
      <xdr:colOff>4247</xdr:colOff>
      <xdr:row>11</xdr:row>
      <xdr:rowOff>12700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3300F3-FFF1-754E-B941-99AD4AF4215C}"/>
            </a:ext>
          </a:extLst>
        </xdr:cNvPr>
        <xdr:cNvSpPr/>
      </xdr:nvSpPr>
      <xdr:spPr>
        <a:xfrm>
          <a:off x="90064180" y="2336800"/>
          <a:ext cx="440267" cy="203200"/>
        </a:xfrm>
        <a:prstGeom prst="rect">
          <a:avLst/>
        </a:prstGeom>
        <a:gradFill flip="none" rotWithShape="1">
          <a:gsLst>
            <a:gs pos="0">
              <a:srgbClr val="EAC5EB"/>
            </a:gs>
            <a:gs pos="31000">
              <a:srgbClr val="9442A7"/>
            </a:gs>
            <a:gs pos="65000">
              <a:srgbClr val="570D5B"/>
            </a:gs>
            <a:gs pos="100000">
              <a:srgbClr val="8A2A8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11</xdr:row>
      <xdr:rowOff>0</xdr:rowOff>
    </xdr:from>
    <xdr:to>
      <xdr:col>104</xdr:col>
      <xdr:colOff>4247</xdr:colOff>
      <xdr:row>12</xdr:row>
      <xdr:rowOff>12700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B5A7598-3F96-1D4A-A0FF-80FD093E63D6}"/>
            </a:ext>
          </a:extLst>
        </xdr:cNvPr>
        <xdr:cNvSpPr/>
      </xdr:nvSpPr>
      <xdr:spPr>
        <a:xfrm>
          <a:off x="90064180" y="2527300"/>
          <a:ext cx="440267" cy="215900"/>
        </a:xfrm>
        <a:prstGeom prst="rect">
          <a:avLst/>
        </a:prstGeom>
        <a:gradFill flip="none" rotWithShape="1">
          <a:gsLst>
            <a:gs pos="0">
              <a:srgbClr val="B6C7E9"/>
            </a:gs>
            <a:gs pos="47000">
              <a:srgbClr val="4E5CA7"/>
            </a:gs>
            <a:gs pos="100000">
              <a:srgbClr val="27227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12</xdr:row>
      <xdr:rowOff>0</xdr:rowOff>
    </xdr:from>
    <xdr:to>
      <xdr:col>104</xdr:col>
      <xdr:colOff>4247</xdr:colOff>
      <xdr:row>13</xdr:row>
      <xdr:rowOff>12700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09E6F89-F099-1D42-B1A0-A70FA596FA25}"/>
            </a:ext>
          </a:extLst>
        </xdr:cNvPr>
        <xdr:cNvSpPr/>
      </xdr:nvSpPr>
      <xdr:spPr>
        <a:xfrm>
          <a:off x="90064180" y="2730500"/>
          <a:ext cx="440267" cy="215900"/>
        </a:xfrm>
        <a:prstGeom prst="rect">
          <a:avLst/>
        </a:prstGeom>
        <a:gradFill flip="none" rotWithShape="1">
          <a:gsLst>
            <a:gs pos="0">
              <a:srgbClr val="B4B9EA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13</xdr:row>
      <xdr:rowOff>12700</xdr:rowOff>
    </xdr:from>
    <xdr:to>
      <xdr:col>104</xdr:col>
      <xdr:colOff>4247</xdr:colOff>
      <xdr:row>14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F1C9652-B58F-3745-9DCF-D0618DA8F9F6}"/>
            </a:ext>
          </a:extLst>
        </xdr:cNvPr>
        <xdr:cNvSpPr/>
      </xdr:nvSpPr>
      <xdr:spPr>
        <a:xfrm>
          <a:off x="90064180" y="2946400"/>
          <a:ext cx="440267" cy="190500"/>
        </a:xfrm>
        <a:prstGeom prst="rect">
          <a:avLst/>
        </a:prstGeom>
        <a:gradFill flip="none" rotWithShape="1">
          <a:gsLst>
            <a:gs pos="0">
              <a:srgbClr val="CAE7F1"/>
            </a:gs>
            <a:gs pos="47000">
              <a:srgbClr val="B5C8E9"/>
            </a:gs>
            <a:gs pos="100000">
              <a:srgbClr val="6B7FC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14</xdr:row>
      <xdr:rowOff>0</xdr:rowOff>
    </xdr:from>
    <xdr:to>
      <xdr:col>104</xdr:col>
      <xdr:colOff>4247</xdr:colOff>
      <xdr:row>15</xdr:row>
      <xdr:rowOff>12700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9003C87-19E6-BB4B-A01C-7BB65D413FAA}"/>
            </a:ext>
          </a:extLst>
        </xdr:cNvPr>
        <xdr:cNvSpPr/>
      </xdr:nvSpPr>
      <xdr:spPr>
        <a:xfrm>
          <a:off x="90064180" y="3136900"/>
          <a:ext cx="440267" cy="215900"/>
        </a:xfrm>
        <a:prstGeom prst="rect">
          <a:avLst/>
        </a:prstGeom>
        <a:gradFill flip="none" rotWithShape="1">
          <a:gsLst>
            <a:gs pos="0">
              <a:srgbClr val="0F6B44"/>
            </a:gs>
            <a:gs pos="31000">
              <a:srgbClr val="33B26B"/>
            </a:gs>
            <a:gs pos="65000">
              <a:srgbClr val="55CB7D"/>
            </a:gs>
            <a:gs pos="100000">
              <a:srgbClr val="A9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15</xdr:row>
      <xdr:rowOff>12700</xdr:rowOff>
    </xdr:from>
    <xdr:to>
      <xdr:col>104</xdr:col>
      <xdr:colOff>4247</xdr:colOff>
      <xdr:row>16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1A5A2D-28E9-B548-BDD4-78785BE767A6}"/>
            </a:ext>
          </a:extLst>
        </xdr:cNvPr>
        <xdr:cNvSpPr/>
      </xdr:nvSpPr>
      <xdr:spPr>
        <a:xfrm>
          <a:off x="90064180" y="3352800"/>
          <a:ext cx="440267" cy="190500"/>
        </a:xfrm>
        <a:prstGeom prst="rect">
          <a:avLst/>
        </a:prstGeom>
        <a:gradFill flip="none" rotWithShape="1">
          <a:gsLst>
            <a:gs pos="0">
              <a:srgbClr val="9EB456"/>
            </a:gs>
            <a:gs pos="47000">
              <a:srgbClr val="D8F0A8"/>
            </a:gs>
            <a:gs pos="100000">
              <a:srgbClr val="3863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16</xdr:row>
      <xdr:rowOff>12700</xdr:rowOff>
    </xdr:from>
    <xdr:to>
      <xdr:col>104</xdr:col>
      <xdr:colOff>4247</xdr:colOff>
      <xdr:row>17</xdr:row>
      <xdr:rowOff>38100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C2E976C-7438-A94D-85BA-8E64472F7C57}"/>
            </a:ext>
          </a:extLst>
        </xdr:cNvPr>
        <xdr:cNvSpPr/>
      </xdr:nvSpPr>
      <xdr:spPr>
        <a:xfrm>
          <a:off x="90064180" y="3556000"/>
          <a:ext cx="440267" cy="228600"/>
        </a:xfrm>
        <a:prstGeom prst="rect">
          <a:avLst/>
        </a:prstGeom>
        <a:gradFill flip="none" rotWithShape="1">
          <a:gsLst>
            <a:gs pos="0">
              <a:srgbClr val="635209"/>
            </a:gs>
            <a:gs pos="47000">
              <a:srgbClr val="8A7B4E"/>
            </a:gs>
            <a:gs pos="100000">
              <a:srgbClr val="AFA8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17</xdr:row>
      <xdr:rowOff>12700</xdr:rowOff>
    </xdr:from>
    <xdr:to>
      <xdr:col>104</xdr:col>
      <xdr:colOff>4247</xdr:colOff>
      <xdr:row>18</xdr:row>
      <xdr:rowOff>12700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A371349-FAE7-044D-8E41-CB10A31E8DB0}"/>
            </a:ext>
          </a:extLst>
        </xdr:cNvPr>
        <xdr:cNvSpPr/>
      </xdr:nvSpPr>
      <xdr:spPr>
        <a:xfrm>
          <a:off x="90064180" y="3759200"/>
          <a:ext cx="440267" cy="203200"/>
        </a:xfrm>
        <a:prstGeom prst="rect">
          <a:avLst/>
        </a:prstGeom>
        <a:gradFill flip="none" rotWithShape="1">
          <a:gsLst>
            <a:gs pos="0">
              <a:srgbClr val="FC8A0F"/>
            </a:gs>
            <a:gs pos="47000">
              <a:srgbClr val="FDAF3C"/>
            </a:gs>
            <a:gs pos="100000">
              <a:srgbClr val="FC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18</xdr:row>
      <xdr:rowOff>12700</xdr:rowOff>
    </xdr:from>
    <xdr:to>
      <xdr:col>104</xdr:col>
      <xdr:colOff>4247</xdr:colOff>
      <xdr:row>19</xdr:row>
      <xdr:rowOff>11100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0DDC87A-EEAF-8045-A241-C8149F5FD35A}"/>
            </a:ext>
          </a:extLst>
        </xdr:cNvPr>
        <xdr:cNvSpPr/>
      </xdr:nvSpPr>
      <xdr:spPr>
        <a:xfrm>
          <a:off x="90064180" y="3962400"/>
          <a:ext cx="440267" cy="201600"/>
        </a:xfrm>
        <a:prstGeom prst="rect">
          <a:avLst/>
        </a:prstGeom>
        <a:gradFill flip="none" rotWithShape="1">
          <a:gsLst>
            <a:gs pos="0">
              <a:srgbClr val="FC6620"/>
            </a:gs>
            <a:gs pos="47000">
              <a:srgbClr val="FEA370"/>
            </a:gs>
            <a:gs pos="100000">
              <a:srgbClr val="FAAC5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19</xdr:row>
      <xdr:rowOff>12700</xdr:rowOff>
    </xdr:from>
    <xdr:to>
      <xdr:col>104</xdr:col>
      <xdr:colOff>4247</xdr:colOff>
      <xdr:row>20</xdr:row>
      <xdr:rowOff>12700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C9C82EE-5A44-854C-AB96-502E15BADB73}"/>
            </a:ext>
          </a:extLst>
        </xdr:cNvPr>
        <xdr:cNvSpPr/>
      </xdr:nvSpPr>
      <xdr:spPr>
        <a:xfrm>
          <a:off x="90064180" y="4165600"/>
          <a:ext cx="440267" cy="215900"/>
        </a:xfrm>
        <a:prstGeom prst="rect">
          <a:avLst/>
        </a:prstGeom>
        <a:gradFill flip="none" rotWithShape="1">
          <a:gsLst>
            <a:gs pos="0">
              <a:srgbClr val="F80C01"/>
            </a:gs>
            <a:gs pos="47000">
              <a:srgbClr val="FFC2AD"/>
            </a:gs>
            <a:gs pos="100000">
              <a:srgbClr val="FE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20</xdr:row>
      <xdr:rowOff>0</xdr:rowOff>
    </xdr:from>
    <xdr:to>
      <xdr:col>104</xdr:col>
      <xdr:colOff>4247</xdr:colOff>
      <xdr:row>21</xdr:row>
      <xdr:rowOff>25400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87E1F54-82D1-CB42-A386-FD3676DB26CB}"/>
            </a:ext>
          </a:extLst>
        </xdr:cNvPr>
        <xdr:cNvSpPr/>
      </xdr:nvSpPr>
      <xdr:spPr>
        <a:xfrm>
          <a:off x="90064180" y="4368800"/>
          <a:ext cx="440267" cy="241300"/>
        </a:xfrm>
        <a:prstGeom prst="rect">
          <a:avLst/>
        </a:prstGeom>
        <a:gradFill flip="none" rotWithShape="1">
          <a:gsLst>
            <a:gs pos="0">
              <a:srgbClr val="935026"/>
            </a:gs>
            <a:gs pos="47000">
              <a:srgbClr val="B26921"/>
            </a:gs>
            <a:gs pos="100000">
              <a:srgbClr val="D188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21</xdr:row>
      <xdr:rowOff>12700</xdr:rowOff>
    </xdr:from>
    <xdr:to>
      <xdr:col>104</xdr:col>
      <xdr:colOff>4247</xdr:colOff>
      <xdr:row>22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8B5C689-4C8B-3645-8EE1-307E2CDAC61D}"/>
            </a:ext>
          </a:extLst>
        </xdr:cNvPr>
        <xdr:cNvSpPr/>
      </xdr:nvSpPr>
      <xdr:spPr>
        <a:xfrm>
          <a:off x="90064180" y="4597400"/>
          <a:ext cx="440267" cy="228600"/>
        </a:xfrm>
        <a:prstGeom prst="rect">
          <a:avLst/>
        </a:prstGeom>
        <a:gradFill flip="none" rotWithShape="1">
          <a:gsLst>
            <a:gs pos="0">
              <a:srgbClr val="905231"/>
            </a:gs>
            <a:gs pos="47000">
              <a:srgbClr val="C8855A"/>
            </a:gs>
            <a:gs pos="100000">
              <a:srgbClr val="F3DE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22</xdr:row>
      <xdr:rowOff>0</xdr:rowOff>
    </xdr:from>
    <xdr:to>
      <xdr:col>104</xdr:col>
      <xdr:colOff>4247</xdr:colOff>
      <xdr:row>23</xdr:row>
      <xdr:rowOff>12700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903F2A5-31A7-B14F-9799-7D7C99AA569B}"/>
            </a:ext>
          </a:extLst>
        </xdr:cNvPr>
        <xdr:cNvSpPr/>
      </xdr:nvSpPr>
      <xdr:spPr>
        <a:xfrm>
          <a:off x="90064180" y="4787900"/>
          <a:ext cx="440267" cy="215900"/>
        </a:xfrm>
        <a:prstGeom prst="rect">
          <a:avLst/>
        </a:prstGeom>
        <a:gradFill flip="none" rotWithShape="1">
          <a:gsLst>
            <a:gs pos="0">
              <a:srgbClr val="F7CAB1"/>
            </a:gs>
            <a:gs pos="46000">
              <a:srgbClr val="912F25"/>
            </a:gs>
            <a:gs pos="100000">
              <a:srgbClr val="A941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23</xdr:row>
      <xdr:rowOff>12700</xdr:rowOff>
    </xdr:from>
    <xdr:to>
      <xdr:col>104</xdr:col>
      <xdr:colOff>4247</xdr:colOff>
      <xdr:row>23</xdr:row>
      <xdr:rowOff>203200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524BF1D-8FBC-3D48-850B-ADE89112F797}"/>
            </a:ext>
          </a:extLst>
        </xdr:cNvPr>
        <xdr:cNvSpPr/>
      </xdr:nvSpPr>
      <xdr:spPr>
        <a:xfrm>
          <a:off x="90064180" y="5003800"/>
          <a:ext cx="440267" cy="190500"/>
        </a:xfrm>
        <a:prstGeom prst="rect">
          <a:avLst/>
        </a:prstGeom>
        <a:gradFill flip="none" rotWithShape="1">
          <a:gsLst>
            <a:gs pos="0">
              <a:srgbClr val="B1AEB8"/>
            </a:gs>
            <a:gs pos="47000">
              <a:srgbClr val="4A4749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8480</xdr:colOff>
      <xdr:row>16</xdr:row>
      <xdr:rowOff>0</xdr:rowOff>
    </xdr:from>
    <xdr:to>
      <xdr:col>109</xdr:col>
      <xdr:colOff>4247</xdr:colOff>
      <xdr:row>17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33620D1-FE4E-AF4C-A165-A6426F73E807}"/>
            </a:ext>
          </a:extLst>
        </xdr:cNvPr>
        <xdr:cNvSpPr/>
      </xdr:nvSpPr>
      <xdr:spPr>
        <a:xfrm>
          <a:off x="94407580" y="3543300"/>
          <a:ext cx="440267" cy="203200"/>
        </a:xfrm>
        <a:prstGeom prst="rect">
          <a:avLst/>
        </a:prstGeom>
        <a:gradFill flip="none" rotWithShape="1">
          <a:gsLst>
            <a:gs pos="0">
              <a:srgbClr val="A8E1E6"/>
            </a:gs>
            <a:gs pos="31000">
              <a:srgbClr val="A6E3E4"/>
            </a:gs>
            <a:gs pos="65000">
              <a:srgbClr val="CBC959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8480</xdr:colOff>
      <xdr:row>17</xdr:row>
      <xdr:rowOff>0</xdr:rowOff>
    </xdr:from>
    <xdr:to>
      <xdr:col>109</xdr:col>
      <xdr:colOff>4247</xdr:colOff>
      <xdr:row>18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A216BAF-6FC3-2D43-B20C-321113EFF503}"/>
            </a:ext>
          </a:extLst>
        </xdr:cNvPr>
        <xdr:cNvSpPr/>
      </xdr:nvSpPr>
      <xdr:spPr>
        <a:xfrm>
          <a:off x="94407580" y="3746500"/>
          <a:ext cx="440267" cy="203200"/>
        </a:xfrm>
        <a:prstGeom prst="rect">
          <a:avLst/>
        </a:prstGeom>
        <a:gradFill flip="none" rotWithShape="1">
          <a:gsLst>
            <a:gs pos="0">
              <a:srgbClr val="C01C49"/>
            </a:gs>
            <a:gs pos="31000">
              <a:srgbClr val="A6E3E4"/>
            </a:gs>
            <a:gs pos="65000">
              <a:srgbClr val="FC8A0F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0</xdr:colOff>
      <xdr:row>27</xdr:row>
      <xdr:rowOff>12700</xdr:rowOff>
    </xdr:from>
    <xdr:to>
      <xdr:col>108</xdr:col>
      <xdr:colOff>446200</xdr:colOff>
      <xdr:row>27</xdr:row>
      <xdr:rowOff>201600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E15BA34-E3A6-AB40-8CA4-7B7E6D3BEDE9}"/>
            </a:ext>
          </a:extLst>
        </xdr:cNvPr>
        <xdr:cNvSpPr/>
      </xdr:nvSpPr>
      <xdr:spPr>
        <a:xfrm>
          <a:off x="94399100" y="58420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6</xdr:row>
      <xdr:rowOff>12700</xdr:rowOff>
    </xdr:from>
    <xdr:to>
      <xdr:col>118</xdr:col>
      <xdr:colOff>446200</xdr:colOff>
      <xdr:row>7</xdr:row>
      <xdr:rowOff>12700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A8D0F3D-953A-CE42-B7DC-FDD0B3A648EF}"/>
            </a:ext>
          </a:extLst>
        </xdr:cNvPr>
        <xdr:cNvSpPr/>
      </xdr:nvSpPr>
      <xdr:spPr>
        <a:xfrm>
          <a:off x="103085900" y="1511300"/>
          <a:ext cx="446200" cy="2032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10</xdr:row>
      <xdr:rowOff>0</xdr:rowOff>
    </xdr:from>
    <xdr:to>
      <xdr:col>118</xdr:col>
      <xdr:colOff>446200</xdr:colOff>
      <xdr:row>11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8FF37AE-CD55-A646-8069-501348B56899}"/>
            </a:ext>
          </a:extLst>
        </xdr:cNvPr>
        <xdr:cNvSpPr/>
      </xdr:nvSpPr>
      <xdr:spPr>
        <a:xfrm>
          <a:off x="103085900" y="2324100"/>
          <a:ext cx="4462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9</xdr:row>
      <xdr:rowOff>12700</xdr:rowOff>
    </xdr:from>
    <xdr:to>
      <xdr:col>118</xdr:col>
      <xdr:colOff>446200</xdr:colOff>
      <xdr:row>9</xdr:row>
      <xdr:rowOff>201600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3EDDF87-BEDB-3646-88C5-50E749B0FEC8}"/>
            </a:ext>
          </a:extLst>
        </xdr:cNvPr>
        <xdr:cNvSpPr/>
      </xdr:nvSpPr>
      <xdr:spPr>
        <a:xfrm>
          <a:off x="103085900" y="21336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12</xdr:row>
      <xdr:rowOff>0</xdr:rowOff>
    </xdr:from>
    <xdr:to>
      <xdr:col>118</xdr:col>
      <xdr:colOff>446200</xdr:colOff>
      <xdr:row>12</xdr:row>
      <xdr:rowOff>201600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E815865-EDF2-1A48-8DCA-3CC8588FC6F4}"/>
            </a:ext>
          </a:extLst>
        </xdr:cNvPr>
        <xdr:cNvSpPr/>
      </xdr:nvSpPr>
      <xdr:spPr>
        <a:xfrm>
          <a:off x="103085900" y="2730500"/>
          <a:ext cx="4462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9674</xdr:colOff>
      <xdr:row>18</xdr:row>
      <xdr:rowOff>9676</xdr:rowOff>
    </xdr:from>
    <xdr:to>
      <xdr:col>119</xdr:col>
      <xdr:colOff>8465</xdr:colOff>
      <xdr:row>19</xdr:row>
      <xdr:rowOff>16933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EC5B5A1-38C0-5447-9351-67195288580C}"/>
            </a:ext>
          </a:extLst>
        </xdr:cNvPr>
        <xdr:cNvSpPr/>
      </xdr:nvSpPr>
      <xdr:spPr>
        <a:xfrm>
          <a:off x="103095574" y="3959376"/>
          <a:ext cx="443291" cy="210457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7</xdr:row>
      <xdr:rowOff>12700</xdr:rowOff>
    </xdr:from>
    <xdr:to>
      <xdr:col>118</xdr:col>
      <xdr:colOff>446200</xdr:colOff>
      <xdr:row>8</xdr:row>
      <xdr:rowOff>11100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29786B1-B3EE-A848-A0EB-DF1393E6C4AB}"/>
            </a:ext>
          </a:extLst>
        </xdr:cNvPr>
        <xdr:cNvSpPr/>
      </xdr:nvSpPr>
      <xdr:spPr>
        <a:xfrm>
          <a:off x="103085900" y="1714500"/>
          <a:ext cx="446200" cy="2143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8</xdr:row>
      <xdr:rowOff>12700</xdr:rowOff>
    </xdr:from>
    <xdr:to>
      <xdr:col>118</xdr:col>
      <xdr:colOff>446200</xdr:colOff>
      <xdr:row>9</xdr:row>
      <xdr:rowOff>12700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8C448A4-4BA3-D14A-B61A-CD0514EF0CF8}"/>
            </a:ext>
          </a:extLst>
        </xdr:cNvPr>
        <xdr:cNvSpPr/>
      </xdr:nvSpPr>
      <xdr:spPr>
        <a:xfrm>
          <a:off x="103085900" y="1930400"/>
          <a:ext cx="4462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11</xdr:row>
      <xdr:rowOff>0</xdr:rowOff>
    </xdr:from>
    <xdr:to>
      <xdr:col>118</xdr:col>
      <xdr:colOff>446200</xdr:colOff>
      <xdr:row>12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AF7243B-ED92-F14D-ABD3-111F5063F365}"/>
            </a:ext>
          </a:extLst>
        </xdr:cNvPr>
        <xdr:cNvSpPr/>
      </xdr:nvSpPr>
      <xdr:spPr>
        <a:xfrm>
          <a:off x="103085900" y="2527300"/>
          <a:ext cx="4462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13</xdr:row>
      <xdr:rowOff>0</xdr:rowOff>
    </xdr:from>
    <xdr:to>
      <xdr:col>118</xdr:col>
      <xdr:colOff>446200</xdr:colOff>
      <xdr:row>14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DF2A49C-9A0F-8D42-BF19-5B0CC89F12FC}"/>
            </a:ext>
          </a:extLst>
        </xdr:cNvPr>
        <xdr:cNvSpPr/>
      </xdr:nvSpPr>
      <xdr:spPr>
        <a:xfrm>
          <a:off x="103085900" y="2933700"/>
          <a:ext cx="4462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14</xdr:row>
      <xdr:rowOff>0</xdr:rowOff>
    </xdr:from>
    <xdr:to>
      <xdr:col>118</xdr:col>
      <xdr:colOff>446200</xdr:colOff>
      <xdr:row>14</xdr:row>
      <xdr:rowOff>201600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C461E0E-0898-D34F-820C-17560B076BF7}"/>
            </a:ext>
          </a:extLst>
        </xdr:cNvPr>
        <xdr:cNvSpPr/>
      </xdr:nvSpPr>
      <xdr:spPr>
        <a:xfrm>
          <a:off x="103085900" y="3136900"/>
          <a:ext cx="44620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15</xdr:row>
      <xdr:rowOff>0</xdr:rowOff>
    </xdr:from>
    <xdr:to>
      <xdr:col>118</xdr:col>
      <xdr:colOff>446200</xdr:colOff>
      <xdr:row>16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99CB071-2F7D-F04A-B5C2-C60EAA65CA76}"/>
            </a:ext>
          </a:extLst>
        </xdr:cNvPr>
        <xdr:cNvSpPr/>
      </xdr:nvSpPr>
      <xdr:spPr>
        <a:xfrm>
          <a:off x="103085900" y="3340100"/>
          <a:ext cx="4462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16</xdr:row>
      <xdr:rowOff>0</xdr:rowOff>
    </xdr:from>
    <xdr:to>
      <xdr:col>118</xdr:col>
      <xdr:colOff>446200</xdr:colOff>
      <xdr:row>17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28205E0-01BB-4046-8552-5D5E11103882}"/>
            </a:ext>
          </a:extLst>
        </xdr:cNvPr>
        <xdr:cNvSpPr/>
      </xdr:nvSpPr>
      <xdr:spPr>
        <a:xfrm>
          <a:off x="103085900" y="3543300"/>
          <a:ext cx="4462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17</xdr:row>
      <xdr:rowOff>0</xdr:rowOff>
    </xdr:from>
    <xdr:to>
      <xdr:col>118</xdr:col>
      <xdr:colOff>446200</xdr:colOff>
      <xdr:row>18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DA0779B-F643-6A41-ABF7-EC28EA55CBC7}"/>
            </a:ext>
          </a:extLst>
        </xdr:cNvPr>
        <xdr:cNvSpPr/>
      </xdr:nvSpPr>
      <xdr:spPr>
        <a:xfrm>
          <a:off x="103085900" y="3746500"/>
          <a:ext cx="4462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19</xdr:row>
      <xdr:rowOff>0</xdr:rowOff>
    </xdr:from>
    <xdr:to>
      <xdr:col>118</xdr:col>
      <xdr:colOff>446200</xdr:colOff>
      <xdr:row>19</xdr:row>
      <xdr:rowOff>201600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042F98B-A6AB-A04D-AA88-78E85590080D}"/>
            </a:ext>
          </a:extLst>
        </xdr:cNvPr>
        <xdr:cNvSpPr/>
      </xdr:nvSpPr>
      <xdr:spPr>
        <a:xfrm>
          <a:off x="103085900" y="4152900"/>
          <a:ext cx="446200" cy="2016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19</xdr:row>
      <xdr:rowOff>190500</xdr:rowOff>
    </xdr:from>
    <xdr:to>
      <xdr:col>118</xdr:col>
      <xdr:colOff>446200</xdr:colOff>
      <xdr:row>21</xdr:row>
      <xdr:rowOff>38100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B7B7901-C41A-884E-933F-BAE696732281}"/>
            </a:ext>
          </a:extLst>
        </xdr:cNvPr>
        <xdr:cNvSpPr/>
      </xdr:nvSpPr>
      <xdr:spPr>
        <a:xfrm>
          <a:off x="103085900" y="4343400"/>
          <a:ext cx="446200" cy="2794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21</xdr:row>
      <xdr:rowOff>12700</xdr:rowOff>
    </xdr:from>
    <xdr:to>
      <xdr:col>118</xdr:col>
      <xdr:colOff>446200</xdr:colOff>
      <xdr:row>22</xdr:row>
      <xdr:rowOff>12700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FF8F6EC-AD78-3748-96D9-FEA9CFE8F422}"/>
            </a:ext>
          </a:extLst>
        </xdr:cNvPr>
        <xdr:cNvSpPr/>
      </xdr:nvSpPr>
      <xdr:spPr>
        <a:xfrm>
          <a:off x="103085900" y="4597400"/>
          <a:ext cx="4462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23</xdr:row>
      <xdr:rowOff>12700</xdr:rowOff>
    </xdr:from>
    <xdr:to>
      <xdr:col>118</xdr:col>
      <xdr:colOff>446200</xdr:colOff>
      <xdr:row>24</xdr:row>
      <xdr:rowOff>12700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904862F-F8E3-1545-8634-07AC2C95E627}"/>
            </a:ext>
          </a:extLst>
        </xdr:cNvPr>
        <xdr:cNvSpPr/>
      </xdr:nvSpPr>
      <xdr:spPr>
        <a:xfrm>
          <a:off x="103085900" y="5003800"/>
          <a:ext cx="446200" cy="2159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22</xdr:row>
      <xdr:rowOff>12700</xdr:rowOff>
    </xdr:from>
    <xdr:to>
      <xdr:col>118</xdr:col>
      <xdr:colOff>446200</xdr:colOff>
      <xdr:row>23</xdr:row>
      <xdr:rowOff>12700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F256371-A542-064D-8CCB-775BC1942843}"/>
            </a:ext>
          </a:extLst>
        </xdr:cNvPr>
        <xdr:cNvSpPr/>
      </xdr:nvSpPr>
      <xdr:spPr>
        <a:xfrm>
          <a:off x="103085900" y="4800600"/>
          <a:ext cx="4462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8465</xdr:colOff>
      <xdr:row>25</xdr:row>
      <xdr:rowOff>190500</xdr:rowOff>
    </xdr:from>
    <xdr:to>
      <xdr:col>119</xdr:col>
      <xdr:colOff>10165</xdr:colOff>
      <xdr:row>26</xdr:row>
      <xdr:rowOff>201600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EC270140-7BC6-D54B-B424-F1DA45763501}"/>
            </a:ext>
          </a:extLst>
        </xdr:cNvPr>
        <xdr:cNvSpPr/>
      </xdr:nvSpPr>
      <xdr:spPr>
        <a:xfrm>
          <a:off x="103094365" y="5600700"/>
          <a:ext cx="446200" cy="2143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8465</xdr:colOff>
      <xdr:row>25</xdr:row>
      <xdr:rowOff>0</xdr:rowOff>
    </xdr:from>
    <xdr:to>
      <xdr:col>119</xdr:col>
      <xdr:colOff>10165</xdr:colOff>
      <xdr:row>25</xdr:row>
      <xdr:rowOff>201600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1A0E0FF-BB8D-CD4C-9F98-C8735935F832}"/>
            </a:ext>
          </a:extLst>
        </xdr:cNvPr>
        <xdr:cNvSpPr/>
      </xdr:nvSpPr>
      <xdr:spPr>
        <a:xfrm>
          <a:off x="103094365" y="5410200"/>
          <a:ext cx="4462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8465</xdr:colOff>
      <xdr:row>24</xdr:row>
      <xdr:rowOff>4234</xdr:rowOff>
    </xdr:from>
    <xdr:to>
      <xdr:col>119</xdr:col>
      <xdr:colOff>10165</xdr:colOff>
      <xdr:row>25</xdr:row>
      <xdr:rowOff>2634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87CBA55-0DD9-E347-8F68-FCBA673A64D8}"/>
            </a:ext>
          </a:extLst>
        </xdr:cNvPr>
        <xdr:cNvSpPr/>
      </xdr:nvSpPr>
      <xdr:spPr>
        <a:xfrm>
          <a:off x="103094365" y="5211234"/>
          <a:ext cx="446200" cy="201600"/>
        </a:xfrm>
        <a:prstGeom prst="rect">
          <a:avLst/>
        </a:prstGeom>
        <a:gradFill flip="none" rotWithShape="1">
          <a:gsLst>
            <a:gs pos="0">
              <a:srgbClr val="C83A23"/>
            </a:gs>
            <a:gs pos="47000">
              <a:srgbClr val="F46440"/>
            </a:gs>
            <a:gs pos="100000">
              <a:srgbClr val="F9875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12</xdr:row>
      <xdr:rowOff>0</xdr:rowOff>
    </xdr:from>
    <xdr:to>
      <xdr:col>124</xdr:col>
      <xdr:colOff>10165</xdr:colOff>
      <xdr:row>12</xdr:row>
      <xdr:rowOff>201600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FF6C5B9-90A2-3549-8A6A-94AA11D2E5C4}"/>
            </a:ext>
          </a:extLst>
        </xdr:cNvPr>
        <xdr:cNvSpPr/>
      </xdr:nvSpPr>
      <xdr:spPr>
        <a:xfrm>
          <a:off x="107437765" y="2730500"/>
          <a:ext cx="4462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18</xdr:row>
      <xdr:rowOff>0</xdr:rowOff>
    </xdr:from>
    <xdr:to>
      <xdr:col>124</xdr:col>
      <xdr:colOff>10165</xdr:colOff>
      <xdr:row>18</xdr:row>
      <xdr:rowOff>201600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4B5162D-6211-D145-8045-2BD97B2EA0A3}"/>
            </a:ext>
          </a:extLst>
        </xdr:cNvPr>
        <xdr:cNvSpPr/>
      </xdr:nvSpPr>
      <xdr:spPr>
        <a:xfrm>
          <a:off x="107437765" y="3949700"/>
          <a:ext cx="4462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19</xdr:row>
      <xdr:rowOff>0</xdr:rowOff>
    </xdr:from>
    <xdr:to>
      <xdr:col>124</xdr:col>
      <xdr:colOff>10165</xdr:colOff>
      <xdr:row>20</xdr:row>
      <xdr:rowOff>50800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E43E93E-D560-544C-B141-F801EC064050}"/>
            </a:ext>
          </a:extLst>
        </xdr:cNvPr>
        <xdr:cNvSpPr/>
      </xdr:nvSpPr>
      <xdr:spPr>
        <a:xfrm>
          <a:off x="107437765" y="4152900"/>
          <a:ext cx="446200" cy="2667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20</xdr:row>
      <xdr:rowOff>0</xdr:rowOff>
    </xdr:from>
    <xdr:to>
      <xdr:col>124</xdr:col>
      <xdr:colOff>10165</xdr:colOff>
      <xdr:row>21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9FB4B6F-A8BB-E046-B982-F61E2D7AA910}"/>
            </a:ext>
          </a:extLst>
        </xdr:cNvPr>
        <xdr:cNvSpPr/>
      </xdr:nvSpPr>
      <xdr:spPr>
        <a:xfrm>
          <a:off x="107437765" y="4368800"/>
          <a:ext cx="446200" cy="2159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6</xdr:row>
      <xdr:rowOff>0</xdr:rowOff>
    </xdr:from>
    <xdr:to>
      <xdr:col>124</xdr:col>
      <xdr:colOff>10165</xdr:colOff>
      <xdr:row>7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CF65E76-9F48-DD49-80E9-A2FB2F7B85B9}"/>
            </a:ext>
          </a:extLst>
        </xdr:cNvPr>
        <xdr:cNvSpPr/>
      </xdr:nvSpPr>
      <xdr:spPr>
        <a:xfrm>
          <a:off x="107437765" y="1498600"/>
          <a:ext cx="4462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7</xdr:row>
      <xdr:rowOff>0</xdr:rowOff>
    </xdr:from>
    <xdr:to>
      <xdr:col>124</xdr:col>
      <xdr:colOff>10165</xdr:colOff>
      <xdr:row>8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9C105FC-19EB-C04F-9F49-05275CCE5C93}"/>
            </a:ext>
          </a:extLst>
        </xdr:cNvPr>
        <xdr:cNvSpPr/>
      </xdr:nvSpPr>
      <xdr:spPr>
        <a:xfrm>
          <a:off x="107437765" y="1701800"/>
          <a:ext cx="446200" cy="2159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9</xdr:row>
      <xdr:rowOff>0</xdr:rowOff>
    </xdr:from>
    <xdr:to>
      <xdr:col>124</xdr:col>
      <xdr:colOff>10165</xdr:colOff>
      <xdr:row>10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CDAB907-76B0-B843-9DA2-807E673A6392}"/>
            </a:ext>
          </a:extLst>
        </xdr:cNvPr>
        <xdr:cNvSpPr/>
      </xdr:nvSpPr>
      <xdr:spPr>
        <a:xfrm>
          <a:off x="107437765" y="2120900"/>
          <a:ext cx="4462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8</xdr:row>
      <xdr:rowOff>0</xdr:rowOff>
    </xdr:from>
    <xdr:to>
      <xdr:col>124</xdr:col>
      <xdr:colOff>10165</xdr:colOff>
      <xdr:row>8</xdr:row>
      <xdr:rowOff>201600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E4D8F628-BD55-8E4E-ACE5-8FDEB53B7B90}"/>
            </a:ext>
          </a:extLst>
        </xdr:cNvPr>
        <xdr:cNvSpPr/>
      </xdr:nvSpPr>
      <xdr:spPr>
        <a:xfrm>
          <a:off x="107437765" y="1917700"/>
          <a:ext cx="4462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10</xdr:row>
      <xdr:rowOff>0</xdr:rowOff>
    </xdr:from>
    <xdr:to>
      <xdr:col>124</xdr:col>
      <xdr:colOff>10165</xdr:colOff>
      <xdr:row>11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D97E705-139A-0C48-B304-7088C7CD104A}"/>
            </a:ext>
          </a:extLst>
        </xdr:cNvPr>
        <xdr:cNvSpPr/>
      </xdr:nvSpPr>
      <xdr:spPr>
        <a:xfrm>
          <a:off x="107437765" y="2324100"/>
          <a:ext cx="4462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11</xdr:row>
      <xdr:rowOff>0</xdr:rowOff>
    </xdr:from>
    <xdr:to>
      <xdr:col>124</xdr:col>
      <xdr:colOff>10165</xdr:colOff>
      <xdr:row>12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ACB6956-B8DA-5D45-B5D1-D3ABC99302AF}"/>
            </a:ext>
          </a:extLst>
        </xdr:cNvPr>
        <xdr:cNvSpPr/>
      </xdr:nvSpPr>
      <xdr:spPr>
        <a:xfrm>
          <a:off x="107437765" y="2527300"/>
          <a:ext cx="4462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13</xdr:row>
      <xdr:rowOff>0</xdr:rowOff>
    </xdr:from>
    <xdr:to>
      <xdr:col>124</xdr:col>
      <xdr:colOff>10165</xdr:colOff>
      <xdr:row>14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4F584D3C-EACE-5348-997D-1CA59226CC0F}"/>
            </a:ext>
          </a:extLst>
        </xdr:cNvPr>
        <xdr:cNvSpPr/>
      </xdr:nvSpPr>
      <xdr:spPr>
        <a:xfrm>
          <a:off x="107437765" y="2933700"/>
          <a:ext cx="4462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14</xdr:row>
      <xdr:rowOff>0</xdr:rowOff>
    </xdr:from>
    <xdr:to>
      <xdr:col>124</xdr:col>
      <xdr:colOff>10165</xdr:colOff>
      <xdr:row>15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0F614FB-9BDE-8E4E-8164-8758BFB7C66B}"/>
            </a:ext>
          </a:extLst>
        </xdr:cNvPr>
        <xdr:cNvSpPr/>
      </xdr:nvSpPr>
      <xdr:spPr>
        <a:xfrm>
          <a:off x="107437765" y="3136900"/>
          <a:ext cx="4462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15</xdr:row>
      <xdr:rowOff>0</xdr:rowOff>
    </xdr:from>
    <xdr:to>
      <xdr:col>124</xdr:col>
      <xdr:colOff>10165</xdr:colOff>
      <xdr:row>16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E6C6369-1AFC-B34F-83B8-86EB0551F902}"/>
            </a:ext>
          </a:extLst>
        </xdr:cNvPr>
        <xdr:cNvSpPr/>
      </xdr:nvSpPr>
      <xdr:spPr>
        <a:xfrm>
          <a:off x="107437765" y="3340100"/>
          <a:ext cx="4462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16</xdr:row>
      <xdr:rowOff>0</xdr:rowOff>
    </xdr:from>
    <xdr:to>
      <xdr:col>124</xdr:col>
      <xdr:colOff>10165</xdr:colOff>
      <xdr:row>17</xdr:row>
      <xdr:rowOff>50800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39B9DBD-9F37-D249-A329-41CE0162626D}"/>
            </a:ext>
          </a:extLst>
        </xdr:cNvPr>
        <xdr:cNvSpPr/>
      </xdr:nvSpPr>
      <xdr:spPr>
        <a:xfrm>
          <a:off x="107437765" y="3543300"/>
          <a:ext cx="4462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17</xdr:row>
      <xdr:rowOff>12700</xdr:rowOff>
    </xdr:from>
    <xdr:to>
      <xdr:col>124</xdr:col>
      <xdr:colOff>10165</xdr:colOff>
      <xdr:row>18</xdr:row>
      <xdr:rowOff>12700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512BB7C-1F57-B144-8FCC-D2FF83D6B937}"/>
            </a:ext>
          </a:extLst>
        </xdr:cNvPr>
        <xdr:cNvSpPr/>
      </xdr:nvSpPr>
      <xdr:spPr>
        <a:xfrm>
          <a:off x="107437765" y="3759200"/>
          <a:ext cx="4462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8480</xdr:colOff>
      <xdr:row>521</xdr:row>
      <xdr:rowOff>0</xdr:rowOff>
    </xdr:from>
    <xdr:to>
      <xdr:col>3</xdr:col>
      <xdr:colOff>4247</xdr:colOff>
      <xdr:row>522</xdr:row>
      <xdr:rowOff>12800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06240DDD-9340-4042-BA5A-C4D356B6EC2E}"/>
            </a:ext>
          </a:extLst>
        </xdr:cNvPr>
        <xdr:cNvSpPr/>
      </xdr:nvSpPr>
      <xdr:spPr>
        <a:xfrm>
          <a:off x="31885480" y="8940800"/>
          <a:ext cx="465667" cy="216000"/>
        </a:xfrm>
        <a:prstGeom prst="rect">
          <a:avLst/>
        </a:prstGeom>
        <a:gradFill flip="none" rotWithShape="1">
          <a:gsLst>
            <a:gs pos="0">
              <a:srgbClr val="BF1B48"/>
            </a:gs>
            <a:gs pos="47000">
              <a:srgbClr val="D63F6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522</xdr:row>
      <xdr:rowOff>12700</xdr:rowOff>
    </xdr:from>
    <xdr:to>
      <xdr:col>3</xdr:col>
      <xdr:colOff>4247</xdr:colOff>
      <xdr:row>523</xdr:row>
      <xdr:rowOff>11100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A0544949-B91F-A14C-8E7F-CD2B9DB9C43D}"/>
            </a:ext>
          </a:extLst>
        </xdr:cNvPr>
        <xdr:cNvSpPr/>
      </xdr:nvSpPr>
      <xdr:spPr>
        <a:xfrm>
          <a:off x="31885480" y="9156700"/>
          <a:ext cx="465667" cy="201600"/>
        </a:xfrm>
        <a:prstGeom prst="rect">
          <a:avLst/>
        </a:prstGeom>
        <a:gradFill flip="none" rotWithShape="1">
          <a:gsLst>
            <a:gs pos="0">
              <a:srgbClr val="FC6620"/>
            </a:gs>
            <a:gs pos="47000">
              <a:srgbClr val="FEA370"/>
            </a:gs>
            <a:gs pos="100000">
              <a:srgbClr val="FAAC5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523</xdr:row>
      <xdr:rowOff>12700</xdr:rowOff>
    </xdr:from>
    <xdr:to>
      <xdr:col>3</xdr:col>
      <xdr:colOff>4247</xdr:colOff>
      <xdr:row>524</xdr:row>
      <xdr:rowOff>12700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96725-CA66-F341-ACCE-C41ED702FA20}"/>
            </a:ext>
          </a:extLst>
        </xdr:cNvPr>
        <xdr:cNvSpPr/>
      </xdr:nvSpPr>
      <xdr:spPr>
        <a:xfrm>
          <a:off x="31885480" y="9359900"/>
          <a:ext cx="465667" cy="203200"/>
        </a:xfrm>
        <a:prstGeom prst="rect">
          <a:avLst/>
        </a:prstGeom>
        <a:gradFill flip="none" rotWithShape="1">
          <a:gsLst>
            <a:gs pos="0">
              <a:srgbClr val="EAC5EB"/>
            </a:gs>
            <a:gs pos="31000">
              <a:srgbClr val="9442A7"/>
            </a:gs>
            <a:gs pos="65000">
              <a:srgbClr val="570D5B"/>
            </a:gs>
            <a:gs pos="100000">
              <a:srgbClr val="8A2A8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524</xdr:row>
      <xdr:rowOff>12700</xdr:rowOff>
    </xdr:from>
    <xdr:to>
      <xdr:col>3</xdr:col>
      <xdr:colOff>4247</xdr:colOff>
      <xdr:row>525</xdr:row>
      <xdr:rowOff>12700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EB11B276-4186-604B-8F01-46B03308C8F1}"/>
            </a:ext>
          </a:extLst>
        </xdr:cNvPr>
        <xdr:cNvSpPr/>
      </xdr:nvSpPr>
      <xdr:spPr>
        <a:xfrm>
          <a:off x="31885480" y="9563100"/>
          <a:ext cx="465667" cy="215900"/>
        </a:xfrm>
        <a:prstGeom prst="rect">
          <a:avLst/>
        </a:prstGeom>
        <a:gradFill flip="none" rotWithShape="1">
          <a:gsLst>
            <a:gs pos="0">
              <a:srgbClr val="B1AEB8"/>
            </a:gs>
            <a:gs pos="47000">
              <a:srgbClr val="4A4749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525</xdr:row>
      <xdr:rowOff>12700</xdr:rowOff>
    </xdr:from>
    <xdr:to>
      <xdr:col>3</xdr:col>
      <xdr:colOff>4247</xdr:colOff>
      <xdr:row>526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0BF4A0E6-630A-1C4E-AA43-440DC3E21596}"/>
            </a:ext>
          </a:extLst>
        </xdr:cNvPr>
        <xdr:cNvSpPr/>
      </xdr:nvSpPr>
      <xdr:spPr>
        <a:xfrm>
          <a:off x="31885480" y="9779000"/>
          <a:ext cx="465667" cy="190500"/>
        </a:xfrm>
        <a:prstGeom prst="rect">
          <a:avLst/>
        </a:prstGeom>
        <a:gradFill flip="none" rotWithShape="1">
          <a:gsLst>
            <a:gs pos="0">
              <a:srgbClr val="CAE7F1"/>
            </a:gs>
            <a:gs pos="47000">
              <a:srgbClr val="B5C8E9"/>
            </a:gs>
            <a:gs pos="100000">
              <a:srgbClr val="6B7FC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526</xdr:row>
      <xdr:rowOff>0</xdr:rowOff>
    </xdr:from>
    <xdr:to>
      <xdr:col>3</xdr:col>
      <xdr:colOff>4247</xdr:colOff>
      <xdr:row>527</xdr:row>
      <xdr:rowOff>12700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A6E27CE1-BF46-6743-A2FE-8D6F8E3F4990}"/>
            </a:ext>
          </a:extLst>
        </xdr:cNvPr>
        <xdr:cNvSpPr/>
      </xdr:nvSpPr>
      <xdr:spPr>
        <a:xfrm>
          <a:off x="31885480" y="9969500"/>
          <a:ext cx="465667" cy="215900"/>
        </a:xfrm>
        <a:prstGeom prst="rect">
          <a:avLst/>
        </a:prstGeom>
        <a:gradFill flip="none" rotWithShape="1">
          <a:gsLst>
            <a:gs pos="0">
              <a:srgbClr val="F7CAB1"/>
            </a:gs>
            <a:gs pos="46000">
              <a:srgbClr val="912F25"/>
            </a:gs>
            <a:gs pos="100000">
              <a:srgbClr val="A941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527</xdr:row>
      <xdr:rowOff>12700</xdr:rowOff>
    </xdr:from>
    <xdr:to>
      <xdr:col>3</xdr:col>
      <xdr:colOff>4247</xdr:colOff>
      <xdr:row>528</xdr:row>
      <xdr:rowOff>12700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DA247073-51E0-264C-A4AB-AEF0D7497C20}"/>
            </a:ext>
          </a:extLst>
        </xdr:cNvPr>
        <xdr:cNvSpPr/>
      </xdr:nvSpPr>
      <xdr:spPr>
        <a:xfrm>
          <a:off x="31885480" y="10185400"/>
          <a:ext cx="465667" cy="203200"/>
        </a:xfrm>
        <a:prstGeom prst="rect">
          <a:avLst/>
        </a:prstGeom>
        <a:gradFill flip="none" rotWithShape="1">
          <a:gsLst>
            <a:gs pos="0">
              <a:srgbClr val="FC8A0F"/>
            </a:gs>
            <a:gs pos="47000">
              <a:srgbClr val="FDAF3C"/>
            </a:gs>
            <a:gs pos="100000">
              <a:srgbClr val="FC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528</xdr:row>
      <xdr:rowOff>12700</xdr:rowOff>
    </xdr:from>
    <xdr:to>
      <xdr:col>3</xdr:col>
      <xdr:colOff>4247</xdr:colOff>
      <xdr:row>529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67A11992-0679-1440-B70D-58CDA50E3FD5}"/>
            </a:ext>
          </a:extLst>
        </xdr:cNvPr>
        <xdr:cNvSpPr/>
      </xdr:nvSpPr>
      <xdr:spPr>
        <a:xfrm>
          <a:off x="31885480" y="10388600"/>
          <a:ext cx="465667" cy="190500"/>
        </a:xfrm>
        <a:prstGeom prst="rect">
          <a:avLst/>
        </a:prstGeom>
        <a:gradFill flip="none" rotWithShape="1">
          <a:gsLst>
            <a:gs pos="0">
              <a:srgbClr val="9EB456"/>
            </a:gs>
            <a:gs pos="47000">
              <a:srgbClr val="D8F0A8"/>
            </a:gs>
            <a:gs pos="100000">
              <a:srgbClr val="3863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529</xdr:row>
      <xdr:rowOff>0</xdr:rowOff>
    </xdr:from>
    <xdr:to>
      <xdr:col>3</xdr:col>
      <xdr:colOff>4247</xdr:colOff>
      <xdr:row>530</xdr:row>
      <xdr:rowOff>12700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14D72EC6-78FA-E545-B3E9-AA53F03973C2}"/>
            </a:ext>
          </a:extLst>
        </xdr:cNvPr>
        <xdr:cNvSpPr/>
      </xdr:nvSpPr>
      <xdr:spPr>
        <a:xfrm>
          <a:off x="31885480" y="10579100"/>
          <a:ext cx="465667" cy="215900"/>
        </a:xfrm>
        <a:prstGeom prst="rect">
          <a:avLst/>
        </a:prstGeom>
        <a:gradFill flip="none" rotWithShape="1">
          <a:gsLst>
            <a:gs pos="0">
              <a:srgbClr val="B6C7E9"/>
            </a:gs>
            <a:gs pos="47000">
              <a:srgbClr val="4E5CA7"/>
            </a:gs>
            <a:gs pos="100000">
              <a:srgbClr val="27227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530</xdr:row>
      <xdr:rowOff>12700</xdr:rowOff>
    </xdr:from>
    <xdr:to>
      <xdr:col>3</xdr:col>
      <xdr:colOff>4247</xdr:colOff>
      <xdr:row>531</xdr:row>
      <xdr:rowOff>38100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AB782DD-8370-0147-9F28-F95FC2CA0179}"/>
            </a:ext>
          </a:extLst>
        </xdr:cNvPr>
        <xdr:cNvSpPr/>
      </xdr:nvSpPr>
      <xdr:spPr>
        <a:xfrm>
          <a:off x="31885480" y="10795000"/>
          <a:ext cx="465667" cy="228600"/>
        </a:xfrm>
        <a:prstGeom prst="rect">
          <a:avLst/>
        </a:prstGeom>
        <a:gradFill flip="none" rotWithShape="1">
          <a:gsLst>
            <a:gs pos="0">
              <a:srgbClr val="635209"/>
            </a:gs>
            <a:gs pos="47000">
              <a:srgbClr val="8A7B4E"/>
            </a:gs>
            <a:gs pos="100000">
              <a:srgbClr val="AFA8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531</xdr:row>
      <xdr:rowOff>12700</xdr:rowOff>
    </xdr:from>
    <xdr:to>
      <xdr:col>3</xdr:col>
      <xdr:colOff>4247</xdr:colOff>
      <xdr:row>532</xdr:row>
      <xdr:rowOff>12700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EE1B6445-DEB9-A640-824B-A41C782C03EE}"/>
            </a:ext>
          </a:extLst>
        </xdr:cNvPr>
        <xdr:cNvSpPr/>
      </xdr:nvSpPr>
      <xdr:spPr>
        <a:xfrm>
          <a:off x="31885480" y="10998200"/>
          <a:ext cx="465667" cy="203200"/>
        </a:xfrm>
        <a:prstGeom prst="rect">
          <a:avLst/>
        </a:prstGeom>
        <a:gradFill flip="none" rotWithShape="1">
          <a:gsLst>
            <a:gs pos="0">
              <a:srgbClr val="B4445D"/>
            </a:gs>
            <a:gs pos="47000">
              <a:srgbClr val="FEDEDD"/>
            </a:gs>
            <a:gs pos="100000">
              <a:srgbClr val="7A25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532</xdr:row>
      <xdr:rowOff>25400</xdr:rowOff>
    </xdr:from>
    <xdr:to>
      <xdr:col>3</xdr:col>
      <xdr:colOff>4247</xdr:colOff>
      <xdr:row>532</xdr:row>
      <xdr:rowOff>190500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5ED346C7-BF60-8642-9A69-7D9BDADD5A35}"/>
            </a:ext>
          </a:extLst>
        </xdr:cNvPr>
        <xdr:cNvSpPr/>
      </xdr:nvSpPr>
      <xdr:spPr>
        <a:xfrm>
          <a:off x="2738980" y="107403900"/>
          <a:ext cx="719667" cy="165100"/>
        </a:xfrm>
        <a:prstGeom prst="rect">
          <a:avLst/>
        </a:prstGeom>
        <a:gradFill flip="none" rotWithShape="1">
          <a:gsLst>
            <a:gs pos="0">
              <a:srgbClr val="905231"/>
            </a:gs>
            <a:gs pos="47000">
              <a:srgbClr val="C8855A"/>
            </a:gs>
            <a:gs pos="100000">
              <a:srgbClr val="F3DE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548</xdr:row>
      <xdr:rowOff>0</xdr:rowOff>
    </xdr:from>
    <xdr:to>
      <xdr:col>2</xdr:col>
      <xdr:colOff>465667</xdr:colOff>
      <xdr:row>549</xdr:row>
      <xdr:rowOff>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7C4BD596-1859-6E40-8BD6-0701F70E7F63}"/>
            </a:ext>
          </a:extLst>
        </xdr:cNvPr>
        <xdr:cNvSpPr/>
      </xdr:nvSpPr>
      <xdr:spPr>
        <a:xfrm>
          <a:off x="31877000" y="14274800"/>
          <a:ext cx="465667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534</xdr:row>
      <xdr:rowOff>12700</xdr:rowOff>
    </xdr:from>
    <xdr:to>
      <xdr:col>3</xdr:col>
      <xdr:colOff>4247</xdr:colOff>
      <xdr:row>535</xdr:row>
      <xdr:rowOff>12700</xdr:rowOff>
    </xdr:to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085BBBD0-4096-1048-879B-A4000BF6C094}"/>
            </a:ext>
          </a:extLst>
        </xdr:cNvPr>
        <xdr:cNvSpPr/>
      </xdr:nvSpPr>
      <xdr:spPr>
        <a:xfrm>
          <a:off x="31885480" y="11404600"/>
          <a:ext cx="465667" cy="203200"/>
        </a:xfrm>
        <a:prstGeom prst="rect">
          <a:avLst/>
        </a:prstGeom>
        <a:gradFill flip="none" rotWithShape="1">
          <a:gsLst>
            <a:gs pos="0">
              <a:srgbClr val="F80C01"/>
            </a:gs>
            <a:gs pos="47000">
              <a:srgbClr val="FFC2AD"/>
            </a:gs>
            <a:gs pos="100000">
              <a:srgbClr val="FE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535</xdr:row>
      <xdr:rowOff>12700</xdr:rowOff>
    </xdr:from>
    <xdr:to>
      <xdr:col>3</xdr:col>
      <xdr:colOff>4247</xdr:colOff>
      <xdr:row>536</xdr:row>
      <xdr:rowOff>63500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65D451B-F8B8-D14A-BA0F-4E62C1877401}"/>
            </a:ext>
          </a:extLst>
        </xdr:cNvPr>
        <xdr:cNvSpPr/>
      </xdr:nvSpPr>
      <xdr:spPr>
        <a:xfrm>
          <a:off x="31885480" y="11607800"/>
          <a:ext cx="465667" cy="2540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AC1C36"/>
            </a:gs>
            <a:gs pos="65000">
              <a:srgbClr val="D63E68"/>
            </a:gs>
            <a:gs pos="100000">
              <a:srgbClr val="F793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536</xdr:row>
      <xdr:rowOff>0</xdr:rowOff>
    </xdr:from>
    <xdr:to>
      <xdr:col>3</xdr:col>
      <xdr:colOff>4247</xdr:colOff>
      <xdr:row>537</xdr:row>
      <xdr:rowOff>25400</xdr:rowOff>
    </xdr:to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1285B1ED-C33D-E54D-95EC-C90B171A8EC2}"/>
            </a:ext>
          </a:extLst>
        </xdr:cNvPr>
        <xdr:cNvSpPr/>
      </xdr:nvSpPr>
      <xdr:spPr>
        <a:xfrm>
          <a:off x="31885480" y="11798300"/>
          <a:ext cx="465667" cy="228600"/>
        </a:xfrm>
        <a:prstGeom prst="rect">
          <a:avLst/>
        </a:prstGeom>
        <a:gradFill flip="none" rotWithShape="1">
          <a:gsLst>
            <a:gs pos="0">
              <a:srgbClr val="935026"/>
            </a:gs>
            <a:gs pos="47000">
              <a:srgbClr val="B26921"/>
            </a:gs>
            <a:gs pos="100000">
              <a:srgbClr val="D188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537</xdr:row>
      <xdr:rowOff>0</xdr:rowOff>
    </xdr:from>
    <xdr:to>
      <xdr:col>3</xdr:col>
      <xdr:colOff>4247</xdr:colOff>
      <xdr:row>538</xdr:row>
      <xdr:rowOff>12700</xdr:rowOff>
    </xdr:to>
    <xdr:sp macro="" textlink="">
      <xdr:nvSpPr>
        <xdr:cNvPr id="359" name="Rectangle 358">
          <a:extLst>
            <a:ext uri="{FF2B5EF4-FFF2-40B4-BE49-F238E27FC236}">
              <a16:creationId xmlns:a16="http://schemas.microsoft.com/office/drawing/2014/main" id="{2023CE8D-66EB-E64C-B4CF-11A6CC953340}"/>
            </a:ext>
          </a:extLst>
        </xdr:cNvPr>
        <xdr:cNvSpPr/>
      </xdr:nvSpPr>
      <xdr:spPr>
        <a:xfrm>
          <a:off x="31885480" y="12001500"/>
          <a:ext cx="465667" cy="2159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47000">
              <a:srgbClr val="800934"/>
            </a:gs>
            <a:gs pos="100000">
              <a:srgbClr val="66132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538</xdr:row>
      <xdr:rowOff>0</xdr:rowOff>
    </xdr:from>
    <xdr:to>
      <xdr:col>3</xdr:col>
      <xdr:colOff>4247</xdr:colOff>
      <xdr:row>539</xdr:row>
      <xdr:rowOff>12700</xdr:rowOff>
    </xdr:to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629A8A8D-DF11-6544-B7B8-7865E385178A}"/>
            </a:ext>
          </a:extLst>
        </xdr:cNvPr>
        <xdr:cNvSpPr/>
      </xdr:nvSpPr>
      <xdr:spPr>
        <a:xfrm>
          <a:off x="31885480" y="12204700"/>
          <a:ext cx="465667" cy="215900"/>
        </a:xfrm>
        <a:prstGeom prst="rect">
          <a:avLst/>
        </a:prstGeom>
        <a:gradFill flip="none" rotWithShape="1">
          <a:gsLst>
            <a:gs pos="0">
              <a:srgbClr val="B4B9EA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539</xdr:row>
      <xdr:rowOff>0</xdr:rowOff>
    </xdr:from>
    <xdr:to>
      <xdr:col>3</xdr:col>
      <xdr:colOff>4247</xdr:colOff>
      <xdr:row>540</xdr:row>
      <xdr:rowOff>12700</xdr:rowOff>
    </xdr:to>
    <xdr:sp macro="" textlink="">
      <xdr:nvSpPr>
        <xdr:cNvPr id="361" name="Rectangle 360">
          <a:extLst>
            <a:ext uri="{FF2B5EF4-FFF2-40B4-BE49-F238E27FC236}">
              <a16:creationId xmlns:a16="http://schemas.microsoft.com/office/drawing/2014/main" id="{35BFF434-8970-4649-AC6A-C19E4E783031}"/>
            </a:ext>
          </a:extLst>
        </xdr:cNvPr>
        <xdr:cNvSpPr/>
      </xdr:nvSpPr>
      <xdr:spPr>
        <a:xfrm>
          <a:off x="31885480" y="12407900"/>
          <a:ext cx="465667" cy="215900"/>
        </a:xfrm>
        <a:prstGeom prst="rect">
          <a:avLst/>
        </a:prstGeom>
        <a:gradFill flip="none" rotWithShape="1">
          <a:gsLst>
            <a:gs pos="0">
              <a:srgbClr val="0F6B44"/>
            </a:gs>
            <a:gs pos="31000">
              <a:srgbClr val="33B26B"/>
            </a:gs>
            <a:gs pos="65000">
              <a:srgbClr val="55CB7D"/>
            </a:gs>
            <a:gs pos="100000">
              <a:srgbClr val="A9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542</xdr:row>
      <xdr:rowOff>12700</xdr:rowOff>
    </xdr:from>
    <xdr:to>
      <xdr:col>3</xdr:col>
      <xdr:colOff>8467</xdr:colOff>
      <xdr:row>543</xdr:row>
      <xdr:rowOff>0</xdr:rowOff>
    </xdr:to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43B3424F-4D87-5747-B885-CCCE0E70E761}"/>
            </a:ext>
          </a:extLst>
        </xdr:cNvPr>
        <xdr:cNvSpPr/>
      </xdr:nvSpPr>
      <xdr:spPr>
        <a:xfrm>
          <a:off x="31889700" y="13030200"/>
          <a:ext cx="465667" cy="203200"/>
        </a:xfrm>
        <a:prstGeom prst="rect">
          <a:avLst/>
        </a:prstGeom>
        <a:gradFill flip="none" rotWithShape="1">
          <a:gsLst>
            <a:gs pos="100000">
              <a:srgbClr val="FFFF00"/>
            </a:gs>
            <a:gs pos="25000">
              <a:srgbClr val="C83940"/>
            </a:gs>
            <a:gs pos="52000">
              <a:srgbClr val="FFFF00"/>
            </a:gs>
            <a:gs pos="76000">
              <a:srgbClr val="92D050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543</xdr:row>
      <xdr:rowOff>12700</xdr:rowOff>
    </xdr:from>
    <xdr:to>
      <xdr:col>3</xdr:col>
      <xdr:colOff>8467</xdr:colOff>
      <xdr:row>544</xdr:row>
      <xdr:rowOff>0</xdr:rowOff>
    </xdr:to>
    <xdr:sp macro="" textlink="">
      <xdr:nvSpPr>
        <xdr:cNvPr id="363" name="Rectangle 362">
          <a:extLst>
            <a:ext uri="{FF2B5EF4-FFF2-40B4-BE49-F238E27FC236}">
              <a16:creationId xmlns:a16="http://schemas.microsoft.com/office/drawing/2014/main" id="{52F4D229-1356-9347-B4E9-02E33E274A84}"/>
            </a:ext>
          </a:extLst>
        </xdr:cNvPr>
        <xdr:cNvSpPr/>
      </xdr:nvSpPr>
      <xdr:spPr>
        <a:xfrm>
          <a:off x="31889700" y="13246100"/>
          <a:ext cx="465667" cy="203200"/>
        </a:xfrm>
        <a:prstGeom prst="rect">
          <a:avLst/>
        </a:prstGeom>
        <a:gradFill flip="none" rotWithShape="1">
          <a:gsLst>
            <a:gs pos="71000">
              <a:srgbClr val="00B0F0"/>
            </a:gs>
            <a:gs pos="56000">
              <a:srgbClr val="FFFF00"/>
            </a:gs>
            <a:gs pos="92000">
              <a:schemeClr val="tx1"/>
            </a:gs>
            <a:gs pos="30000">
              <a:srgbClr val="C83940"/>
            </a:gs>
            <a:gs pos="42000">
              <a:srgbClr val="92D050"/>
            </a:gs>
            <a:gs pos="12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548</xdr:row>
      <xdr:rowOff>0</xdr:rowOff>
    </xdr:from>
    <xdr:to>
      <xdr:col>2</xdr:col>
      <xdr:colOff>465667</xdr:colOff>
      <xdr:row>549</xdr:row>
      <xdr:rowOff>0</xdr:rowOff>
    </xdr:to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04FC6ED-7AC9-D447-AE38-BB8236AB2477}"/>
            </a:ext>
          </a:extLst>
        </xdr:cNvPr>
        <xdr:cNvSpPr/>
      </xdr:nvSpPr>
      <xdr:spPr>
        <a:xfrm>
          <a:off x="31877000" y="14274800"/>
          <a:ext cx="465667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549</xdr:row>
      <xdr:rowOff>0</xdr:rowOff>
    </xdr:from>
    <xdr:to>
      <xdr:col>2</xdr:col>
      <xdr:colOff>465667</xdr:colOff>
      <xdr:row>550</xdr:row>
      <xdr:rowOff>0</xdr:rowOff>
    </xdr:to>
    <xdr:sp macro="" textlink="">
      <xdr:nvSpPr>
        <xdr:cNvPr id="365" name="Rectangle 364">
          <a:extLst>
            <a:ext uri="{FF2B5EF4-FFF2-40B4-BE49-F238E27FC236}">
              <a16:creationId xmlns:a16="http://schemas.microsoft.com/office/drawing/2014/main" id="{87A45879-A686-024C-ABDF-6606F9A782FE}"/>
            </a:ext>
          </a:extLst>
        </xdr:cNvPr>
        <xdr:cNvSpPr/>
      </xdr:nvSpPr>
      <xdr:spPr>
        <a:xfrm>
          <a:off x="31877000" y="14478000"/>
          <a:ext cx="465667" cy="203200"/>
        </a:xfrm>
        <a:prstGeom prst="rect">
          <a:avLst/>
        </a:prstGeom>
        <a:gradFill flip="none" rotWithShape="1">
          <a:gsLst>
            <a:gs pos="7000">
              <a:srgbClr val="FFE700"/>
            </a:gs>
            <a:gs pos="30000">
              <a:srgbClr val="9CDE55"/>
            </a:gs>
            <a:gs pos="64000">
              <a:srgbClr val="216AC3"/>
            </a:gs>
            <a:gs pos="50000">
              <a:srgbClr val="FFE700"/>
            </a:gs>
            <a:gs pos="88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550</xdr:row>
      <xdr:rowOff>0</xdr:rowOff>
    </xdr:from>
    <xdr:to>
      <xdr:col>2</xdr:col>
      <xdr:colOff>465667</xdr:colOff>
      <xdr:row>550</xdr:row>
      <xdr:rowOff>203200</xdr:rowOff>
    </xdr:to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842075A6-93DE-8D4B-AC72-6C4B3203F49D}"/>
            </a:ext>
          </a:extLst>
        </xdr:cNvPr>
        <xdr:cNvSpPr/>
      </xdr:nvSpPr>
      <xdr:spPr>
        <a:xfrm>
          <a:off x="31877000" y="14681200"/>
          <a:ext cx="465667" cy="2032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542</xdr:row>
      <xdr:rowOff>0</xdr:rowOff>
    </xdr:from>
    <xdr:to>
      <xdr:col>3</xdr:col>
      <xdr:colOff>4247</xdr:colOff>
      <xdr:row>543</xdr:row>
      <xdr:rowOff>0</xdr:rowOff>
    </xdr:to>
    <xdr:sp macro="" textlink="">
      <xdr:nvSpPr>
        <xdr:cNvPr id="367" name="Rectangle 366">
          <a:extLst>
            <a:ext uri="{FF2B5EF4-FFF2-40B4-BE49-F238E27FC236}">
              <a16:creationId xmlns:a16="http://schemas.microsoft.com/office/drawing/2014/main" id="{AAECB3B2-F380-F644-ACB0-0FF1A62A326D}"/>
            </a:ext>
          </a:extLst>
        </xdr:cNvPr>
        <xdr:cNvSpPr/>
      </xdr:nvSpPr>
      <xdr:spPr>
        <a:xfrm>
          <a:off x="31885480" y="13017500"/>
          <a:ext cx="465667" cy="215900"/>
        </a:xfrm>
        <a:prstGeom prst="rect">
          <a:avLst/>
        </a:prstGeom>
        <a:gradFill flip="none" rotWithShape="1">
          <a:gsLst>
            <a:gs pos="0">
              <a:srgbClr val="C01C49"/>
            </a:gs>
            <a:gs pos="31000">
              <a:srgbClr val="A6E3E4"/>
            </a:gs>
            <a:gs pos="65000">
              <a:srgbClr val="FC8A0F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2130</xdr:colOff>
      <xdr:row>545</xdr:row>
      <xdr:rowOff>6350</xdr:rowOff>
    </xdr:from>
    <xdr:to>
      <xdr:col>3</xdr:col>
      <xdr:colOff>0</xdr:colOff>
      <xdr:row>546</xdr:row>
      <xdr:rowOff>6350</xdr:rowOff>
    </xdr:to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BBB9A36-781F-EC44-8779-DA0171C9BDFD}"/>
            </a:ext>
          </a:extLst>
        </xdr:cNvPr>
        <xdr:cNvSpPr/>
      </xdr:nvSpPr>
      <xdr:spPr>
        <a:xfrm>
          <a:off x="2732630" y="110026450"/>
          <a:ext cx="721770" cy="203200"/>
        </a:xfrm>
        <a:prstGeom prst="rect">
          <a:avLst/>
        </a:prstGeom>
        <a:gradFill flip="none" rotWithShape="1">
          <a:gsLst>
            <a:gs pos="0">
              <a:srgbClr val="A8E1E6"/>
            </a:gs>
            <a:gs pos="31000">
              <a:srgbClr val="A6E3E4"/>
            </a:gs>
            <a:gs pos="65000">
              <a:srgbClr val="CBC959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543</xdr:row>
      <xdr:rowOff>12700</xdr:rowOff>
    </xdr:from>
    <xdr:to>
      <xdr:col>3</xdr:col>
      <xdr:colOff>8467</xdr:colOff>
      <xdr:row>544</xdr:row>
      <xdr:rowOff>0</xdr:rowOff>
    </xdr:to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17C9C553-1F34-B141-9D43-034B6ECC024F}"/>
            </a:ext>
          </a:extLst>
        </xdr:cNvPr>
        <xdr:cNvSpPr/>
      </xdr:nvSpPr>
      <xdr:spPr>
        <a:xfrm>
          <a:off x="31889700" y="13246100"/>
          <a:ext cx="465667" cy="203200"/>
        </a:xfrm>
        <a:prstGeom prst="rect">
          <a:avLst/>
        </a:prstGeom>
        <a:gradFill flip="none" rotWithShape="1">
          <a:gsLst>
            <a:gs pos="100000">
              <a:srgbClr val="FFFF00"/>
            </a:gs>
            <a:gs pos="25000">
              <a:srgbClr val="C83940"/>
            </a:gs>
            <a:gs pos="52000">
              <a:srgbClr val="FFFF00"/>
            </a:gs>
            <a:gs pos="76000">
              <a:srgbClr val="92D050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544</xdr:row>
      <xdr:rowOff>6350</xdr:rowOff>
    </xdr:from>
    <xdr:to>
      <xdr:col>3</xdr:col>
      <xdr:colOff>6350</xdr:colOff>
      <xdr:row>544</xdr:row>
      <xdr:rowOff>196850</xdr:rowOff>
    </xdr:to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911C720E-B79D-B140-BE09-58FF773A8F3D}"/>
            </a:ext>
          </a:extLst>
        </xdr:cNvPr>
        <xdr:cNvSpPr/>
      </xdr:nvSpPr>
      <xdr:spPr>
        <a:xfrm>
          <a:off x="2730500" y="109823250"/>
          <a:ext cx="730250" cy="190500"/>
        </a:xfrm>
        <a:prstGeom prst="rect">
          <a:avLst/>
        </a:prstGeom>
        <a:gradFill flip="none" rotWithShape="1">
          <a:gsLst>
            <a:gs pos="71000">
              <a:srgbClr val="00B0F0"/>
            </a:gs>
            <a:gs pos="56000">
              <a:srgbClr val="FFFF00"/>
            </a:gs>
            <a:gs pos="92000">
              <a:schemeClr val="tx1"/>
            </a:gs>
            <a:gs pos="30000">
              <a:srgbClr val="C83940"/>
            </a:gs>
            <a:gs pos="42000">
              <a:srgbClr val="92D050"/>
            </a:gs>
            <a:gs pos="12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546</xdr:row>
      <xdr:rowOff>0</xdr:rowOff>
    </xdr:from>
    <xdr:to>
      <xdr:col>3</xdr:col>
      <xdr:colOff>2117</xdr:colOff>
      <xdr:row>547</xdr:row>
      <xdr:rowOff>0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id="{9500EBB3-A227-5643-8231-202D84AA6BEB}"/>
            </a:ext>
          </a:extLst>
        </xdr:cNvPr>
        <xdr:cNvSpPr/>
      </xdr:nvSpPr>
      <xdr:spPr>
        <a:xfrm>
          <a:off x="31883350" y="13868400"/>
          <a:ext cx="465667" cy="203200"/>
        </a:xfrm>
        <a:prstGeom prst="rect">
          <a:avLst/>
        </a:prstGeom>
        <a:gradFill flip="none" rotWithShape="1">
          <a:gsLst>
            <a:gs pos="0">
              <a:srgbClr val="00A349"/>
            </a:gs>
            <a:gs pos="31000">
              <a:srgbClr val="00A349"/>
            </a:gs>
            <a:gs pos="65000">
              <a:srgbClr val="92D050"/>
            </a:gs>
            <a:gs pos="100000">
              <a:srgbClr val="CCF45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547</xdr:row>
      <xdr:rowOff>6350</xdr:rowOff>
    </xdr:from>
    <xdr:to>
      <xdr:col>3</xdr:col>
      <xdr:colOff>2117</xdr:colOff>
      <xdr:row>547</xdr:row>
      <xdr:rowOff>196850</xdr:rowOff>
    </xdr:to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419B49A-9AA0-6E41-A037-9217D245C313}"/>
            </a:ext>
          </a:extLst>
        </xdr:cNvPr>
        <xdr:cNvSpPr/>
      </xdr:nvSpPr>
      <xdr:spPr>
        <a:xfrm>
          <a:off x="31883350" y="14077950"/>
          <a:ext cx="465667" cy="190500"/>
        </a:xfrm>
        <a:prstGeom prst="rect">
          <a:avLst/>
        </a:prstGeom>
        <a:gradFill flip="none" rotWithShape="1">
          <a:gsLst>
            <a:gs pos="0">
              <a:srgbClr val="216AC3"/>
            </a:gs>
            <a:gs pos="31000">
              <a:srgbClr val="A264A2"/>
            </a:gs>
            <a:gs pos="47000">
              <a:schemeClr val="accent2"/>
            </a:gs>
            <a:gs pos="73000">
              <a:srgbClr val="9CDE55"/>
            </a:gs>
            <a:gs pos="60000">
              <a:srgbClr val="FFFF00"/>
            </a:gs>
            <a:gs pos="100000">
              <a:srgbClr val="216AC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549</xdr:row>
      <xdr:rowOff>0</xdr:rowOff>
    </xdr:from>
    <xdr:to>
      <xdr:col>3</xdr:col>
      <xdr:colOff>6350</xdr:colOff>
      <xdr:row>550</xdr:row>
      <xdr:rowOff>0</xdr:rowOff>
    </xdr:to>
    <xdr:sp macro="" textlink="">
      <xdr:nvSpPr>
        <xdr:cNvPr id="373" name="Rectangle 372">
          <a:extLst>
            <a:ext uri="{FF2B5EF4-FFF2-40B4-BE49-F238E27FC236}">
              <a16:creationId xmlns:a16="http://schemas.microsoft.com/office/drawing/2014/main" id="{956B8F99-98CE-3D4A-806A-752821506CC5}"/>
            </a:ext>
          </a:extLst>
        </xdr:cNvPr>
        <xdr:cNvSpPr/>
      </xdr:nvSpPr>
      <xdr:spPr>
        <a:xfrm>
          <a:off x="2730500" y="110832900"/>
          <a:ext cx="730250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550</xdr:row>
      <xdr:rowOff>0</xdr:rowOff>
    </xdr:from>
    <xdr:to>
      <xdr:col>3</xdr:col>
      <xdr:colOff>0</xdr:colOff>
      <xdr:row>551</xdr:row>
      <xdr:rowOff>0</xdr:rowOff>
    </xdr:to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CD31C8AC-A1C7-6244-8DC2-1468C7A9EA54}"/>
            </a:ext>
          </a:extLst>
        </xdr:cNvPr>
        <xdr:cNvSpPr/>
      </xdr:nvSpPr>
      <xdr:spPr>
        <a:xfrm>
          <a:off x="2730500" y="111036100"/>
          <a:ext cx="723900" cy="203200"/>
        </a:xfrm>
        <a:prstGeom prst="rect">
          <a:avLst/>
        </a:prstGeom>
        <a:gradFill flip="none" rotWithShape="1">
          <a:gsLst>
            <a:gs pos="7000">
              <a:srgbClr val="FFE700"/>
            </a:gs>
            <a:gs pos="30000">
              <a:srgbClr val="9CDE55"/>
            </a:gs>
            <a:gs pos="64000">
              <a:srgbClr val="216AC3"/>
            </a:gs>
            <a:gs pos="50000">
              <a:srgbClr val="FFE700"/>
            </a:gs>
            <a:gs pos="88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548</xdr:row>
      <xdr:rowOff>0</xdr:rowOff>
    </xdr:from>
    <xdr:to>
      <xdr:col>3</xdr:col>
      <xdr:colOff>0</xdr:colOff>
      <xdr:row>549</xdr:row>
      <xdr:rowOff>0</xdr:rowOff>
    </xdr:to>
    <xdr:sp macro="" textlink="">
      <xdr:nvSpPr>
        <xdr:cNvPr id="375" name="Rectangle 374">
          <a:extLst>
            <a:ext uri="{FF2B5EF4-FFF2-40B4-BE49-F238E27FC236}">
              <a16:creationId xmlns:a16="http://schemas.microsoft.com/office/drawing/2014/main" id="{9FD991E8-E694-1145-894F-31ECF352BAA5}"/>
            </a:ext>
          </a:extLst>
        </xdr:cNvPr>
        <xdr:cNvSpPr/>
      </xdr:nvSpPr>
      <xdr:spPr>
        <a:xfrm>
          <a:off x="2730500" y="110629700"/>
          <a:ext cx="723900" cy="203200"/>
        </a:xfrm>
        <a:prstGeom prst="rect">
          <a:avLst/>
        </a:prstGeom>
        <a:gradFill flip="none" rotWithShape="1">
          <a:gsLst>
            <a:gs pos="0">
              <a:srgbClr val="0067EF"/>
            </a:gs>
            <a:gs pos="34000">
              <a:srgbClr val="7A52EF"/>
            </a:gs>
            <a:gs pos="47000">
              <a:srgbClr val="00B050"/>
            </a:gs>
            <a:gs pos="73000">
              <a:srgbClr val="FF0000"/>
            </a:gs>
            <a:gs pos="60000">
              <a:srgbClr val="FFFF00"/>
            </a:gs>
            <a:gs pos="100000">
              <a:srgbClr val="0067E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540</xdr:row>
      <xdr:rowOff>0</xdr:rowOff>
    </xdr:from>
    <xdr:to>
      <xdr:col>3</xdr:col>
      <xdr:colOff>6350</xdr:colOff>
      <xdr:row>541</xdr:row>
      <xdr:rowOff>12700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A07E8843-0F2B-7C44-9950-DE393224F7FC}"/>
            </a:ext>
          </a:extLst>
        </xdr:cNvPr>
        <xdr:cNvSpPr/>
      </xdr:nvSpPr>
      <xdr:spPr>
        <a:xfrm>
          <a:off x="2730500" y="109004100"/>
          <a:ext cx="730250" cy="215900"/>
        </a:xfrm>
        <a:prstGeom prst="rect">
          <a:avLst/>
        </a:prstGeom>
        <a:gradFill flip="none" rotWithShape="1">
          <a:gsLst>
            <a:gs pos="0">
              <a:srgbClr val="2A3A79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2095500</xdr:colOff>
      <xdr:row>552</xdr:row>
      <xdr:rowOff>12700</xdr:rowOff>
    </xdr:from>
    <xdr:to>
      <xdr:col>3</xdr:col>
      <xdr:colOff>8467</xdr:colOff>
      <xdr:row>553</xdr:row>
      <xdr:rowOff>0</xdr:rowOff>
    </xdr:to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E0590E42-6A10-3B4F-B472-5F75B5D5AD51}"/>
            </a:ext>
          </a:extLst>
        </xdr:cNvPr>
        <xdr:cNvSpPr/>
      </xdr:nvSpPr>
      <xdr:spPr>
        <a:xfrm>
          <a:off x="36233100" y="1422400"/>
          <a:ext cx="4656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551</xdr:row>
      <xdr:rowOff>12700</xdr:rowOff>
    </xdr:from>
    <xdr:to>
      <xdr:col>2</xdr:col>
      <xdr:colOff>440267</xdr:colOff>
      <xdr:row>552</xdr:row>
      <xdr:rowOff>0</xdr:rowOff>
    </xdr:to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4EE261F4-AF6B-AE4A-9177-757378D3FAEC}"/>
            </a:ext>
          </a:extLst>
        </xdr:cNvPr>
        <xdr:cNvSpPr/>
      </xdr:nvSpPr>
      <xdr:spPr>
        <a:xfrm>
          <a:off x="36245800" y="1206500"/>
          <a:ext cx="440267" cy="2032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2095500</xdr:colOff>
      <xdr:row>552</xdr:row>
      <xdr:rowOff>12700</xdr:rowOff>
    </xdr:from>
    <xdr:to>
      <xdr:col>3</xdr:col>
      <xdr:colOff>8467</xdr:colOff>
      <xdr:row>553</xdr:row>
      <xdr:rowOff>0</xdr:rowOff>
    </xdr:to>
    <xdr:sp macro="" textlink="">
      <xdr:nvSpPr>
        <xdr:cNvPr id="379" name="Rectangle 378">
          <a:extLst>
            <a:ext uri="{FF2B5EF4-FFF2-40B4-BE49-F238E27FC236}">
              <a16:creationId xmlns:a16="http://schemas.microsoft.com/office/drawing/2014/main" id="{29DA9C92-5588-184C-8F46-60224A7DA991}"/>
            </a:ext>
          </a:extLst>
        </xdr:cNvPr>
        <xdr:cNvSpPr/>
      </xdr:nvSpPr>
      <xdr:spPr>
        <a:xfrm>
          <a:off x="36233100" y="1422400"/>
          <a:ext cx="4656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551</xdr:row>
      <xdr:rowOff>12700</xdr:rowOff>
    </xdr:from>
    <xdr:to>
      <xdr:col>2</xdr:col>
      <xdr:colOff>440267</xdr:colOff>
      <xdr:row>552</xdr:row>
      <xdr:rowOff>0</xdr:rowOff>
    </xdr:to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0BD3C082-756B-374D-85C0-3BC713409032}"/>
            </a:ext>
          </a:extLst>
        </xdr:cNvPr>
        <xdr:cNvSpPr/>
      </xdr:nvSpPr>
      <xdr:spPr>
        <a:xfrm>
          <a:off x="36245800" y="1206500"/>
          <a:ext cx="440267" cy="2032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2095500</xdr:colOff>
      <xdr:row>552</xdr:row>
      <xdr:rowOff>12700</xdr:rowOff>
    </xdr:from>
    <xdr:to>
      <xdr:col>3</xdr:col>
      <xdr:colOff>8467</xdr:colOff>
      <xdr:row>553</xdr:row>
      <xdr:rowOff>0</xdr:rowOff>
    </xdr:to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D9E70916-3139-8D42-B9EA-FCC656009018}"/>
            </a:ext>
          </a:extLst>
        </xdr:cNvPr>
        <xdr:cNvSpPr/>
      </xdr:nvSpPr>
      <xdr:spPr>
        <a:xfrm>
          <a:off x="36233100" y="1422400"/>
          <a:ext cx="4656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551</xdr:row>
      <xdr:rowOff>12700</xdr:rowOff>
    </xdr:from>
    <xdr:to>
      <xdr:col>3</xdr:col>
      <xdr:colOff>0</xdr:colOff>
      <xdr:row>552</xdr:row>
      <xdr:rowOff>0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D9E7D2E2-210E-C94C-9AD6-FCFE51CBFE37}"/>
            </a:ext>
          </a:extLst>
        </xdr:cNvPr>
        <xdr:cNvSpPr/>
      </xdr:nvSpPr>
      <xdr:spPr>
        <a:xfrm>
          <a:off x="2730500" y="111252000"/>
          <a:ext cx="723900" cy="1905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605</xdr:row>
      <xdr:rowOff>0</xdr:rowOff>
    </xdr:from>
    <xdr:to>
      <xdr:col>2</xdr:col>
      <xdr:colOff>446200</xdr:colOff>
      <xdr:row>606</xdr:row>
      <xdr:rowOff>0</xdr:rowOff>
    </xdr:to>
    <xdr:sp macro="" textlink="">
      <xdr:nvSpPr>
        <xdr:cNvPr id="383" name="Rectangle 382">
          <a:extLst>
            <a:ext uri="{FF2B5EF4-FFF2-40B4-BE49-F238E27FC236}">
              <a16:creationId xmlns:a16="http://schemas.microsoft.com/office/drawing/2014/main" id="{B267AC8C-5BEF-3849-BB00-582D471D59B8}"/>
            </a:ext>
          </a:extLst>
        </xdr:cNvPr>
        <xdr:cNvSpPr/>
      </xdr:nvSpPr>
      <xdr:spPr>
        <a:xfrm>
          <a:off x="36245800" y="12001500"/>
          <a:ext cx="4462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604</xdr:row>
      <xdr:rowOff>12700</xdr:rowOff>
    </xdr:from>
    <xdr:to>
      <xdr:col>2</xdr:col>
      <xdr:colOff>446200</xdr:colOff>
      <xdr:row>604</xdr:row>
      <xdr:rowOff>201600</xdr:rowOff>
    </xdr:to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BE466DB2-5904-5248-A43C-00C800B14C56}"/>
            </a:ext>
          </a:extLst>
        </xdr:cNvPr>
        <xdr:cNvSpPr/>
      </xdr:nvSpPr>
      <xdr:spPr>
        <a:xfrm>
          <a:off x="36245800" y="118110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607</xdr:row>
      <xdr:rowOff>0</xdr:rowOff>
    </xdr:from>
    <xdr:to>
      <xdr:col>2</xdr:col>
      <xdr:colOff>446200</xdr:colOff>
      <xdr:row>607</xdr:row>
      <xdr:rowOff>201600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id="{146F6334-9051-0C4A-B5CB-41BAAC7AB098}"/>
            </a:ext>
          </a:extLst>
        </xdr:cNvPr>
        <xdr:cNvSpPr/>
      </xdr:nvSpPr>
      <xdr:spPr>
        <a:xfrm>
          <a:off x="36245800" y="12407900"/>
          <a:ext cx="4462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602</xdr:row>
      <xdr:rowOff>12700</xdr:rowOff>
    </xdr:from>
    <xdr:to>
      <xdr:col>2</xdr:col>
      <xdr:colOff>446200</xdr:colOff>
      <xdr:row>603</xdr:row>
      <xdr:rowOff>11100</xdr:rowOff>
    </xdr:to>
    <xdr:sp macro="" textlink="">
      <xdr:nvSpPr>
        <xdr:cNvPr id="387" name="Rectangle 386">
          <a:extLst>
            <a:ext uri="{FF2B5EF4-FFF2-40B4-BE49-F238E27FC236}">
              <a16:creationId xmlns:a16="http://schemas.microsoft.com/office/drawing/2014/main" id="{99E90996-9E7B-C144-A88D-CD45A26CF8CB}"/>
            </a:ext>
          </a:extLst>
        </xdr:cNvPr>
        <xdr:cNvSpPr/>
      </xdr:nvSpPr>
      <xdr:spPr>
        <a:xfrm>
          <a:off x="36245800" y="11404600"/>
          <a:ext cx="4462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603</xdr:row>
      <xdr:rowOff>12700</xdr:rowOff>
    </xdr:from>
    <xdr:to>
      <xdr:col>2</xdr:col>
      <xdr:colOff>446200</xdr:colOff>
      <xdr:row>604</xdr:row>
      <xdr:rowOff>12700</xdr:rowOff>
    </xdr:to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10958BD-5F67-F640-9978-3FD1DB9A98D6}"/>
            </a:ext>
          </a:extLst>
        </xdr:cNvPr>
        <xdr:cNvSpPr/>
      </xdr:nvSpPr>
      <xdr:spPr>
        <a:xfrm>
          <a:off x="36245800" y="11607800"/>
          <a:ext cx="4462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606</xdr:row>
      <xdr:rowOff>0</xdr:rowOff>
    </xdr:from>
    <xdr:to>
      <xdr:col>2</xdr:col>
      <xdr:colOff>446200</xdr:colOff>
      <xdr:row>607</xdr:row>
      <xdr:rowOff>0</xdr:rowOff>
    </xdr:to>
    <xdr:sp macro="" textlink="">
      <xdr:nvSpPr>
        <xdr:cNvPr id="389" name="Rectangle 388">
          <a:extLst>
            <a:ext uri="{FF2B5EF4-FFF2-40B4-BE49-F238E27FC236}">
              <a16:creationId xmlns:a16="http://schemas.microsoft.com/office/drawing/2014/main" id="{1BE9CE4A-AC1A-9948-BD34-5E2D6715C267}"/>
            </a:ext>
          </a:extLst>
        </xdr:cNvPr>
        <xdr:cNvSpPr/>
      </xdr:nvSpPr>
      <xdr:spPr>
        <a:xfrm>
          <a:off x="36245800" y="12204700"/>
          <a:ext cx="4462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608</xdr:row>
      <xdr:rowOff>0</xdr:rowOff>
    </xdr:from>
    <xdr:to>
      <xdr:col>2</xdr:col>
      <xdr:colOff>446200</xdr:colOff>
      <xdr:row>609</xdr:row>
      <xdr:rowOff>0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77144A6B-5B6A-C34C-BDB5-044CFCEDF041}"/>
            </a:ext>
          </a:extLst>
        </xdr:cNvPr>
        <xdr:cNvSpPr/>
      </xdr:nvSpPr>
      <xdr:spPr>
        <a:xfrm>
          <a:off x="36245800" y="12611100"/>
          <a:ext cx="4462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609</xdr:row>
      <xdr:rowOff>0</xdr:rowOff>
    </xdr:from>
    <xdr:to>
      <xdr:col>2</xdr:col>
      <xdr:colOff>446200</xdr:colOff>
      <xdr:row>609</xdr:row>
      <xdr:rowOff>201600</xdr:rowOff>
    </xdr:to>
    <xdr:sp macro="" textlink="">
      <xdr:nvSpPr>
        <xdr:cNvPr id="391" name="Rectangle 390">
          <a:extLst>
            <a:ext uri="{FF2B5EF4-FFF2-40B4-BE49-F238E27FC236}">
              <a16:creationId xmlns:a16="http://schemas.microsoft.com/office/drawing/2014/main" id="{D0B9AB22-63C6-374D-82FE-6D9703B9B92D}"/>
            </a:ext>
          </a:extLst>
        </xdr:cNvPr>
        <xdr:cNvSpPr/>
      </xdr:nvSpPr>
      <xdr:spPr>
        <a:xfrm>
          <a:off x="36245800" y="12814300"/>
          <a:ext cx="44620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610</xdr:row>
      <xdr:rowOff>0</xdr:rowOff>
    </xdr:from>
    <xdr:to>
      <xdr:col>2</xdr:col>
      <xdr:colOff>446200</xdr:colOff>
      <xdr:row>611</xdr:row>
      <xdr:rowOff>0</xdr:rowOff>
    </xdr:to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2F7EF39A-0C02-C448-BF77-1EAC2640716B}"/>
            </a:ext>
          </a:extLst>
        </xdr:cNvPr>
        <xdr:cNvSpPr/>
      </xdr:nvSpPr>
      <xdr:spPr>
        <a:xfrm>
          <a:off x="36245800" y="13017500"/>
          <a:ext cx="446200" cy="2159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611</xdr:row>
      <xdr:rowOff>0</xdr:rowOff>
    </xdr:from>
    <xdr:to>
      <xdr:col>2</xdr:col>
      <xdr:colOff>446200</xdr:colOff>
      <xdr:row>612</xdr:row>
      <xdr:rowOff>0</xdr:rowOff>
    </xdr:to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218DE16F-838D-3545-9A77-3D72E5EB0128}"/>
            </a:ext>
          </a:extLst>
        </xdr:cNvPr>
        <xdr:cNvSpPr/>
      </xdr:nvSpPr>
      <xdr:spPr>
        <a:xfrm>
          <a:off x="36245800" y="13233400"/>
          <a:ext cx="446200" cy="2159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612</xdr:row>
      <xdr:rowOff>0</xdr:rowOff>
    </xdr:from>
    <xdr:to>
      <xdr:col>2</xdr:col>
      <xdr:colOff>446200</xdr:colOff>
      <xdr:row>613</xdr:row>
      <xdr:rowOff>0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CD0CB4F-0BA9-1448-8A47-234B089CA57A}"/>
            </a:ext>
          </a:extLst>
        </xdr:cNvPr>
        <xdr:cNvSpPr/>
      </xdr:nvSpPr>
      <xdr:spPr>
        <a:xfrm>
          <a:off x="36245800" y="13449300"/>
          <a:ext cx="4462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616</xdr:row>
      <xdr:rowOff>12700</xdr:rowOff>
    </xdr:from>
    <xdr:to>
      <xdr:col>2</xdr:col>
      <xdr:colOff>446200</xdr:colOff>
      <xdr:row>617</xdr:row>
      <xdr:rowOff>12700</xdr:rowOff>
    </xdr:to>
    <xdr:sp macro="" textlink="">
      <xdr:nvSpPr>
        <xdr:cNvPr id="397" name="Rectangle 396">
          <a:extLst>
            <a:ext uri="{FF2B5EF4-FFF2-40B4-BE49-F238E27FC236}">
              <a16:creationId xmlns:a16="http://schemas.microsoft.com/office/drawing/2014/main" id="{4DFB77D4-B979-2A41-A3DB-5B58D25A2B16}"/>
            </a:ext>
          </a:extLst>
        </xdr:cNvPr>
        <xdr:cNvSpPr/>
      </xdr:nvSpPr>
      <xdr:spPr>
        <a:xfrm>
          <a:off x="36245800" y="14287500"/>
          <a:ext cx="4462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618</xdr:row>
      <xdr:rowOff>12700</xdr:rowOff>
    </xdr:from>
    <xdr:to>
      <xdr:col>2</xdr:col>
      <xdr:colOff>446200</xdr:colOff>
      <xdr:row>619</xdr:row>
      <xdr:rowOff>12700</xdr:rowOff>
    </xdr:to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E86A7607-0273-4048-91A3-9EC2CAE6BA65}"/>
            </a:ext>
          </a:extLst>
        </xdr:cNvPr>
        <xdr:cNvSpPr/>
      </xdr:nvSpPr>
      <xdr:spPr>
        <a:xfrm>
          <a:off x="36245800" y="14693900"/>
          <a:ext cx="446200" cy="2159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617</xdr:row>
      <xdr:rowOff>12700</xdr:rowOff>
    </xdr:from>
    <xdr:to>
      <xdr:col>2</xdr:col>
      <xdr:colOff>446200</xdr:colOff>
      <xdr:row>618</xdr:row>
      <xdr:rowOff>12700</xdr:rowOff>
    </xdr:to>
    <xdr:sp macro="" textlink="">
      <xdr:nvSpPr>
        <xdr:cNvPr id="399" name="Rectangle 398">
          <a:extLst>
            <a:ext uri="{FF2B5EF4-FFF2-40B4-BE49-F238E27FC236}">
              <a16:creationId xmlns:a16="http://schemas.microsoft.com/office/drawing/2014/main" id="{A96CAFEE-10E1-5C45-A0C4-435677F7FEEB}"/>
            </a:ext>
          </a:extLst>
        </xdr:cNvPr>
        <xdr:cNvSpPr/>
      </xdr:nvSpPr>
      <xdr:spPr>
        <a:xfrm>
          <a:off x="36245800" y="14490700"/>
          <a:ext cx="4462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599</xdr:row>
      <xdr:rowOff>12700</xdr:rowOff>
    </xdr:from>
    <xdr:to>
      <xdr:col>3</xdr:col>
      <xdr:colOff>0</xdr:colOff>
      <xdr:row>599</xdr:row>
      <xdr:rowOff>201600</xdr:rowOff>
    </xdr:to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9ACC0EAF-A7D8-2E45-95F7-CCD044DB843B}"/>
            </a:ext>
          </a:extLst>
        </xdr:cNvPr>
        <xdr:cNvSpPr/>
      </xdr:nvSpPr>
      <xdr:spPr>
        <a:xfrm>
          <a:off x="2730500" y="121005600"/>
          <a:ext cx="7239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602</xdr:row>
      <xdr:rowOff>12700</xdr:rowOff>
    </xdr:from>
    <xdr:to>
      <xdr:col>3</xdr:col>
      <xdr:colOff>0</xdr:colOff>
      <xdr:row>603</xdr:row>
      <xdr:rowOff>12700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id="{E6E000F1-30C1-3F45-B0F5-8A5006ECE3C2}"/>
            </a:ext>
          </a:extLst>
        </xdr:cNvPr>
        <xdr:cNvSpPr/>
      </xdr:nvSpPr>
      <xdr:spPr>
        <a:xfrm>
          <a:off x="2730500" y="121615200"/>
          <a:ext cx="723900" cy="2032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606</xdr:row>
      <xdr:rowOff>0</xdr:rowOff>
    </xdr:from>
    <xdr:to>
      <xdr:col>3</xdr:col>
      <xdr:colOff>0</xdr:colOff>
      <xdr:row>607</xdr:row>
      <xdr:rowOff>0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BC077292-418A-D64D-9963-EC31D79C9C65}"/>
            </a:ext>
          </a:extLst>
        </xdr:cNvPr>
        <xdr:cNvSpPr/>
      </xdr:nvSpPr>
      <xdr:spPr>
        <a:xfrm>
          <a:off x="2730500" y="122415300"/>
          <a:ext cx="7239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605</xdr:row>
      <xdr:rowOff>12700</xdr:rowOff>
    </xdr:from>
    <xdr:to>
      <xdr:col>3</xdr:col>
      <xdr:colOff>0</xdr:colOff>
      <xdr:row>605</xdr:row>
      <xdr:rowOff>201600</xdr:rowOff>
    </xdr:to>
    <xdr:sp macro="" textlink="">
      <xdr:nvSpPr>
        <xdr:cNvPr id="403" name="Rectangle 402">
          <a:extLst>
            <a:ext uri="{FF2B5EF4-FFF2-40B4-BE49-F238E27FC236}">
              <a16:creationId xmlns:a16="http://schemas.microsoft.com/office/drawing/2014/main" id="{371ADAB9-DE6C-C24A-AEDC-3EBC95D5DCA5}"/>
            </a:ext>
          </a:extLst>
        </xdr:cNvPr>
        <xdr:cNvSpPr/>
      </xdr:nvSpPr>
      <xdr:spPr>
        <a:xfrm>
          <a:off x="2730500" y="122224800"/>
          <a:ext cx="7239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608</xdr:row>
      <xdr:rowOff>0</xdr:rowOff>
    </xdr:from>
    <xdr:to>
      <xdr:col>3</xdr:col>
      <xdr:colOff>0</xdr:colOff>
      <xdr:row>608</xdr:row>
      <xdr:rowOff>201600</xdr:rowOff>
    </xdr:to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EEF454EE-6847-8448-8BB8-D183DB6EBCAD}"/>
            </a:ext>
          </a:extLst>
        </xdr:cNvPr>
        <xdr:cNvSpPr/>
      </xdr:nvSpPr>
      <xdr:spPr>
        <a:xfrm>
          <a:off x="2730500" y="122821700"/>
          <a:ext cx="7239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2092474</xdr:colOff>
      <xdr:row>613</xdr:row>
      <xdr:rowOff>193826</xdr:rowOff>
    </xdr:from>
    <xdr:to>
      <xdr:col>2</xdr:col>
      <xdr:colOff>719665</xdr:colOff>
      <xdr:row>614</xdr:row>
      <xdr:rowOff>201083</xdr:rowOff>
    </xdr:to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0C293CD-C25A-494B-A77B-1135FBBE7752}"/>
            </a:ext>
          </a:extLst>
        </xdr:cNvPr>
        <xdr:cNvSpPr/>
      </xdr:nvSpPr>
      <xdr:spPr>
        <a:xfrm>
          <a:off x="2727474" y="124031526"/>
          <a:ext cx="722691" cy="210457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603</xdr:row>
      <xdr:rowOff>12700</xdr:rowOff>
    </xdr:from>
    <xdr:to>
      <xdr:col>3</xdr:col>
      <xdr:colOff>0</xdr:colOff>
      <xdr:row>604</xdr:row>
      <xdr:rowOff>11100</xdr:rowOff>
    </xdr:to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D16B89E7-63F6-CB41-AAD6-543F5E935E05}"/>
            </a:ext>
          </a:extLst>
        </xdr:cNvPr>
        <xdr:cNvSpPr/>
      </xdr:nvSpPr>
      <xdr:spPr>
        <a:xfrm>
          <a:off x="2730500" y="121818400"/>
          <a:ext cx="7239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604</xdr:row>
      <xdr:rowOff>12700</xdr:rowOff>
    </xdr:from>
    <xdr:to>
      <xdr:col>3</xdr:col>
      <xdr:colOff>0</xdr:colOff>
      <xdr:row>605</xdr:row>
      <xdr:rowOff>12700</xdr:rowOff>
    </xdr:to>
    <xdr:sp macro="" textlink="">
      <xdr:nvSpPr>
        <xdr:cNvPr id="407" name="Rectangle 406">
          <a:extLst>
            <a:ext uri="{FF2B5EF4-FFF2-40B4-BE49-F238E27FC236}">
              <a16:creationId xmlns:a16="http://schemas.microsoft.com/office/drawing/2014/main" id="{0A19B70C-6AEE-734D-AD9F-B603438BBE83}"/>
            </a:ext>
          </a:extLst>
        </xdr:cNvPr>
        <xdr:cNvSpPr/>
      </xdr:nvSpPr>
      <xdr:spPr>
        <a:xfrm>
          <a:off x="2730500" y="122021600"/>
          <a:ext cx="7239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607</xdr:row>
      <xdr:rowOff>0</xdr:rowOff>
    </xdr:from>
    <xdr:to>
      <xdr:col>3</xdr:col>
      <xdr:colOff>0</xdr:colOff>
      <xdr:row>608</xdr:row>
      <xdr:rowOff>0</xdr:rowOff>
    </xdr:to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A8725AC4-38F8-EC4E-B41D-5E684D5CD2C5}"/>
            </a:ext>
          </a:extLst>
        </xdr:cNvPr>
        <xdr:cNvSpPr/>
      </xdr:nvSpPr>
      <xdr:spPr>
        <a:xfrm>
          <a:off x="2730500" y="122618500"/>
          <a:ext cx="7239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609</xdr:row>
      <xdr:rowOff>0</xdr:rowOff>
    </xdr:from>
    <xdr:to>
      <xdr:col>3</xdr:col>
      <xdr:colOff>0</xdr:colOff>
      <xdr:row>610</xdr:row>
      <xdr:rowOff>0</xdr:rowOff>
    </xdr:to>
    <xdr:sp macro="" textlink="">
      <xdr:nvSpPr>
        <xdr:cNvPr id="409" name="Rectangle 408">
          <a:extLst>
            <a:ext uri="{FF2B5EF4-FFF2-40B4-BE49-F238E27FC236}">
              <a16:creationId xmlns:a16="http://schemas.microsoft.com/office/drawing/2014/main" id="{5724D010-11D6-484A-9296-307F6F550863}"/>
            </a:ext>
          </a:extLst>
        </xdr:cNvPr>
        <xdr:cNvSpPr/>
      </xdr:nvSpPr>
      <xdr:spPr>
        <a:xfrm>
          <a:off x="2730500" y="123024900"/>
          <a:ext cx="7239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610</xdr:row>
      <xdr:rowOff>0</xdr:rowOff>
    </xdr:from>
    <xdr:to>
      <xdr:col>2</xdr:col>
      <xdr:colOff>717550</xdr:colOff>
      <xdr:row>610</xdr:row>
      <xdr:rowOff>201600</xdr:rowOff>
    </xdr:to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E7DD1108-6434-CE4D-A6D6-36BFDF45E334}"/>
            </a:ext>
          </a:extLst>
        </xdr:cNvPr>
        <xdr:cNvSpPr/>
      </xdr:nvSpPr>
      <xdr:spPr>
        <a:xfrm>
          <a:off x="2730500" y="123228100"/>
          <a:ext cx="71755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611</xdr:row>
      <xdr:rowOff>0</xdr:rowOff>
    </xdr:from>
    <xdr:to>
      <xdr:col>3</xdr:col>
      <xdr:colOff>0</xdr:colOff>
      <xdr:row>612</xdr:row>
      <xdr:rowOff>0</xdr:rowOff>
    </xdr:to>
    <xdr:sp macro="" textlink="">
      <xdr:nvSpPr>
        <xdr:cNvPr id="411" name="Rectangle 410">
          <a:extLst>
            <a:ext uri="{FF2B5EF4-FFF2-40B4-BE49-F238E27FC236}">
              <a16:creationId xmlns:a16="http://schemas.microsoft.com/office/drawing/2014/main" id="{365E8012-E801-8E40-95DB-E11F5A408B25}"/>
            </a:ext>
          </a:extLst>
        </xdr:cNvPr>
        <xdr:cNvSpPr/>
      </xdr:nvSpPr>
      <xdr:spPr>
        <a:xfrm>
          <a:off x="2730500" y="123431300"/>
          <a:ext cx="7239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612</xdr:row>
      <xdr:rowOff>0</xdr:rowOff>
    </xdr:from>
    <xdr:to>
      <xdr:col>3</xdr:col>
      <xdr:colOff>0</xdr:colOff>
      <xdr:row>613</xdr:row>
      <xdr:rowOff>0</xdr:rowOff>
    </xdr:to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622470B-3FF1-164B-916E-36062D47A4F4}"/>
            </a:ext>
          </a:extLst>
        </xdr:cNvPr>
        <xdr:cNvSpPr/>
      </xdr:nvSpPr>
      <xdr:spPr>
        <a:xfrm>
          <a:off x="2730500" y="123634500"/>
          <a:ext cx="7239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613</xdr:row>
      <xdr:rowOff>0</xdr:rowOff>
    </xdr:from>
    <xdr:to>
      <xdr:col>3</xdr:col>
      <xdr:colOff>0</xdr:colOff>
      <xdr:row>614</xdr:row>
      <xdr:rowOff>0</xdr:rowOff>
    </xdr:to>
    <xdr:sp macro="" textlink="">
      <xdr:nvSpPr>
        <xdr:cNvPr id="413" name="Rectangle 412">
          <a:extLst>
            <a:ext uri="{FF2B5EF4-FFF2-40B4-BE49-F238E27FC236}">
              <a16:creationId xmlns:a16="http://schemas.microsoft.com/office/drawing/2014/main" id="{FB5CEAC0-AF65-F849-BA7F-6077DF0A6F93}"/>
            </a:ext>
          </a:extLst>
        </xdr:cNvPr>
        <xdr:cNvSpPr/>
      </xdr:nvSpPr>
      <xdr:spPr>
        <a:xfrm>
          <a:off x="2730500" y="123837700"/>
          <a:ext cx="7239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615</xdr:row>
      <xdr:rowOff>6350</xdr:rowOff>
    </xdr:from>
    <xdr:to>
      <xdr:col>3</xdr:col>
      <xdr:colOff>0</xdr:colOff>
      <xdr:row>616</xdr:row>
      <xdr:rowOff>4750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3D033E31-51AA-3549-AC8B-055D12999AB9}"/>
            </a:ext>
          </a:extLst>
        </xdr:cNvPr>
        <xdr:cNvSpPr/>
      </xdr:nvSpPr>
      <xdr:spPr>
        <a:xfrm>
          <a:off x="2736850" y="124250450"/>
          <a:ext cx="717550" cy="2016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615</xdr:row>
      <xdr:rowOff>190500</xdr:rowOff>
    </xdr:from>
    <xdr:to>
      <xdr:col>3</xdr:col>
      <xdr:colOff>0</xdr:colOff>
      <xdr:row>617</xdr:row>
      <xdr:rowOff>38100</xdr:rowOff>
    </xdr:to>
    <xdr:sp macro="" textlink="">
      <xdr:nvSpPr>
        <xdr:cNvPr id="415" name="Rectangle 414">
          <a:extLst>
            <a:ext uri="{FF2B5EF4-FFF2-40B4-BE49-F238E27FC236}">
              <a16:creationId xmlns:a16="http://schemas.microsoft.com/office/drawing/2014/main" id="{238DD634-79D7-6047-9DB0-B9A42552B0B7}"/>
            </a:ext>
          </a:extLst>
        </xdr:cNvPr>
        <xdr:cNvSpPr/>
      </xdr:nvSpPr>
      <xdr:spPr>
        <a:xfrm>
          <a:off x="2730500" y="124434600"/>
          <a:ext cx="723900" cy="2540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617</xdr:row>
      <xdr:rowOff>12700</xdr:rowOff>
    </xdr:from>
    <xdr:to>
      <xdr:col>3</xdr:col>
      <xdr:colOff>0</xdr:colOff>
      <xdr:row>618</xdr:row>
      <xdr:rowOff>12700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6AF2553-EAEF-864A-8143-DC57786426D7}"/>
            </a:ext>
          </a:extLst>
        </xdr:cNvPr>
        <xdr:cNvSpPr/>
      </xdr:nvSpPr>
      <xdr:spPr>
        <a:xfrm>
          <a:off x="2730500" y="124663200"/>
          <a:ext cx="7239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618</xdr:row>
      <xdr:rowOff>12700</xdr:rowOff>
    </xdr:from>
    <xdr:to>
      <xdr:col>3</xdr:col>
      <xdr:colOff>0</xdr:colOff>
      <xdr:row>619</xdr:row>
      <xdr:rowOff>12700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1BB01705-2FCD-3D4D-87D0-BF7C3C35C37B}"/>
            </a:ext>
          </a:extLst>
        </xdr:cNvPr>
        <xdr:cNvSpPr/>
      </xdr:nvSpPr>
      <xdr:spPr>
        <a:xfrm>
          <a:off x="2730500" y="124866400"/>
          <a:ext cx="7239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628</xdr:row>
      <xdr:rowOff>0</xdr:rowOff>
    </xdr:from>
    <xdr:to>
      <xdr:col>3</xdr:col>
      <xdr:colOff>10165</xdr:colOff>
      <xdr:row>628</xdr:row>
      <xdr:rowOff>201600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0098309E-E1E8-4941-933D-4BD1F0AE58A4}"/>
            </a:ext>
          </a:extLst>
        </xdr:cNvPr>
        <xdr:cNvSpPr/>
      </xdr:nvSpPr>
      <xdr:spPr>
        <a:xfrm>
          <a:off x="40711965" y="3035300"/>
          <a:ext cx="4589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621</xdr:row>
      <xdr:rowOff>12700</xdr:rowOff>
    </xdr:from>
    <xdr:to>
      <xdr:col>3</xdr:col>
      <xdr:colOff>10165</xdr:colOff>
      <xdr:row>622</xdr:row>
      <xdr:rowOff>11100</xdr:rowOff>
    </xdr:to>
    <xdr:sp macro="" textlink="">
      <xdr:nvSpPr>
        <xdr:cNvPr id="419" name="Rectangle 418">
          <a:extLst>
            <a:ext uri="{FF2B5EF4-FFF2-40B4-BE49-F238E27FC236}">
              <a16:creationId xmlns:a16="http://schemas.microsoft.com/office/drawing/2014/main" id="{D6010890-4030-D340-9016-070C59325434}"/>
            </a:ext>
          </a:extLst>
        </xdr:cNvPr>
        <xdr:cNvSpPr/>
      </xdr:nvSpPr>
      <xdr:spPr>
        <a:xfrm>
          <a:off x="40711965" y="1625600"/>
          <a:ext cx="458900" cy="2016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620</xdr:row>
      <xdr:rowOff>12700</xdr:rowOff>
    </xdr:from>
    <xdr:to>
      <xdr:col>3</xdr:col>
      <xdr:colOff>10165</xdr:colOff>
      <xdr:row>621</xdr:row>
      <xdr:rowOff>11100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D0438333-8257-4543-899C-4A9E006E9196}"/>
            </a:ext>
          </a:extLst>
        </xdr:cNvPr>
        <xdr:cNvSpPr/>
      </xdr:nvSpPr>
      <xdr:spPr>
        <a:xfrm>
          <a:off x="40711965" y="1422400"/>
          <a:ext cx="4589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622</xdr:row>
      <xdr:rowOff>0</xdr:rowOff>
    </xdr:from>
    <xdr:to>
      <xdr:col>3</xdr:col>
      <xdr:colOff>10165</xdr:colOff>
      <xdr:row>623</xdr:row>
      <xdr:rowOff>0</xdr:rowOff>
    </xdr:to>
    <xdr:sp macro="" textlink="">
      <xdr:nvSpPr>
        <xdr:cNvPr id="421" name="Rectangle 420">
          <a:extLst>
            <a:ext uri="{FF2B5EF4-FFF2-40B4-BE49-F238E27FC236}">
              <a16:creationId xmlns:a16="http://schemas.microsoft.com/office/drawing/2014/main" id="{21CD348C-B88A-C441-8360-B6E9AC9564E9}"/>
            </a:ext>
          </a:extLst>
        </xdr:cNvPr>
        <xdr:cNvSpPr/>
      </xdr:nvSpPr>
      <xdr:spPr>
        <a:xfrm>
          <a:off x="40711965" y="1816100"/>
          <a:ext cx="4589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623</xdr:row>
      <xdr:rowOff>0</xdr:rowOff>
    </xdr:from>
    <xdr:to>
      <xdr:col>3</xdr:col>
      <xdr:colOff>10165</xdr:colOff>
      <xdr:row>624</xdr:row>
      <xdr:rowOff>0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D7D8835-898D-7B4D-ABC6-A9E02C696C6E}"/>
            </a:ext>
          </a:extLst>
        </xdr:cNvPr>
        <xdr:cNvSpPr/>
      </xdr:nvSpPr>
      <xdr:spPr>
        <a:xfrm>
          <a:off x="40711965" y="2019300"/>
          <a:ext cx="4589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625</xdr:row>
      <xdr:rowOff>0</xdr:rowOff>
    </xdr:from>
    <xdr:to>
      <xdr:col>3</xdr:col>
      <xdr:colOff>10165</xdr:colOff>
      <xdr:row>626</xdr:row>
      <xdr:rowOff>0</xdr:rowOff>
    </xdr:to>
    <xdr:sp macro="" textlink="">
      <xdr:nvSpPr>
        <xdr:cNvPr id="423" name="Rectangle 422">
          <a:extLst>
            <a:ext uri="{FF2B5EF4-FFF2-40B4-BE49-F238E27FC236}">
              <a16:creationId xmlns:a16="http://schemas.microsoft.com/office/drawing/2014/main" id="{7A546AB0-FB25-EE4A-A09C-E83EC99E59D1}"/>
            </a:ext>
          </a:extLst>
        </xdr:cNvPr>
        <xdr:cNvSpPr/>
      </xdr:nvSpPr>
      <xdr:spPr>
        <a:xfrm>
          <a:off x="40711965" y="2425700"/>
          <a:ext cx="4589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624</xdr:row>
      <xdr:rowOff>0</xdr:rowOff>
    </xdr:from>
    <xdr:to>
      <xdr:col>3</xdr:col>
      <xdr:colOff>10165</xdr:colOff>
      <xdr:row>624</xdr:row>
      <xdr:rowOff>201600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3CEB0D2F-C074-AE44-8D56-5F3AF35F8CDE}"/>
            </a:ext>
          </a:extLst>
        </xdr:cNvPr>
        <xdr:cNvSpPr/>
      </xdr:nvSpPr>
      <xdr:spPr>
        <a:xfrm>
          <a:off x="40711965" y="2222500"/>
          <a:ext cx="4589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626</xdr:row>
      <xdr:rowOff>0</xdr:rowOff>
    </xdr:from>
    <xdr:to>
      <xdr:col>3</xdr:col>
      <xdr:colOff>10165</xdr:colOff>
      <xdr:row>627</xdr:row>
      <xdr:rowOff>0</xdr:rowOff>
    </xdr:to>
    <xdr:sp macro="" textlink="">
      <xdr:nvSpPr>
        <xdr:cNvPr id="425" name="Rectangle 424">
          <a:extLst>
            <a:ext uri="{FF2B5EF4-FFF2-40B4-BE49-F238E27FC236}">
              <a16:creationId xmlns:a16="http://schemas.microsoft.com/office/drawing/2014/main" id="{A5B51E0E-82D0-5F4A-B654-6CD7E39B63E8}"/>
            </a:ext>
          </a:extLst>
        </xdr:cNvPr>
        <xdr:cNvSpPr/>
      </xdr:nvSpPr>
      <xdr:spPr>
        <a:xfrm>
          <a:off x="40711965" y="2628900"/>
          <a:ext cx="4589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627</xdr:row>
      <xdr:rowOff>0</xdr:rowOff>
    </xdr:from>
    <xdr:to>
      <xdr:col>3</xdr:col>
      <xdr:colOff>10165</xdr:colOff>
      <xdr:row>628</xdr:row>
      <xdr:rowOff>0</xdr:rowOff>
    </xdr:to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1BC9869-E94A-B74F-8740-1665E6D3EE93}"/>
            </a:ext>
          </a:extLst>
        </xdr:cNvPr>
        <xdr:cNvSpPr/>
      </xdr:nvSpPr>
      <xdr:spPr>
        <a:xfrm>
          <a:off x="40711965" y="2832100"/>
          <a:ext cx="4589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622</xdr:row>
      <xdr:rowOff>12700</xdr:rowOff>
    </xdr:from>
    <xdr:to>
      <xdr:col>3</xdr:col>
      <xdr:colOff>10165</xdr:colOff>
      <xdr:row>623</xdr:row>
      <xdr:rowOff>11100</xdr:rowOff>
    </xdr:to>
    <xdr:sp macro="" textlink="">
      <xdr:nvSpPr>
        <xdr:cNvPr id="427" name="Rectangle 426">
          <a:extLst>
            <a:ext uri="{FF2B5EF4-FFF2-40B4-BE49-F238E27FC236}">
              <a16:creationId xmlns:a16="http://schemas.microsoft.com/office/drawing/2014/main" id="{346646A4-C7F8-184E-BED7-83B57CD78217}"/>
            </a:ext>
          </a:extLst>
        </xdr:cNvPr>
        <xdr:cNvSpPr/>
      </xdr:nvSpPr>
      <xdr:spPr>
        <a:xfrm>
          <a:off x="40711965" y="1828800"/>
          <a:ext cx="458900" cy="2016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621</xdr:row>
      <xdr:rowOff>12700</xdr:rowOff>
    </xdr:from>
    <xdr:to>
      <xdr:col>3</xdr:col>
      <xdr:colOff>10165</xdr:colOff>
      <xdr:row>622</xdr:row>
      <xdr:rowOff>11100</xdr:rowOff>
    </xdr:to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C0D1F6F-EA11-1840-ADA0-8965A432928B}"/>
            </a:ext>
          </a:extLst>
        </xdr:cNvPr>
        <xdr:cNvSpPr/>
      </xdr:nvSpPr>
      <xdr:spPr>
        <a:xfrm>
          <a:off x="40711965" y="1625600"/>
          <a:ext cx="4589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620</xdr:row>
      <xdr:rowOff>4234</xdr:rowOff>
    </xdr:from>
    <xdr:to>
      <xdr:col>3</xdr:col>
      <xdr:colOff>10165</xdr:colOff>
      <xdr:row>621</xdr:row>
      <xdr:rowOff>2634</xdr:rowOff>
    </xdr:to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20295DA4-E34C-B44F-BE0C-0835D94324EF}"/>
            </a:ext>
          </a:extLst>
        </xdr:cNvPr>
        <xdr:cNvSpPr/>
      </xdr:nvSpPr>
      <xdr:spPr>
        <a:xfrm>
          <a:off x="40711965" y="1413934"/>
          <a:ext cx="458900" cy="201600"/>
        </a:xfrm>
        <a:prstGeom prst="rect">
          <a:avLst/>
        </a:prstGeom>
        <a:gradFill flip="none" rotWithShape="1">
          <a:gsLst>
            <a:gs pos="0">
              <a:srgbClr val="C83A23"/>
            </a:gs>
            <a:gs pos="47000">
              <a:srgbClr val="F46440"/>
            </a:gs>
            <a:gs pos="100000">
              <a:srgbClr val="F9875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623</xdr:row>
      <xdr:rowOff>0</xdr:rowOff>
    </xdr:from>
    <xdr:to>
      <xdr:col>3</xdr:col>
      <xdr:colOff>10165</xdr:colOff>
      <xdr:row>624</xdr:row>
      <xdr:rowOff>0</xdr:rowOff>
    </xdr:to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50277521-F3F3-CC4E-BEBC-80CF13172CC9}"/>
            </a:ext>
          </a:extLst>
        </xdr:cNvPr>
        <xdr:cNvSpPr/>
      </xdr:nvSpPr>
      <xdr:spPr>
        <a:xfrm>
          <a:off x="40711965" y="2019300"/>
          <a:ext cx="4589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624</xdr:row>
      <xdr:rowOff>0</xdr:rowOff>
    </xdr:from>
    <xdr:to>
      <xdr:col>3</xdr:col>
      <xdr:colOff>10165</xdr:colOff>
      <xdr:row>625</xdr:row>
      <xdr:rowOff>0</xdr:rowOff>
    </xdr:to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id="{4A7BEE01-DA22-9545-9C66-644B2D87759E}"/>
            </a:ext>
          </a:extLst>
        </xdr:cNvPr>
        <xdr:cNvSpPr/>
      </xdr:nvSpPr>
      <xdr:spPr>
        <a:xfrm>
          <a:off x="40711965" y="2222500"/>
          <a:ext cx="4589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626</xdr:row>
      <xdr:rowOff>0</xdr:rowOff>
    </xdr:from>
    <xdr:to>
      <xdr:col>3</xdr:col>
      <xdr:colOff>10165</xdr:colOff>
      <xdr:row>627</xdr:row>
      <xdr:rowOff>0</xdr:rowOff>
    </xdr:to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922BF49-1252-0A46-8BBD-0B435B4E7D6D}"/>
            </a:ext>
          </a:extLst>
        </xdr:cNvPr>
        <xdr:cNvSpPr/>
      </xdr:nvSpPr>
      <xdr:spPr>
        <a:xfrm>
          <a:off x="40711965" y="2628900"/>
          <a:ext cx="4589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625</xdr:row>
      <xdr:rowOff>0</xdr:rowOff>
    </xdr:from>
    <xdr:to>
      <xdr:col>3</xdr:col>
      <xdr:colOff>10165</xdr:colOff>
      <xdr:row>625</xdr:row>
      <xdr:rowOff>201600</xdr:rowOff>
    </xdr:to>
    <xdr:sp macro="" textlink="">
      <xdr:nvSpPr>
        <xdr:cNvPr id="433" name="Rectangle 432">
          <a:extLst>
            <a:ext uri="{FF2B5EF4-FFF2-40B4-BE49-F238E27FC236}">
              <a16:creationId xmlns:a16="http://schemas.microsoft.com/office/drawing/2014/main" id="{8356C8FB-AB98-1249-B9DA-7D0D860BB019}"/>
            </a:ext>
          </a:extLst>
        </xdr:cNvPr>
        <xdr:cNvSpPr/>
      </xdr:nvSpPr>
      <xdr:spPr>
        <a:xfrm>
          <a:off x="40711965" y="2425700"/>
          <a:ext cx="4589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627</xdr:row>
      <xdr:rowOff>0</xdr:rowOff>
    </xdr:from>
    <xdr:to>
      <xdr:col>3</xdr:col>
      <xdr:colOff>10165</xdr:colOff>
      <xdr:row>628</xdr:row>
      <xdr:rowOff>0</xdr:rowOff>
    </xdr:to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20CA01FC-4709-8940-866F-B1183167195A}"/>
            </a:ext>
          </a:extLst>
        </xdr:cNvPr>
        <xdr:cNvSpPr/>
      </xdr:nvSpPr>
      <xdr:spPr>
        <a:xfrm>
          <a:off x="40711965" y="2832100"/>
          <a:ext cx="4589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628</xdr:row>
      <xdr:rowOff>0</xdr:rowOff>
    </xdr:from>
    <xdr:to>
      <xdr:col>3</xdr:col>
      <xdr:colOff>10165</xdr:colOff>
      <xdr:row>629</xdr:row>
      <xdr:rowOff>0</xdr:rowOff>
    </xdr:to>
    <xdr:sp macro="" textlink="">
      <xdr:nvSpPr>
        <xdr:cNvPr id="435" name="Rectangle 434">
          <a:extLst>
            <a:ext uri="{FF2B5EF4-FFF2-40B4-BE49-F238E27FC236}">
              <a16:creationId xmlns:a16="http://schemas.microsoft.com/office/drawing/2014/main" id="{C864CC7F-7405-1C43-AFEB-91BF0DF4ACF9}"/>
            </a:ext>
          </a:extLst>
        </xdr:cNvPr>
        <xdr:cNvSpPr/>
      </xdr:nvSpPr>
      <xdr:spPr>
        <a:xfrm>
          <a:off x="40711965" y="3035300"/>
          <a:ext cx="4589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619</xdr:row>
      <xdr:rowOff>12700</xdr:rowOff>
    </xdr:from>
    <xdr:to>
      <xdr:col>3</xdr:col>
      <xdr:colOff>0</xdr:colOff>
      <xdr:row>620</xdr:row>
      <xdr:rowOff>12700</xdr:rowOff>
    </xdr:to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9BDEE0F6-2A6A-0B4F-AF75-F2510A716CC2}"/>
            </a:ext>
          </a:extLst>
        </xdr:cNvPr>
        <xdr:cNvSpPr/>
      </xdr:nvSpPr>
      <xdr:spPr>
        <a:xfrm>
          <a:off x="2736850" y="125069600"/>
          <a:ext cx="71755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635</xdr:row>
      <xdr:rowOff>0</xdr:rowOff>
    </xdr:from>
    <xdr:to>
      <xdr:col>3</xdr:col>
      <xdr:colOff>10165</xdr:colOff>
      <xdr:row>635</xdr:row>
      <xdr:rowOff>201600</xdr:rowOff>
    </xdr:to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E048FC33-EA3F-5D43-9761-93FABB9336DD}"/>
            </a:ext>
          </a:extLst>
        </xdr:cNvPr>
        <xdr:cNvSpPr/>
      </xdr:nvSpPr>
      <xdr:spPr>
        <a:xfrm>
          <a:off x="40711965" y="4254500"/>
          <a:ext cx="4589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636</xdr:row>
      <xdr:rowOff>0</xdr:rowOff>
    </xdr:from>
    <xdr:to>
      <xdr:col>3</xdr:col>
      <xdr:colOff>10165</xdr:colOff>
      <xdr:row>636</xdr:row>
      <xdr:rowOff>201600</xdr:rowOff>
    </xdr:to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DBDE14C-B83E-E04A-85CC-A8B4F7A7E807}"/>
            </a:ext>
          </a:extLst>
        </xdr:cNvPr>
        <xdr:cNvSpPr/>
      </xdr:nvSpPr>
      <xdr:spPr>
        <a:xfrm>
          <a:off x="40711965" y="4457700"/>
          <a:ext cx="458900" cy="2016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637</xdr:row>
      <xdr:rowOff>0</xdr:rowOff>
    </xdr:from>
    <xdr:to>
      <xdr:col>3</xdr:col>
      <xdr:colOff>10165</xdr:colOff>
      <xdr:row>638</xdr:row>
      <xdr:rowOff>0</xdr:rowOff>
    </xdr:to>
    <xdr:sp macro="" textlink="">
      <xdr:nvSpPr>
        <xdr:cNvPr id="479" name="Rectangle 478">
          <a:extLst>
            <a:ext uri="{FF2B5EF4-FFF2-40B4-BE49-F238E27FC236}">
              <a16:creationId xmlns:a16="http://schemas.microsoft.com/office/drawing/2014/main" id="{65FE25CC-8764-4B42-AC6A-4FDF9AF70CF2}"/>
            </a:ext>
          </a:extLst>
        </xdr:cNvPr>
        <xdr:cNvSpPr/>
      </xdr:nvSpPr>
      <xdr:spPr>
        <a:xfrm>
          <a:off x="40711965" y="4660900"/>
          <a:ext cx="458900" cy="2032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630</xdr:row>
      <xdr:rowOff>0</xdr:rowOff>
    </xdr:from>
    <xdr:to>
      <xdr:col>3</xdr:col>
      <xdr:colOff>10165</xdr:colOff>
      <xdr:row>631</xdr:row>
      <xdr:rowOff>0</xdr:rowOff>
    </xdr:to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5A1FA825-9A7D-C24F-B155-8F9B86DC9668}"/>
            </a:ext>
          </a:extLst>
        </xdr:cNvPr>
        <xdr:cNvSpPr/>
      </xdr:nvSpPr>
      <xdr:spPr>
        <a:xfrm>
          <a:off x="40711965" y="3238500"/>
          <a:ext cx="4589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631</xdr:row>
      <xdr:rowOff>0</xdr:rowOff>
    </xdr:from>
    <xdr:to>
      <xdr:col>3</xdr:col>
      <xdr:colOff>10165</xdr:colOff>
      <xdr:row>632</xdr:row>
      <xdr:rowOff>0</xdr:rowOff>
    </xdr:to>
    <xdr:sp macro="" textlink="">
      <xdr:nvSpPr>
        <xdr:cNvPr id="481" name="Rectangle 480">
          <a:extLst>
            <a:ext uri="{FF2B5EF4-FFF2-40B4-BE49-F238E27FC236}">
              <a16:creationId xmlns:a16="http://schemas.microsoft.com/office/drawing/2014/main" id="{E945FC0E-3BE9-1144-9B6F-0C0739168A76}"/>
            </a:ext>
          </a:extLst>
        </xdr:cNvPr>
        <xdr:cNvSpPr/>
      </xdr:nvSpPr>
      <xdr:spPr>
        <a:xfrm>
          <a:off x="40711965" y="3441700"/>
          <a:ext cx="4589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632</xdr:row>
      <xdr:rowOff>0</xdr:rowOff>
    </xdr:from>
    <xdr:to>
      <xdr:col>3</xdr:col>
      <xdr:colOff>10165</xdr:colOff>
      <xdr:row>633</xdr:row>
      <xdr:rowOff>0</xdr:rowOff>
    </xdr:to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BC9788-46E5-1345-B86B-42602D201CBD}"/>
            </a:ext>
          </a:extLst>
        </xdr:cNvPr>
        <xdr:cNvSpPr/>
      </xdr:nvSpPr>
      <xdr:spPr>
        <a:xfrm>
          <a:off x="40711965" y="3644900"/>
          <a:ext cx="4589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633</xdr:row>
      <xdr:rowOff>0</xdr:rowOff>
    </xdr:from>
    <xdr:to>
      <xdr:col>3</xdr:col>
      <xdr:colOff>10165</xdr:colOff>
      <xdr:row>634</xdr:row>
      <xdr:rowOff>50800</xdr:rowOff>
    </xdr:to>
    <xdr:sp macro="" textlink="">
      <xdr:nvSpPr>
        <xdr:cNvPr id="483" name="Rectangle 482">
          <a:extLst>
            <a:ext uri="{FF2B5EF4-FFF2-40B4-BE49-F238E27FC236}">
              <a16:creationId xmlns:a16="http://schemas.microsoft.com/office/drawing/2014/main" id="{0A21F182-0262-D449-A5C8-8FC50E0B1865}"/>
            </a:ext>
          </a:extLst>
        </xdr:cNvPr>
        <xdr:cNvSpPr/>
      </xdr:nvSpPr>
      <xdr:spPr>
        <a:xfrm>
          <a:off x="40711965" y="3848100"/>
          <a:ext cx="4589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634</xdr:row>
      <xdr:rowOff>12700</xdr:rowOff>
    </xdr:from>
    <xdr:to>
      <xdr:col>3</xdr:col>
      <xdr:colOff>10165</xdr:colOff>
      <xdr:row>635</xdr:row>
      <xdr:rowOff>12700</xdr:rowOff>
    </xdr:to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1AEE8753-B270-4A42-8968-3CAB47F387DA}"/>
            </a:ext>
          </a:extLst>
        </xdr:cNvPr>
        <xdr:cNvSpPr/>
      </xdr:nvSpPr>
      <xdr:spPr>
        <a:xfrm>
          <a:off x="40711965" y="4064000"/>
          <a:ext cx="4589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630</xdr:row>
      <xdr:rowOff>0</xdr:rowOff>
    </xdr:from>
    <xdr:to>
      <xdr:col>3</xdr:col>
      <xdr:colOff>10165</xdr:colOff>
      <xdr:row>630</xdr:row>
      <xdr:rowOff>201600</xdr:rowOff>
    </xdr:to>
    <xdr:sp macro="" textlink="">
      <xdr:nvSpPr>
        <xdr:cNvPr id="485" name="Rectangle 484">
          <a:extLst>
            <a:ext uri="{FF2B5EF4-FFF2-40B4-BE49-F238E27FC236}">
              <a16:creationId xmlns:a16="http://schemas.microsoft.com/office/drawing/2014/main" id="{5C54075F-AF6C-7742-91AA-E12205F933F2}"/>
            </a:ext>
          </a:extLst>
        </xdr:cNvPr>
        <xdr:cNvSpPr/>
      </xdr:nvSpPr>
      <xdr:spPr>
        <a:xfrm>
          <a:off x="40711965" y="3238500"/>
          <a:ext cx="4589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636</xdr:row>
      <xdr:rowOff>0</xdr:rowOff>
    </xdr:from>
    <xdr:to>
      <xdr:col>3</xdr:col>
      <xdr:colOff>10165</xdr:colOff>
      <xdr:row>636</xdr:row>
      <xdr:rowOff>201600</xdr:rowOff>
    </xdr:to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75377089-E555-9440-B910-422D03665CFF}"/>
            </a:ext>
          </a:extLst>
        </xdr:cNvPr>
        <xdr:cNvSpPr/>
      </xdr:nvSpPr>
      <xdr:spPr>
        <a:xfrm>
          <a:off x="40711965" y="4457700"/>
          <a:ext cx="4589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637</xdr:row>
      <xdr:rowOff>0</xdr:rowOff>
    </xdr:from>
    <xdr:to>
      <xdr:col>3</xdr:col>
      <xdr:colOff>10165</xdr:colOff>
      <xdr:row>637</xdr:row>
      <xdr:rowOff>201600</xdr:rowOff>
    </xdr:to>
    <xdr:sp macro="" textlink="">
      <xdr:nvSpPr>
        <xdr:cNvPr id="487" name="Rectangle 486">
          <a:extLst>
            <a:ext uri="{FF2B5EF4-FFF2-40B4-BE49-F238E27FC236}">
              <a16:creationId xmlns:a16="http://schemas.microsoft.com/office/drawing/2014/main" id="{441CA1C0-42B7-4C46-83B4-08418BC785FB}"/>
            </a:ext>
          </a:extLst>
        </xdr:cNvPr>
        <xdr:cNvSpPr/>
      </xdr:nvSpPr>
      <xdr:spPr>
        <a:xfrm>
          <a:off x="40711965" y="4660900"/>
          <a:ext cx="458900" cy="2016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638</xdr:row>
      <xdr:rowOff>0</xdr:rowOff>
    </xdr:from>
    <xdr:to>
      <xdr:col>3</xdr:col>
      <xdr:colOff>10165</xdr:colOff>
      <xdr:row>639</xdr:row>
      <xdr:rowOff>0</xdr:rowOff>
    </xdr:to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D2D132A5-5EC1-1F49-B540-F755EFE4274C}"/>
            </a:ext>
          </a:extLst>
        </xdr:cNvPr>
        <xdr:cNvSpPr/>
      </xdr:nvSpPr>
      <xdr:spPr>
        <a:xfrm>
          <a:off x="40711965" y="4864100"/>
          <a:ext cx="458900" cy="2159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631</xdr:row>
      <xdr:rowOff>0</xdr:rowOff>
    </xdr:from>
    <xdr:to>
      <xdr:col>3</xdr:col>
      <xdr:colOff>10165</xdr:colOff>
      <xdr:row>632</xdr:row>
      <xdr:rowOff>0</xdr:rowOff>
    </xdr:to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8CED3FDD-0FF0-534F-B6A1-60BB6589F68A}"/>
            </a:ext>
          </a:extLst>
        </xdr:cNvPr>
        <xdr:cNvSpPr/>
      </xdr:nvSpPr>
      <xdr:spPr>
        <a:xfrm>
          <a:off x="40711965" y="3441700"/>
          <a:ext cx="4589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632</xdr:row>
      <xdr:rowOff>0</xdr:rowOff>
    </xdr:from>
    <xdr:to>
      <xdr:col>3</xdr:col>
      <xdr:colOff>10165</xdr:colOff>
      <xdr:row>633</xdr:row>
      <xdr:rowOff>0</xdr:rowOff>
    </xdr:to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95FC92A-06D9-004B-A60F-23095B9B36DE}"/>
            </a:ext>
          </a:extLst>
        </xdr:cNvPr>
        <xdr:cNvSpPr/>
      </xdr:nvSpPr>
      <xdr:spPr>
        <a:xfrm>
          <a:off x="40711965" y="3644900"/>
          <a:ext cx="4589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633</xdr:row>
      <xdr:rowOff>0</xdr:rowOff>
    </xdr:from>
    <xdr:to>
      <xdr:col>3</xdr:col>
      <xdr:colOff>10165</xdr:colOff>
      <xdr:row>634</xdr:row>
      <xdr:rowOff>0</xdr:rowOff>
    </xdr:to>
    <xdr:sp macro="" textlink="">
      <xdr:nvSpPr>
        <xdr:cNvPr id="491" name="Rectangle 490">
          <a:extLst>
            <a:ext uri="{FF2B5EF4-FFF2-40B4-BE49-F238E27FC236}">
              <a16:creationId xmlns:a16="http://schemas.microsoft.com/office/drawing/2014/main" id="{6CE507CA-CDC3-C349-97CA-2D6610FB697F}"/>
            </a:ext>
          </a:extLst>
        </xdr:cNvPr>
        <xdr:cNvSpPr/>
      </xdr:nvSpPr>
      <xdr:spPr>
        <a:xfrm>
          <a:off x="40711965" y="3848100"/>
          <a:ext cx="4589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634</xdr:row>
      <xdr:rowOff>0</xdr:rowOff>
    </xdr:from>
    <xdr:to>
      <xdr:col>3</xdr:col>
      <xdr:colOff>10165</xdr:colOff>
      <xdr:row>635</xdr:row>
      <xdr:rowOff>50800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5A2D3789-02B9-5A4B-BE08-E10EF9CF8060}"/>
            </a:ext>
          </a:extLst>
        </xdr:cNvPr>
        <xdr:cNvSpPr/>
      </xdr:nvSpPr>
      <xdr:spPr>
        <a:xfrm>
          <a:off x="40711965" y="4051300"/>
          <a:ext cx="4589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635</xdr:row>
      <xdr:rowOff>12700</xdr:rowOff>
    </xdr:from>
    <xdr:to>
      <xdr:col>3</xdr:col>
      <xdr:colOff>10165</xdr:colOff>
      <xdr:row>636</xdr:row>
      <xdr:rowOff>12700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306AD3AF-5AB3-AE4E-A229-38750BC9FD51}"/>
            </a:ext>
          </a:extLst>
        </xdr:cNvPr>
        <xdr:cNvSpPr/>
      </xdr:nvSpPr>
      <xdr:spPr>
        <a:xfrm>
          <a:off x="40711965" y="4267200"/>
          <a:ext cx="4589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631</xdr:row>
      <xdr:rowOff>0</xdr:rowOff>
    </xdr:from>
    <xdr:to>
      <xdr:col>3</xdr:col>
      <xdr:colOff>10165</xdr:colOff>
      <xdr:row>632</xdr:row>
      <xdr:rowOff>0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6E7B3E3-B232-6341-9C0E-2B9E49D48664}"/>
            </a:ext>
          </a:extLst>
        </xdr:cNvPr>
        <xdr:cNvSpPr/>
      </xdr:nvSpPr>
      <xdr:spPr>
        <a:xfrm>
          <a:off x="2738965" y="127292100"/>
          <a:ext cx="7256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699</xdr:row>
      <xdr:rowOff>6350</xdr:rowOff>
    </xdr:from>
    <xdr:to>
      <xdr:col>3</xdr:col>
      <xdr:colOff>6350</xdr:colOff>
      <xdr:row>700</xdr:row>
      <xdr:rowOff>0</xdr:rowOff>
    </xdr:to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FCC7A321-104E-274B-B054-587A70976DB7}"/>
            </a:ext>
          </a:extLst>
        </xdr:cNvPr>
        <xdr:cNvSpPr/>
      </xdr:nvSpPr>
      <xdr:spPr>
        <a:xfrm>
          <a:off x="2730502" y="141319250"/>
          <a:ext cx="730248" cy="196850"/>
        </a:xfrm>
        <a:prstGeom prst="rect">
          <a:avLst/>
        </a:prstGeom>
        <a:gradFill flip="none" rotWithShape="1">
          <a:gsLst>
            <a:gs pos="0">
              <a:srgbClr val="A29A86"/>
            </a:gs>
            <a:gs pos="30000">
              <a:srgbClr val="313324"/>
            </a:gs>
            <a:gs pos="65000">
              <a:srgbClr val="D2B468"/>
            </a:gs>
            <a:gs pos="100000">
              <a:srgbClr val="412F1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699</xdr:row>
      <xdr:rowOff>196850</xdr:rowOff>
    </xdr:from>
    <xdr:to>
      <xdr:col>3</xdr:col>
      <xdr:colOff>6350</xdr:colOff>
      <xdr:row>701</xdr:row>
      <xdr:rowOff>0</xdr:rowOff>
    </xdr:to>
    <xdr:sp macro="" textlink="">
      <xdr:nvSpPr>
        <xdr:cNvPr id="511" name="Rectangle 510">
          <a:extLst>
            <a:ext uri="{FF2B5EF4-FFF2-40B4-BE49-F238E27FC236}">
              <a16:creationId xmlns:a16="http://schemas.microsoft.com/office/drawing/2014/main" id="{65B96DF4-4693-CA49-834B-8655AB3ABA6C}"/>
            </a:ext>
          </a:extLst>
        </xdr:cNvPr>
        <xdr:cNvSpPr/>
      </xdr:nvSpPr>
      <xdr:spPr>
        <a:xfrm>
          <a:off x="2730502" y="141509750"/>
          <a:ext cx="730248" cy="209550"/>
        </a:xfrm>
        <a:prstGeom prst="rect">
          <a:avLst/>
        </a:prstGeom>
        <a:gradFill flip="none" rotWithShape="1">
          <a:gsLst>
            <a:gs pos="0">
              <a:srgbClr val="492F20"/>
            </a:gs>
            <a:gs pos="31000">
              <a:srgbClr val="6A2257"/>
            </a:gs>
            <a:gs pos="65000">
              <a:srgbClr val="39393C"/>
            </a:gs>
            <a:gs pos="100000">
              <a:srgbClr val="7E423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701</xdr:row>
      <xdr:rowOff>6350</xdr:rowOff>
    </xdr:from>
    <xdr:to>
      <xdr:col>3</xdr:col>
      <xdr:colOff>6350</xdr:colOff>
      <xdr:row>702</xdr:row>
      <xdr:rowOff>12700</xdr:rowOff>
    </xdr:to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7674A0BA-CC3C-F84C-9FDA-5FF5A92406FF}"/>
            </a:ext>
          </a:extLst>
        </xdr:cNvPr>
        <xdr:cNvSpPr/>
      </xdr:nvSpPr>
      <xdr:spPr>
        <a:xfrm>
          <a:off x="2730502" y="141725650"/>
          <a:ext cx="730248" cy="209550"/>
        </a:xfrm>
        <a:prstGeom prst="rect">
          <a:avLst/>
        </a:prstGeom>
        <a:gradFill flip="none" rotWithShape="1">
          <a:gsLst>
            <a:gs pos="0">
              <a:srgbClr val="B3BDEA"/>
            </a:gs>
            <a:gs pos="31000">
              <a:srgbClr val="D49EE1"/>
            </a:gs>
            <a:gs pos="65000">
              <a:srgbClr val="887673"/>
            </a:gs>
            <a:gs pos="100000">
              <a:srgbClr val="B99F7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683</xdr:row>
      <xdr:rowOff>0</xdr:rowOff>
    </xdr:from>
    <xdr:to>
      <xdr:col>3</xdr:col>
      <xdr:colOff>0</xdr:colOff>
      <xdr:row>684</xdr:row>
      <xdr:rowOff>0</xdr:rowOff>
    </xdr:to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5F14F43C-EC14-4742-BC3B-5CED15D7C027}"/>
            </a:ext>
          </a:extLst>
        </xdr:cNvPr>
        <xdr:cNvSpPr/>
      </xdr:nvSpPr>
      <xdr:spPr>
        <a:xfrm>
          <a:off x="2730502" y="138061700"/>
          <a:ext cx="723898" cy="203200"/>
        </a:xfrm>
        <a:prstGeom prst="rect">
          <a:avLst/>
        </a:prstGeom>
        <a:gradFill flip="none" rotWithShape="1">
          <a:gsLst>
            <a:gs pos="0">
              <a:srgbClr val="4C4C1C"/>
            </a:gs>
            <a:gs pos="31000">
              <a:srgbClr val="999E75"/>
            </a:gs>
            <a:gs pos="65000">
              <a:srgbClr val="866A77"/>
            </a:gs>
            <a:gs pos="100000">
              <a:srgbClr val="AF989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684</xdr:row>
      <xdr:rowOff>0</xdr:rowOff>
    </xdr:from>
    <xdr:to>
      <xdr:col>3</xdr:col>
      <xdr:colOff>0</xdr:colOff>
      <xdr:row>685</xdr:row>
      <xdr:rowOff>0</xdr:rowOff>
    </xdr:to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9E01B17-B718-E44E-9CFB-F8D021A3399B}"/>
            </a:ext>
          </a:extLst>
        </xdr:cNvPr>
        <xdr:cNvSpPr/>
      </xdr:nvSpPr>
      <xdr:spPr>
        <a:xfrm>
          <a:off x="2730502" y="138264900"/>
          <a:ext cx="723898" cy="203200"/>
        </a:xfrm>
        <a:prstGeom prst="rect">
          <a:avLst/>
        </a:prstGeom>
        <a:gradFill flip="none" rotWithShape="1">
          <a:gsLst>
            <a:gs pos="0">
              <a:srgbClr val="D2DE75"/>
            </a:gs>
            <a:gs pos="31000">
              <a:srgbClr val="617674"/>
            </a:gs>
            <a:gs pos="66000">
              <a:srgbClr val="66924A"/>
            </a:gs>
            <a:gs pos="100000">
              <a:srgbClr val="44729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685</xdr:row>
      <xdr:rowOff>0</xdr:rowOff>
    </xdr:from>
    <xdr:to>
      <xdr:col>3</xdr:col>
      <xdr:colOff>0</xdr:colOff>
      <xdr:row>686</xdr:row>
      <xdr:rowOff>0</xdr:rowOff>
    </xdr:to>
    <xdr:sp macro="" textlink="">
      <xdr:nvSpPr>
        <xdr:cNvPr id="515" name="Rectangle 514">
          <a:extLst>
            <a:ext uri="{FF2B5EF4-FFF2-40B4-BE49-F238E27FC236}">
              <a16:creationId xmlns:a16="http://schemas.microsoft.com/office/drawing/2014/main" id="{BF8B2635-A165-D749-8C02-C9A11C9CB704}"/>
            </a:ext>
          </a:extLst>
        </xdr:cNvPr>
        <xdr:cNvSpPr/>
      </xdr:nvSpPr>
      <xdr:spPr>
        <a:xfrm>
          <a:off x="2730502" y="138468100"/>
          <a:ext cx="723898" cy="2032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31000">
              <a:srgbClr val="05525C"/>
            </a:gs>
            <a:gs pos="64000">
              <a:srgbClr val="73D0B8"/>
            </a:gs>
            <a:gs pos="100000">
              <a:srgbClr val="4E5B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686</xdr:row>
      <xdr:rowOff>0</xdr:rowOff>
    </xdr:from>
    <xdr:to>
      <xdr:col>3</xdr:col>
      <xdr:colOff>6350</xdr:colOff>
      <xdr:row>687</xdr:row>
      <xdr:rowOff>0</xdr:rowOff>
    </xdr:to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A6F11B8-EF70-2942-8D05-C08767C2CC82}"/>
            </a:ext>
          </a:extLst>
        </xdr:cNvPr>
        <xdr:cNvSpPr/>
      </xdr:nvSpPr>
      <xdr:spPr>
        <a:xfrm>
          <a:off x="2730502" y="138671300"/>
          <a:ext cx="730248" cy="203200"/>
        </a:xfrm>
        <a:prstGeom prst="rect">
          <a:avLst/>
        </a:prstGeom>
        <a:gradFill flip="none" rotWithShape="1">
          <a:gsLst>
            <a:gs pos="0">
              <a:srgbClr val="BB9D54"/>
            </a:gs>
            <a:gs pos="31000">
              <a:srgbClr val="FEF6B6"/>
            </a:gs>
            <a:gs pos="65000">
              <a:srgbClr val="BEB8AC"/>
            </a:gs>
            <a:gs pos="100000">
              <a:srgbClr val="E8AC9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687</xdr:row>
      <xdr:rowOff>0</xdr:rowOff>
    </xdr:from>
    <xdr:to>
      <xdr:col>3</xdr:col>
      <xdr:colOff>0</xdr:colOff>
      <xdr:row>688</xdr:row>
      <xdr:rowOff>0</xdr:rowOff>
    </xdr:to>
    <xdr:sp macro="" textlink="">
      <xdr:nvSpPr>
        <xdr:cNvPr id="517" name="Rectangle 516">
          <a:extLst>
            <a:ext uri="{FF2B5EF4-FFF2-40B4-BE49-F238E27FC236}">
              <a16:creationId xmlns:a16="http://schemas.microsoft.com/office/drawing/2014/main" id="{C7374B26-8F86-5D4E-974A-E600BEEC0089}"/>
            </a:ext>
          </a:extLst>
        </xdr:cNvPr>
        <xdr:cNvSpPr/>
      </xdr:nvSpPr>
      <xdr:spPr>
        <a:xfrm>
          <a:off x="2730502" y="138874500"/>
          <a:ext cx="723898" cy="203200"/>
        </a:xfrm>
        <a:prstGeom prst="rect">
          <a:avLst/>
        </a:prstGeom>
        <a:gradFill flip="none" rotWithShape="1">
          <a:gsLst>
            <a:gs pos="0">
              <a:srgbClr val="5D5D54"/>
            </a:gs>
            <a:gs pos="31000">
              <a:srgbClr val="BB6863"/>
            </a:gs>
            <a:gs pos="65000">
              <a:srgbClr val="ACC238"/>
            </a:gs>
            <a:gs pos="100000">
              <a:srgbClr val="C697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688</xdr:row>
      <xdr:rowOff>0</xdr:rowOff>
    </xdr:from>
    <xdr:to>
      <xdr:col>3</xdr:col>
      <xdr:colOff>0</xdr:colOff>
      <xdr:row>689</xdr:row>
      <xdr:rowOff>0</xdr:rowOff>
    </xdr:to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8C11A86-2D47-2349-8FAC-A98055FA46E2}"/>
            </a:ext>
          </a:extLst>
        </xdr:cNvPr>
        <xdr:cNvSpPr/>
      </xdr:nvSpPr>
      <xdr:spPr>
        <a:xfrm>
          <a:off x="2730502" y="139077700"/>
          <a:ext cx="723898" cy="203200"/>
        </a:xfrm>
        <a:prstGeom prst="rect">
          <a:avLst/>
        </a:prstGeom>
        <a:gradFill flip="none" rotWithShape="1">
          <a:gsLst>
            <a:gs pos="0">
              <a:srgbClr val="CBC959"/>
            </a:gs>
            <a:gs pos="31000">
              <a:srgbClr val="F2484D"/>
            </a:gs>
            <a:gs pos="65000">
              <a:srgbClr val="807867"/>
            </a:gs>
            <a:gs pos="100000">
              <a:srgbClr val="C1573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689</xdr:row>
      <xdr:rowOff>0</xdr:rowOff>
    </xdr:from>
    <xdr:to>
      <xdr:col>3</xdr:col>
      <xdr:colOff>0</xdr:colOff>
      <xdr:row>690</xdr:row>
      <xdr:rowOff>0</xdr:rowOff>
    </xdr:to>
    <xdr:sp macro="" textlink="">
      <xdr:nvSpPr>
        <xdr:cNvPr id="519" name="Rectangle 518">
          <a:extLst>
            <a:ext uri="{FF2B5EF4-FFF2-40B4-BE49-F238E27FC236}">
              <a16:creationId xmlns:a16="http://schemas.microsoft.com/office/drawing/2014/main" id="{6DE796AC-6B08-C841-B5A5-DD06E13802D6}"/>
            </a:ext>
          </a:extLst>
        </xdr:cNvPr>
        <xdr:cNvSpPr/>
      </xdr:nvSpPr>
      <xdr:spPr>
        <a:xfrm>
          <a:off x="2730502" y="139280900"/>
          <a:ext cx="723898" cy="203200"/>
        </a:xfrm>
        <a:prstGeom prst="rect">
          <a:avLst/>
        </a:prstGeom>
        <a:gradFill flip="none" rotWithShape="1">
          <a:gsLst>
            <a:gs pos="0">
              <a:srgbClr val="D1883C"/>
            </a:gs>
            <a:gs pos="31000">
              <a:srgbClr val="C62B37"/>
            </a:gs>
            <a:gs pos="65000">
              <a:srgbClr val="432618"/>
            </a:gs>
            <a:gs pos="99000">
              <a:srgbClr val="4C4B1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690</xdr:row>
      <xdr:rowOff>0</xdr:rowOff>
    </xdr:from>
    <xdr:to>
      <xdr:col>3</xdr:col>
      <xdr:colOff>0</xdr:colOff>
      <xdr:row>691</xdr:row>
      <xdr:rowOff>0</xdr:rowOff>
    </xdr:to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ED6D52F-1A1A-7648-87C0-0C065209D8D4}"/>
            </a:ext>
          </a:extLst>
        </xdr:cNvPr>
        <xdr:cNvSpPr/>
      </xdr:nvSpPr>
      <xdr:spPr>
        <a:xfrm>
          <a:off x="2730502" y="139484100"/>
          <a:ext cx="723898" cy="203200"/>
        </a:xfrm>
        <a:prstGeom prst="rect">
          <a:avLst/>
        </a:prstGeom>
        <a:gradFill flip="none" rotWithShape="1">
          <a:gsLst>
            <a:gs pos="0">
              <a:srgbClr val="9A9B9C"/>
            </a:gs>
            <a:gs pos="31000">
              <a:srgbClr val="4E5CA7"/>
            </a:gs>
            <a:gs pos="65000">
              <a:srgbClr val="C72B38"/>
            </a:gs>
            <a:gs pos="100000">
              <a:srgbClr val="0D275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691</xdr:row>
      <xdr:rowOff>0</xdr:rowOff>
    </xdr:from>
    <xdr:to>
      <xdr:col>3</xdr:col>
      <xdr:colOff>0</xdr:colOff>
      <xdr:row>691</xdr:row>
      <xdr:rowOff>201600</xdr:rowOff>
    </xdr:to>
    <xdr:sp macro="" textlink="">
      <xdr:nvSpPr>
        <xdr:cNvPr id="521" name="Rectangle 520">
          <a:extLst>
            <a:ext uri="{FF2B5EF4-FFF2-40B4-BE49-F238E27FC236}">
              <a16:creationId xmlns:a16="http://schemas.microsoft.com/office/drawing/2014/main" id="{D676911F-F3ED-584C-B105-FA3877DFC0A0}"/>
            </a:ext>
          </a:extLst>
        </xdr:cNvPr>
        <xdr:cNvSpPr/>
      </xdr:nvSpPr>
      <xdr:spPr>
        <a:xfrm>
          <a:off x="2730502" y="139687300"/>
          <a:ext cx="723898" cy="201600"/>
        </a:xfrm>
        <a:prstGeom prst="rect">
          <a:avLst/>
        </a:prstGeom>
        <a:gradFill flip="none" rotWithShape="1">
          <a:gsLst>
            <a:gs pos="0">
              <a:srgbClr val="FFFEFF"/>
            </a:gs>
            <a:gs pos="31000">
              <a:srgbClr val="494749"/>
            </a:gs>
            <a:gs pos="65000">
              <a:srgbClr val="711032"/>
            </a:gs>
            <a:gs pos="100000">
              <a:srgbClr val="999B9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692</xdr:row>
      <xdr:rowOff>0</xdr:rowOff>
    </xdr:from>
    <xdr:to>
      <xdr:col>3</xdr:col>
      <xdr:colOff>0</xdr:colOff>
      <xdr:row>693</xdr:row>
      <xdr:rowOff>0</xdr:rowOff>
    </xdr:to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C5B38851-63A3-874E-8EB7-18A05A4C20CC}"/>
            </a:ext>
          </a:extLst>
        </xdr:cNvPr>
        <xdr:cNvSpPr/>
      </xdr:nvSpPr>
      <xdr:spPr>
        <a:xfrm>
          <a:off x="2730502" y="139890500"/>
          <a:ext cx="723898" cy="203200"/>
        </a:xfrm>
        <a:prstGeom prst="rect">
          <a:avLst/>
        </a:prstGeom>
        <a:gradFill flip="none" rotWithShape="1">
          <a:gsLst>
            <a:gs pos="0">
              <a:srgbClr val="116A75"/>
            </a:gs>
            <a:gs pos="31000">
              <a:srgbClr val="6D6369"/>
            </a:gs>
            <a:gs pos="65000">
              <a:srgbClr val="EBC5EB"/>
            </a:gs>
            <a:gs pos="100000">
              <a:srgbClr val="6B22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693</xdr:row>
      <xdr:rowOff>0</xdr:rowOff>
    </xdr:from>
    <xdr:to>
      <xdr:col>3</xdr:col>
      <xdr:colOff>0</xdr:colOff>
      <xdr:row>694</xdr:row>
      <xdr:rowOff>0</xdr:rowOff>
    </xdr:to>
    <xdr:sp macro="" textlink="">
      <xdr:nvSpPr>
        <xdr:cNvPr id="523" name="Rectangle 522">
          <a:extLst>
            <a:ext uri="{FF2B5EF4-FFF2-40B4-BE49-F238E27FC236}">
              <a16:creationId xmlns:a16="http://schemas.microsoft.com/office/drawing/2014/main" id="{6960FFF0-4E56-5648-831E-6EF60B0A4261}"/>
            </a:ext>
          </a:extLst>
        </xdr:cNvPr>
        <xdr:cNvSpPr/>
      </xdr:nvSpPr>
      <xdr:spPr>
        <a:xfrm>
          <a:off x="2730502" y="140093700"/>
          <a:ext cx="723898" cy="203200"/>
        </a:xfrm>
        <a:prstGeom prst="rect">
          <a:avLst/>
        </a:prstGeom>
        <a:gradFill flip="none" rotWithShape="1">
          <a:gsLst>
            <a:gs pos="0">
              <a:srgbClr val="593C2C"/>
            </a:gs>
            <a:gs pos="31000">
              <a:srgbClr val="795939"/>
            </a:gs>
            <a:gs pos="65000">
              <a:srgbClr val="93A0AF"/>
            </a:gs>
            <a:gs pos="100000">
              <a:srgbClr val="495C6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694</xdr:row>
      <xdr:rowOff>0</xdr:rowOff>
    </xdr:from>
    <xdr:to>
      <xdr:col>3</xdr:col>
      <xdr:colOff>0</xdr:colOff>
      <xdr:row>695</xdr:row>
      <xdr:rowOff>0</xdr:rowOff>
    </xdr:to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95F49F54-7E35-9F4E-BAC6-AE6BF4000E0C}"/>
            </a:ext>
          </a:extLst>
        </xdr:cNvPr>
        <xdr:cNvSpPr/>
      </xdr:nvSpPr>
      <xdr:spPr>
        <a:xfrm>
          <a:off x="2730502" y="140296900"/>
          <a:ext cx="723898" cy="203200"/>
        </a:xfrm>
        <a:prstGeom prst="rect">
          <a:avLst/>
        </a:prstGeom>
        <a:gradFill flip="none" rotWithShape="1">
          <a:gsLst>
            <a:gs pos="0">
              <a:srgbClr val="593B2D"/>
            </a:gs>
            <a:gs pos="31000">
              <a:srgbClr val="7E4231"/>
            </a:gs>
            <a:gs pos="65000">
              <a:srgbClr val="F7EFD9"/>
            </a:gs>
            <a:gs pos="100000">
              <a:srgbClr val="970B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695</xdr:row>
      <xdr:rowOff>0</xdr:rowOff>
    </xdr:from>
    <xdr:to>
      <xdr:col>3</xdr:col>
      <xdr:colOff>0</xdr:colOff>
      <xdr:row>696</xdr:row>
      <xdr:rowOff>0</xdr:rowOff>
    </xdr:to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4C74F95C-1DF5-4147-BF16-C1ED53D4A507}"/>
            </a:ext>
          </a:extLst>
        </xdr:cNvPr>
        <xdr:cNvSpPr/>
      </xdr:nvSpPr>
      <xdr:spPr>
        <a:xfrm>
          <a:off x="2730502" y="140500100"/>
          <a:ext cx="723898" cy="203200"/>
        </a:xfrm>
        <a:prstGeom prst="rect">
          <a:avLst/>
        </a:prstGeom>
        <a:gradFill flip="none" rotWithShape="1">
          <a:gsLst>
            <a:gs pos="0">
              <a:srgbClr val="DE3E40"/>
            </a:gs>
            <a:gs pos="31000">
              <a:srgbClr val="56826E"/>
            </a:gs>
            <a:gs pos="65000">
              <a:srgbClr val="921238"/>
            </a:gs>
            <a:gs pos="100000">
              <a:srgbClr val="EF324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696</xdr:row>
      <xdr:rowOff>0</xdr:rowOff>
    </xdr:from>
    <xdr:to>
      <xdr:col>3</xdr:col>
      <xdr:colOff>0</xdr:colOff>
      <xdr:row>696</xdr:row>
      <xdr:rowOff>201600</xdr:rowOff>
    </xdr:to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7E35407-B8D9-3847-BE9F-06C8E9A0EE07}"/>
            </a:ext>
          </a:extLst>
        </xdr:cNvPr>
        <xdr:cNvSpPr/>
      </xdr:nvSpPr>
      <xdr:spPr>
        <a:xfrm>
          <a:off x="2730502" y="140703300"/>
          <a:ext cx="723898" cy="201600"/>
        </a:xfrm>
        <a:prstGeom prst="rect">
          <a:avLst/>
        </a:prstGeom>
        <a:gradFill flip="none" rotWithShape="1">
          <a:gsLst>
            <a:gs pos="0">
              <a:srgbClr val="54322D"/>
            </a:gs>
            <a:gs pos="33000">
              <a:srgbClr val="AC8582"/>
            </a:gs>
            <a:gs pos="65000">
              <a:srgbClr val="4C4B1E"/>
            </a:gs>
            <a:gs pos="100000">
              <a:srgbClr val="80093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697</xdr:row>
      <xdr:rowOff>0</xdr:rowOff>
    </xdr:from>
    <xdr:to>
      <xdr:col>3</xdr:col>
      <xdr:colOff>0</xdr:colOff>
      <xdr:row>698</xdr:row>
      <xdr:rowOff>12700</xdr:rowOff>
    </xdr:to>
    <xdr:sp macro="" textlink="">
      <xdr:nvSpPr>
        <xdr:cNvPr id="527" name="Rectangle 526">
          <a:extLst>
            <a:ext uri="{FF2B5EF4-FFF2-40B4-BE49-F238E27FC236}">
              <a16:creationId xmlns:a16="http://schemas.microsoft.com/office/drawing/2014/main" id="{55CD470A-39E2-A548-B017-D7C34463C9F7}"/>
            </a:ext>
          </a:extLst>
        </xdr:cNvPr>
        <xdr:cNvSpPr/>
      </xdr:nvSpPr>
      <xdr:spPr>
        <a:xfrm>
          <a:off x="2730502" y="140906500"/>
          <a:ext cx="723898" cy="215900"/>
        </a:xfrm>
        <a:prstGeom prst="rect">
          <a:avLst/>
        </a:prstGeom>
        <a:gradFill flip="none" rotWithShape="1">
          <a:gsLst>
            <a:gs pos="0">
              <a:srgbClr val="4A3121"/>
            </a:gs>
            <a:gs pos="31000">
              <a:srgbClr val="1D362B"/>
            </a:gs>
            <a:gs pos="65000">
              <a:srgbClr val="970B2C"/>
            </a:gs>
            <a:gs pos="100000">
              <a:srgbClr val="BE0F3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698</xdr:row>
      <xdr:rowOff>0</xdr:rowOff>
    </xdr:from>
    <xdr:to>
      <xdr:col>3</xdr:col>
      <xdr:colOff>0</xdr:colOff>
      <xdr:row>699</xdr:row>
      <xdr:rowOff>0</xdr:rowOff>
    </xdr:to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D3E230D1-1F5D-BF48-A4D3-AA1EEEA5FE53}"/>
            </a:ext>
          </a:extLst>
        </xdr:cNvPr>
        <xdr:cNvSpPr/>
      </xdr:nvSpPr>
      <xdr:spPr>
        <a:xfrm>
          <a:off x="2730502" y="141109700"/>
          <a:ext cx="723898" cy="2032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FEFFFF"/>
            </a:gs>
            <a:gs pos="65000">
              <a:srgbClr val="CDEFA6"/>
            </a:gs>
            <a:gs pos="100000">
              <a:srgbClr val="0E925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678</xdr:row>
      <xdr:rowOff>6350</xdr:rowOff>
    </xdr:from>
    <xdr:to>
      <xdr:col>3</xdr:col>
      <xdr:colOff>2</xdr:colOff>
      <xdr:row>678</xdr:row>
      <xdr:rowOff>195250</xdr:rowOff>
    </xdr:to>
    <xdr:sp macro="" textlink="">
      <xdr:nvSpPr>
        <xdr:cNvPr id="529" name="Rectangle 528">
          <a:extLst>
            <a:ext uri="{FF2B5EF4-FFF2-40B4-BE49-F238E27FC236}">
              <a16:creationId xmlns:a16="http://schemas.microsoft.com/office/drawing/2014/main" id="{36D9321C-7A43-4D4F-ACB7-A5F8AB490716}"/>
            </a:ext>
          </a:extLst>
        </xdr:cNvPr>
        <xdr:cNvSpPr/>
      </xdr:nvSpPr>
      <xdr:spPr>
        <a:xfrm>
          <a:off x="2730502" y="137052050"/>
          <a:ext cx="723900" cy="188900"/>
        </a:xfrm>
        <a:prstGeom prst="rect">
          <a:avLst/>
        </a:prstGeom>
        <a:gradFill flip="none" rotWithShape="1">
          <a:gsLst>
            <a:gs pos="0">
              <a:srgbClr val="787E5C"/>
            </a:gs>
            <a:gs pos="31000">
              <a:srgbClr val="B0A87B"/>
            </a:gs>
            <a:gs pos="65000">
              <a:srgbClr val="FEDEDD"/>
            </a:gs>
            <a:gs pos="100000">
              <a:srgbClr val="EFA5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679</xdr:row>
      <xdr:rowOff>0</xdr:rowOff>
    </xdr:from>
    <xdr:to>
      <xdr:col>3</xdr:col>
      <xdr:colOff>0</xdr:colOff>
      <xdr:row>680</xdr:row>
      <xdr:rowOff>0</xdr:rowOff>
    </xdr:to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5F2324B6-7EAE-9442-8858-8D853D471830}"/>
            </a:ext>
          </a:extLst>
        </xdr:cNvPr>
        <xdr:cNvSpPr/>
      </xdr:nvSpPr>
      <xdr:spPr>
        <a:xfrm>
          <a:off x="2730502" y="137248900"/>
          <a:ext cx="723898" cy="203200"/>
        </a:xfrm>
        <a:prstGeom prst="rect">
          <a:avLst/>
        </a:prstGeom>
        <a:gradFill flip="none" rotWithShape="1">
          <a:gsLst>
            <a:gs pos="0">
              <a:srgbClr val="97D8D3"/>
            </a:gs>
            <a:gs pos="31000">
              <a:srgbClr val="D7F0A8"/>
            </a:gs>
            <a:gs pos="65000">
              <a:srgbClr val="FFF7E8"/>
            </a:gs>
            <a:gs pos="100000">
              <a:srgbClr val="FD6D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680</xdr:row>
      <xdr:rowOff>0</xdr:rowOff>
    </xdr:from>
    <xdr:to>
      <xdr:col>3</xdr:col>
      <xdr:colOff>0</xdr:colOff>
      <xdr:row>681</xdr:row>
      <xdr:rowOff>0</xdr:rowOff>
    </xdr:to>
    <xdr:sp macro="" textlink="">
      <xdr:nvSpPr>
        <xdr:cNvPr id="531" name="Rectangle 530">
          <a:extLst>
            <a:ext uri="{FF2B5EF4-FFF2-40B4-BE49-F238E27FC236}">
              <a16:creationId xmlns:a16="http://schemas.microsoft.com/office/drawing/2014/main" id="{34079A0D-7AD4-C144-8445-BB2F76B650D2}"/>
            </a:ext>
          </a:extLst>
        </xdr:cNvPr>
        <xdr:cNvSpPr/>
      </xdr:nvSpPr>
      <xdr:spPr>
        <a:xfrm>
          <a:off x="2730502" y="137452100"/>
          <a:ext cx="723898" cy="203200"/>
        </a:xfrm>
        <a:prstGeom prst="rect">
          <a:avLst/>
        </a:prstGeom>
        <a:gradFill flip="none" rotWithShape="1">
          <a:gsLst>
            <a:gs pos="0">
              <a:srgbClr val="BEDE75"/>
            </a:gs>
            <a:gs pos="31000">
              <a:srgbClr val="D8EAF2"/>
            </a:gs>
            <a:gs pos="65000">
              <a:srgbClr val="D53E67"/>
            </a:gs>
            <a:gs pos="100000">
              <a:srgbClr val="C72A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681</xdr:row>
      <xdr:rowOff>0</xdr:rowOff>
    </xdr:from>
    <xdr:to>
      <xdr:col>3</xdr:col>
      <xdr:colOff>0</xdr:colOff>
      <xdr:row>682</xdr:row>
      <xdr:rowOff>0</xdr:rowOff>
    </xdr:to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2195E78-206E-6442-929A-27B676C289C2}"/>
            </a:ext>
          </a:extLst>
        </xdr:cNvPr>
        <xdr:cNvSpPr/>
      </xdr:nvSpPr>
      <xdr:spPr>
        <a:xfrm>
          <a:off x="2730502" y="137655300"/>
          <a:ext cx="723898" cy="203200"/>
        </a:xfrm>
        <a:prstGeom prst="rect">
          <a:avLst/>
        </a:prstGeom>
        <a:gradFill flip="none" rotWithShape="1">
          <a:gsLst>
            <a:gs pos="0">
              <a:srgbClr val="6B2159"/>
            </a:gs>
            <a:gs pos="31000">
              <a:srgbClr val="934D78"/>
            </a:gs>
            <a:gs pos="65000">
              <a:srgbClr val="CBC959"/>
            </a:gs>
            <a:gs pos="100000">
              <a:srgbClr val="CFC3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682</xdr:row>
      <xdr:rowOff>0</xdr:rowOff>
    </xdr:from>
    <xdr:to>
      <xdr:col>3</xdr:col>
      <xdr:colOff>0</xdr:colOff>
      <xdr:row>683</xdr:row>
      <xdr:rowOff>0</xdr:rowOff>
    </xdr:to>
    <xdr:sp macro="" textlink="">
      <xdr:nvSpPr>
        <xdr:cNvPr id="557" name="Rectangle 556">
          <a:extLst>
            <a:ext uri="{FF2B5EF4-FFF2-40B4-BE49-F238E27FC236}">
              <a16:creationId xmlns:a16="http://schemas.microsoft.com/office/drawing/2014/main" id="{ACB5E93E-D35A-5145-936B-1E9EC907EDBE}"/>
            </a:ext>
          </a:extLst>
        </xdr:cNvPr>
        <xdr:cNvSpPr/>
      </xdr:nvSpPr>
      <xdr:spPr>
        <a:xfrm>
          <a:off x="2730502" y="137858500"/>
          <a:ext cx="723898" cy="203200"/>
        </a:xfrm>
        <a:prstGeom prst="rect">
          <a:avLst/>
        </a:prstGeom>
        <a:gradFill flip="none" rotWithShape="1">
          <a:gsLst>
            <a:gs pos="0">
              <a:srgbClr val="584029"/>
            </a:gs>
            <a:gs pos="31000">
              <a:srgbClr val="9D8868"/>
            </a:gs>
            <a:gs pos="65000">
              <a:srgbClr val="882842"/>
            </a:gs>
            <a:gs pos="100000">
              <a:srgbClr val="BC757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8480</xdr:colOff>
      <xdr:row>521</xdr:row>
      <xdr:rowOff>0</xdr:rowOff>
    </xdr:from>
    <xdr:to>
      <xdr:col>3</xdr:col>
      <xdr:colOff>4247</xdr:colOff>
      <xdr:row>522</xdr:row>
      <xdr:rowOff>12800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AFBA76-6221-BE4C-B3B1-B93ECC6E2A42}"/>
            </a:ext>
          </a:extLst>
        </xdr:cNvPr>
        <xdr:cNvSpPr/>
      </xdr:nvSpPr>
      <xdr:spPr>
        <a:xfrm>
          <a:off x="2738980" y="105143300"/>
          <a:ext cx="719667" cy="216000"/>
        </a:xfrm>
        <a:prstGeom prst="rect">
          <a:avLst/>
        </a:prstGeom>
        <a:gradFill flip="none" rotWithShape="1">
          <a:gsLst>
            <a:gs pos="0">
              <a:srgbClr val="BF1B48"/>
            </a:gs>
            <a:gs pos="47000">
              <a:srgbClr val="D63F6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522</xdr:row>
      <xdr:rowOff>12700</xdr:rowOff>
    </xdr:from>
    <xdr:to>
      <xdr:col>3</xdr:col>
      <xdr:colOff>4247</xdr:colOff>
      <xdr:row>523</xdr:row>
      <xdr:rowOff>11100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604C734-37B0-104E-86F0-39478745091C}"/>
            </a:ext>
          </a:extLst>
        </xdr:cNvPr>
        <xdr:cNvSpPr/>
      </xdr:nvSpPr>
      <xdr:spPr>
        <a:xfrm>
          <a:off x="2738980" y="105359200"/>
          <a:ext cx="719667" cy="201600"/>
        </a:xfrm>
        <a:prstGeom prst="rect">
          <a:avLst/>
        </a:prstGeom>
        <a:gradFill flip="none" rotWithShape="1">
          <a:gsLst>
            <a:gs pos="0">
              <a:srgbClr val="FC6620"/>
            </a:gs>
            <a:gs pos="47000">
              <a:srgbClr val="FEA370"/>
            </a:gs>
            <a:gs pos="100000">
              <a:srgbClr val="FAAC5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523</xdr:row>
      <xdr:rowOff>12700</xdr:rowOff>
    </xdr:from>
    <xdr:to>
      <xdr:col>3</xdr:col>
      <xdr:colOff>4247</xdr:colOff>
      <xdr:row>524</xdr:row>
      <xdr:rowOff>12700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B89A266-8286-CB41-9E6B-42F60C2F6744}"/>
            </a:ext>
          </a:extLst>
        </xdr:cNvPr>
        <xdr:cNvSpPr/>
      </xdr:nvSpPr>
      <xdr:spPr>
        <a:xfrm>
          <a:off x="2738980" y="105562400"/>
          <a:ext cx="719667" cy="203200"/>
        </a:xfrm>
        <a:prstGeom prst="rect">
          <a:avLst/>
        </a:prstGeom>
        <a:gradFill flip="none" rotWithShape="1">
          <a:gsLst>
            <a:gs pos="0">
              <a:srgbClr val="EAC5EB"/>
            </a:gs>
            <a:gs pos="31000">
              <a:srgbClr val="9442A7"/>
            </a:gs>
            <a:gs pos="65000">
              <a:srgbClr val="570D5B"/>
            </a:gs>
            <a:gs pos="100000">
              <a:srgbClr val="8A2A8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524</xdr:row>
      <xdr:rowOff>12700</xdr:rowOff>
    </xdr:from>
    <xdr:to>
      <xdr:col>3</xdr:col>
      <xdr:colOff>4247</xdr:colOff>
      <xdr:row>525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FE2FA9D-7086-5C4E-99C8-1E9A2746888E}"/>
            </a:ext>
          </a:extLst>
        </xdr:cNvPr>
        <xdr:cNvSpPr/>
      </xdr:nvSpPr>
      <xdr:spPr>
        <a:xfrm>
          <a:off x="2738980" y="105765600"/>
          <a:ext cx="719667" cy="203200"/>
        </a:xfrm>
        <a:prstGeom prst="rect">
          <a:avLst/>
        </a:prstGeom>
        <a:gradFill flip="none" rotWithShape="1">
          <a:gsLst>
            <a:gs pos="0">
              <a:srgbClr val="B1AEB8"/>
            </a:gs>
            <a:gs pos="47000">
              <a:srgbClr val="4A4749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525</xdr:row>
      <xdr:rowOff>12700</xdr:rowOff>
    </xdr:from>
    <xdr:to>
      <xdr:col>3</xdr:col>
      <xdr:colOff>4247</xdr:colOff>
      <xdr:row>526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AF8AE0D-7234-F944-9C10-B1DC788AE9FF}"/>
            </a:ext>
          </a:extLst>
        </xdr:cNvPr>
        <xdr:cNvSpPr/>
      </xdr:nvSpPr>
      <xdr:spPr>
        <a:xfrm>
          <a:off x="2738980" y="105968800"/>
          <a:ext cx="719667" cy="190500"/>
        </a:xfrm>
        <a:prstGeom prst="rect">
          <a:avLst/>
        </a:prstGeom>
        <a:gradFill flip="none" rotWithShape="1">
          <a:gsLst>
            <a:gs pos="0">
              <a:srgbClr val="CAE7F1"/>
            </a:gs>
            <a:gs pos="47000">
              <a:srgbClr val="B5C8E9"/>
            </a:gs>
            <a:gs pos="100000">
              <a:srgbClr val="6B7FC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526</xdr:row>
      <xdr:rowOff>0</xdr:rowOff>
    </xdr:from>
    <xdr:to>
      <xdr:col>3</xdr:col>
      <xdr:colOff>4247</xdr:colOff>
      <xdr:row>527</xdr:row>
      <xdr:rowOff>12700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3D31CF-94AB-E046-8137-DE0D0AFA7DE4}"/>
            </a:ext>
          </a:extLst>
        </xdr:cNvPr>
        <xdr:cNvSpPr/>
      </xdr:nvSpPr>
      <xdr:spPr>
        <a:xfrm>
          <a:off x="2738980" y="106159300"/>
          <a:ext cx="719667" cy="215900"/>
        </a:xfrm>
        <a:prstGeom prst="rect">
          <a:avLst/>
        </a:prstGeom>
        <a:gradFill flip="none" rotWithShape="1">
          <a:gsLst>
            <a:gs pos="0">
              <a:srgbClr val="F7CAB1"/>
            </a:gs>
            <a:gs pos="46000">
              <a:srgbClr val="912F25"/>
            </a:gs>
            <a:gs pos="100000">
              <a:srgbClr val="A941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527</xdr:row>
      <xdr:rowOff>12700</xdr:rowOff>
    </xdr:from>
    <xdr:to>
      <xdr:col>3</xdr:col>
      <xdr:colOff>4247</xdr:colOff>
      <xdr:row>528</xdr:row>
      <xdr:rowOff>12700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484E13E-8016-094D-8CD1-BDF704208EE5}"/>
            </a:ext>
          </a:extLst>
        </xdr:cNvPr>
        <xdr:cNvSpPr/>
      </xdr:nvSpPr>
      <xdr:spPr>
        <a:xfrm>
          <a:off x="2738980" y="106375200"/>
          <a:ext cx="719667" cy="203200"/>
        </a:xfrm>
        <a:prstGeom prst="rect">
          <a:avLst/>
        </a:prstGeom>
        <a:gradFill flip="none" rotWithShape="1">
          <a:gsLst>
            <a:gs pos="0">
              <a:srgbClr val="FC8A0F"/>
            </a:gs>
            <a:gs pos="47000">
              <a:srgbClr val="FDAF3C"/>
            </a:gs>
            <a:gs pos="100000">
              <a:srgbClr val="FC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528</xdr:row>
      <xdr:rowOff>12700</xdr:rowOff>
    </xdr:from>
    <xdr:to>
      <xdr:col>3</xdr:col>
      <xdr:colOff>4247</xdr:colOff>
      <xdr:row>529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1699D07-998E-FC43-9477-DEAAA71FDEC7}"/>
            </a:ext>
          </a:extLst>
        </xdr:cNvPr>
        <xdr:cNvSpPr/>
      </xdr:nvSpPr>
      <xdr:spPr>
        <a:xfrm>
          <a:off x="2738980" y="106578400"/>
          <a:ext cx="719667" cy="190500"/>
        </a:xfrm>
        <a:prstGeom prst="rect">
          <a:avLst/>
        </a:prstGeom>
        <a:gradFill flip="none" rotWithShape="1">
          <a:gsLst>
            <a:gs pos="0">
              <a:srgbClr val="9EB456"/>
            </a:gs>
            <a:gs pos="47000">
              <a:srgbClr val="D8F0A8"/>
            </a:gs>
            <a:gs pos="100000">
              <a:srgbClr val="3863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529</xdr:row>
      <xdr:rowOff>0</xdr:rowOff>
    </xdr:from>
    <xdr:to>
      <xdr:col>3</xdr:col>
      <xdr:colOff>4247</xdr:colOff>
      <xdr:row>530</xdr:row>
      <xdr:rowOff>12700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35E497-69B9-CD48-9972-84AB0991426E}"/>
            </a:ext>
          </a:extLst>
        </xdr:cNvPr>
        <xdr:cNvSpPr/>
      </xdr:nvSpPr>
      <xdr:spPr>
        <a:xfrm>
          <a:off x="2738980" y="106768900"/>
          <a:ext cx="719667" cy="215900"/>
        </a:xfrm>
        <a:prstGeom prst="rect">
          <a:avLst/>
        </a:prstGeom>
        <a:gradFill flip="none" rotWithShape="1">
          <a:gsLst>
            <a:gs pos="0">
              <a:srgbClr val="B6C7E9"/>
            </a:gs>
            <a:gs pos="47000">
              <a:srgbClr val="4E5CA7"/>
            </a:gs>
            <a:gs pos="100000">
              <a:srgbClr val="27227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530</xdr:row>
      <xdr:rowOff>12700</xdr:rowOff>
    </xdr:from>
    <xdr:to>
      <xdr:col>3</xdr:col>
      <xdr:colOff>4247</xdr:colOff>
      <xdr:row>531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493BDEC-9A23-6A41-A67F-F788F8B033EE}"/>
            </a:ext>
          </a:extLst>
        </xdr:cNvPr>
        <xdr:cNvSpPr/>
      </xdr:nvSpPr>
      <xdr:spPr>
        <a:xfrm>
          <a:off x="2738980" y="106984800"/>
          <a:ext cx="719667" cy="228600"/>
        </a:xfrm>
        <a:prstGeom prst="rect">
          <a:avLst/>
        </a:prstGeom>
        <a:gradFill flip="none" rotWithShape="1">
          <a:gsLst>
            <a:gs pos="0">
              <a:srgbClr val="635209"/>
            </a:gs>
            <a:gs pos="47000">
              <a:srgbClr val="8A7B4E"/>
            </a:gs>
            <a:gs pos="100000">
              <a:srgbClr val="AFA8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531</xdr:row>
      <xdr:rowOff>12700</xdr:rowOff>
    </xdr:from>
    <xdr:to>
      <xdr:col>3</xdr:col>
      <xdr:colOff>4247</xdr:colOff>
      <xdr:row>532</xdr:row>
      <xdr:rowOff>12700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6E9E120-6DAC-4448-96A0-65D5B03AE53C}"/>
            </a:ext>
          </a:extLst>
        </xdr:cNvPr>
        <xdr:cNvSpPr/>
      </xdr:nvSpPr>
      <xdr:spPr>
        <a:xfrm>
          <a:off x="2738980" y="107188000"/>
          <a:ext cx="719667" cy="203200"/>
        </a:xfrm>
        <a:prstGeom prst="rect">
          <a:avLst/>
        </a:prstGeom>
        <a:gradFill flip="none" rotWithShape="1">
          <a:gsLst>
            <a:gs pos="0">
              <a:srgbClr val="B4445D"/>
            </a:gs>
            <a:gs pos="47000">
              <a:srgbClr val="FEDEDD"/>
            </a:gs>
            <a:gs pos="100000">
              <a:srgbClr val="7A25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532</xdr:row>
      <xdr:rowOff>25400</xdr:rowOff>
    </xdr:from>
    <xdr:to>
      <xdr:col>3</xdr:col>
      <xdr:colOff>4247</xdr:colOff>
      <xdr:row>532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380F57F-6D09-9149-A945-1D0D1EE28B9F}"/>
            </a:ext>
          </a:extLst>
        </xdr:cNvPr>
        <xdr:cNvSpPr/>
      </xdr:nvSpPr>
      <xdr:spPr>
        <a:xfrm>
          <a:off x="2738980" y="107403900"/>
          <a:ext cx="719667" cy="165100"/>
        </a:xfrm>
        <a:prstGeom prst="rect">
          <a:avLst/>
        </a:prstGeom>
        <a:gradFill flip="none" rotWithShape="1">
          <a:gsLst>
            <a:gs pos="0">
              <a:srgbClr val="905231"/>
            </a:gs>
            <a:gs pos="47000">
              <a:srgbClr val="C8855A"/>
            </a:gs>
            <a:gs pos="100000">
              <a:srgbClr val="F3DE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548</xdr:row>
      <xdr:rowOff>0</xdr:rowOff>
    </xdr:from>
    <xdr:to>
      <xdr:col>2</xdr:col>
      <xdr:colOff>465667</xdr:colOff>
      <xdr:row>549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04A91E7-81F3-0646-909B-044032DC04D2}"/>
            </a:ext>
          </a:extLst>
        </xdr:cNvPr>
        <xdr:cNvSpPr/>
      </xdr:nvSpPr>
      <xdr:spPr>
        <a:xfrm>
          <a:off x="2730500" y="110629700"/>
          <a:ext cx="465667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534</xdr:row>
      <xdr:rowOff>12700</xdr:rowOff>
    </xdr:from>
    <xdr:to>
      <xdr:col>3</xdr:col>
      <xdr:colOff>4247</xdr:colOff>
      <xdr:row>535</xdr:row>
      <xdr:rowOff>12700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E240BD3-9511-9848-AEF6-3C4775DBC26E}"/>
            </a:ext>
          </a:extLst>
        </xdr:cNvPr>
        <xdr:cNvSpPr/>
      </xdr:nvSpPr>
      <xdr:spPr>
        <a:xfrm>
          <a:off x="2738980" y="107797600"/>
          <a:ext cx="719667" cy="203200"/>
        </a:xfrm>
        <a:prstGeom prst="rect">
          <a:avLst/>
        </a:prstGeom>
        <a:gradFill flip="none" rotWithShape="1">
          <a:gsLst>
            <a:gs pos="0">
              <a:srgbClr val="F80C01"/>
            </a:gs>
            <a:gs pos="47000">
              <a:srgbClr val="FFC2AD"/>
            </a:gs>
            <a:gs pos="100000">
              <a:srgbClr val="FE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535</xdr:row>
      <xdr:rowOff>12700</xdr:rowOff>
    </xdr:from>
    <xdr:to>
      <xdr:col>3</xdr:col>
      <xdr:colOff>4247</xdr:colOff>
      <xdr:row>536</xdr:row>
      <xdr:rowOff>63500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5F9C577-1ADC-0B40-93B9-5AE9D1BAF253}"/>
            </a:ext>
          </a:extLst>
        </xdr:cNvPr>
        <xdr:cNvSpPr/>
      </xdr:nvSpPr>
      <xdr:spPr>
        <a:xfrm>
          <a:off x="2738980" y="108000800"/>
          <a:ext cx="719667" cy="2540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AC1C36"/>
            </a:gs>
            <a:gs pos="65000">
              <a:srgbClr val="D63E68"/>
            </a:gs>
            <a:gs pos="100000">
              <a:srgbClr val="F793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536</xdr:row>
      <xdr:rowOff>0</xdr:rowOff>
    </xdr:from>
    <xdr:to>
      <xdr:col>3</xdr:col>
      <xdr:colOff>4247</xdr:colOff>
      <xdr:row>537</xdr:row>
      <xdr:rowOff>25400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10DB87-AE29-6949-BD54-12DB2021F6DC}"/>
            </a:ext>
          </a:extLst>
        </xdr:cNvPr>
        <xdr:cNvSpPr/>
      </xdr:nvSpPr>
      <xdr:spPr>
        <a:xfrm>
          <a:off x="2738980" y="108191300"/>
          <a:ext cx="719667" cy="228600"/>
        </a:xfrm>
        <a:prstGeom prst="rect">
          <a:avLst/>
        </a:prstGeom>
        <a:gradFill flip="none" rotWithShape="1">
          <a:gsLst>
            <a:gs pos="0">
              <a:srgbClr val="935026"/>
            </a:gs>
            <a:gs pos="47000">
              <a:srgbClr val="B26921"/>
            </a:gs>
            <a:gs pos="100000">
              <a:srgbClr val="D188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537</xdr:row>
      <xdr:rowOff>0</xdr:rowOff>
    </xdr:from>
    <xdr:to>
      <xdr:col>3</xdr:col>
      <xdr:colOff>4247</xdr:colOff>
      <xdr:row>538</xdr:row>
      <xdr:rowOff>12700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4105740-EC59-EB4C-B43C-451D6A164B8A}"/>
            </a:ext>
          </a:extLst>
        </xdr:cNvPr>
        <xdr:cNvSpPr/>
      </xdr:nvSpPr>
      <xdr:spPr>
        <a:xfrm>
          <a:off x="2738980" y="108394500"/>
          <a:ext cx="719667" cy="2159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47000">
              <a:srgbClr val="800934"/>
            </a:gs>
            <a:gs pos="100000">
              <a:srgbClr val="66132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538</xdr:row>
      <xdr:rowOff>0</xdr:rowOff>
    </xdr:from>
    <xdr:to>
      <xdr:col>3</xdr:col>
      <xdr:colOff>4247</xdr:colOff>
      <xdr:row>539</xdr:row>
      <xdr:rowOff>12700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5D6DFF9-A971-084A-BD34-AFE977E1013A}"/>
            </a:ext>
          </a:extLst>
        </xdr:cNvPr>
        <xdr:cNvSpPr/>
      </xdr:nvSpPr>
      <xdr:spPr>
        <a:xfrm>
          <a:off x="2738980" y="108597700"/>
          <a:ext cx="719667" cy="215900"/>
        </a:xfrm>
        <a:prstGeom prst="rect">
          <a:avLst/>
        </a:prstGeom>
        <a:gradFill flip="none" rotWithShape="1">
          <a:gsLst>
            <a:gs pos="0">
              <a:srgbClr val="B4B9EA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539</xdr:row>
      <xdr:rowOff>0</xdr:rowOff>
    </xdr:from>
    <xdr:to>
      <xdr:col>3</xdr:col>
      <xdr:colOff>4247</xdr:colOff>
      <xdr:row>540</xdr:row>
      <xdr:rowOff>12700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BCCDA0A-68B3-6646-91D5-75718ED79BDB}"/>
            </a:ext>
          </a:extLst>
        </xdr:cNvPr>
        <xdr:cNvSpPr/>
      </xdr:nvSpPr>
      <xdr:spPr>
        <a:xfrm>
          <a:off x="2738980" y="108800900"/>
          <a:ext cx="719667" cy="215900"/>
        </a:xfrm>
        <a:prstGeom prst="rect">
          <a:avLst/>
        </a:prstGeom>
        <a:gradFill flip="none" rotWithShape="1">
          <a:gsLst>
            <a:gs pos="0">
              <a:srgbClr val="0F6B44"/>
            </a:gs>
            <a:gs pos="31000">
              <a:srgbClr val="33B26B"/>
            </a:gs>
            <a:gs pos="65000">
              <a:srgbClr val="55CB7D"/>
            </a:gs>
            <a:gs pos="100000">
              <a:srgbClr val="A9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542</xdr:row>
      <xdr:rowOff>12700</xdr:rowOff>
    </xdr:from>
    <xdr:to>
      <xdr:col>3</xdr:col>
      <xdr:colOff>8467</xdr:colOff>
      <xdr:row>543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5354167-52F1-6544-86B4-E2D24FB577A6}"/>
            </a:ext>
          </a:extLst>
        </xdr:cNvPr>
        <xdr:cNvSpPr/>
      </xdr:nvSpPr>
      <xdr:spPr>
        <a:xfrm>
          <a:off x="2743200" y="109423200"/>
          <a:ext cx="719667" cy="190500"/>
        </a:xfrm>
        <a:prstGeom prst="rect">
          <a:avLst/>
        </a:prstGeom>
        <a:gradFill flip="none" rotWithShape="1">
          <a:gsLst>
            <a:gs pos="100000">
              <a:srgbClr val="FFFF00"/>
            </a:gs>
            <a:gs pos="25000">
              <a:srgbClr val="C83940"/>
            </a:gs>
            <a:gs pos="52000">
              <a:srgbClr val="FFFF00"/>
            </a:gs>
            <a:gs pos="76000">
              <a:srgbClr val="92D050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543</xdr:row>
      <xdr:rowOff>12700</xdr:rowOff>
    </xdr:from>
    <xdr:to>
      <xdr:col>3</xdr:col>
      <xdr:colOff>8467</xdr:colOff>
      <xdr:row>544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6AAB1BA-89D7-374E-8653-E6D111C71847}"/>
            </a:ext>
          </a:extLst>
        </xdr:cNvPr>
        <xdr:cNvSpPr/>
      </xdr:nvSpPr>
      <xdr:spPr>
        <a:xfrm>
          <a:off x="2743200" y="109626400"/>
          <a:ext cx="719667" cy="190500"/>
        </a:xfrm>
        <a:prstGeom prst="rect">
          <a:avLst/>
        </a:prstGeom>
        <a:gradFill flip="none" rotWithShape="1">
          <a:gsLst>
            <a:gs pos="71000">
              <a:srgbClr val="00B0F0"/>
            </a:gs>
            <a:gs pos="56000">
              <a:srgbClr val="FFFF00"/>
            </a:gs>
            <a:gs pos="92000">
              <a:schemeClr val="tx1"/>
            </a:gs>
            <a:gs pos="30000">
              <a:srgbClr val="C83940"/>
            </a:gs>
            <a:gs pos="42000">
              <a:srgbClr val="92D050"/>
            </a:gs>
            <a:gs pos="12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548</xdr:row>
      <xdr:rowOff>0</xdr:rowOff>
    </xdr:from>
    <xdr:to>
      <xdr:col>2</xdr:col>
      <xdr:colOff>465667</xdr:colOff>
      <xdr:row>549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B29B9AB-02D3-8848-BCAF-8BB719020C11}"/>
            </a:ext>
          </a:extLst>
        </xdr:cNvPr>
        <xdr:cNvSpPr/>
      </xdr:nvSpPr>
      <xdr:spPr>
        <a:xfrm>
          <a:off x="2730500" y="110629700"/>
          <a:ext cx="465667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549</xdr:row>
      <xdr:rowOff>0</xdr:rowOff>
    </xdr:from>
    <xdr:to>
      <xdr:col>2</xdr:col>
      <xdr:colOff>465667</xdr:colOff>
      <xdr:row>550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CC8292F-05DC-0343-A415-01AD58169943}"/>
            </a:ext>
          </a:extLst>
        </xdr:cNvPr>
        <xdr:cNvSpPr/>
      </xdr:nvSpPr>
      <xdr:spPr>
        <a:xfrm>
          <a:off x="2730500" y="110832900"/>
          <a:ext cx="465667" cy="203200"/>
        </a:xfrm>
        <a:prstGeom prst="rect">
          <a:avLst/>
        </a:prstGeom>
        <a:gradFill flip="none" rotWithShape="1">
          <a:gsLst>
            <a:gs pos="7000">
              <a:srgbClr val="FFE700"/>
            </a:gs>
            <a:gs pos="30000">
              <a:srgbClr val="9CDE55"/>
            </a:gs>
            <a:gs pos="64000">
              <a:srgbClr val="216AC3"/>
            </a:gs>
            <a:gs pos="50000">
              <a:srgbClr val="FFE700"/>
            </a:gs>
            <a:gs pos="88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550</xdr:row>
      <xdr:rowOff>0</xdr:rowOff>
    </xdr:from>
    <xdr:to>
      <xdr:col>2</xdr:col>
      <xdr:colOff>465667</xdr:colOff>
      <xdr:row>550</xdr:row>
      <xdr:rowOff>203200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20E4663-FB83-954A-BA6D-5AFDF5845454}"/>
            </a:ext>
          </a:extLst>
        </xdr:cNvPr>
        <xdr:cNvSpPr/>
      </xdr:nvSpPr>
      <xdr:spPr>
        <a:xfrm>
          <a:off x="2730500" y="111036100"/>
          <a:ext cx="465667" cy="2032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8480</xdr:colOff>
      <xdr:row>542</xdr:row>
      <xdr:rowOff>0</xdr:rowOff>
    </xdr:from>
    <xdr:to>
      <xdr:col>3</xdr:col>
      <xdr:colOff>4247</xdr:colOff>
      <xdr:row>543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5C6A87C-3BDA-C04C-91AF-AD0FE254A351}"/>
            </a:ext>
          </a:extLst>
        </xdr:cNvPr>
        <xdr:cNvSpPr/>
      </xdr:nvSpPr>
      <xdr:spPr>
        <a:xfrm>
          <a:off x="2738980" y="109410500"/>
          <a:ext cx="719667" cy="203200"/>
        </a:xfrm>
        <a:prstGeom prst="rect">
          <a:avLst/>
        </a:prstGeom>
        <a:gradFill flip="none" rotWithShape="1">
          <a:gsLst>
            <a:gs pos="0">
              <a:srgbClr val="C01C49"/>
            </a:gs>
            <a:gs pos="31000">
              <a:srgbClr val="A6E3E4"/>
            </a:gs>
            <a:gs pos="65000">
              <a:srgbClr val="FC8A0F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2130</xdr:colOff>
      <xdr:row>545</xdr:row>
      <xdr:rowOff>6350</xdr:rowOff>
    </xdr:from>
    <xdr:to>
      <xdr:col>3</xdr:col>
      <xdr:colOff>0</xdr:colOff>
      <xdr:row>546</xdr:row>
      <xdr:rowOff>6350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C5F3411-432F-6E41-BF22-0EF640DC1F03}"/>
            </a:ext>
          </a:extLst>
        </xdr:cNvPr>
        <xdr:cNvSpPr/>
      </xdr:nvSpPr>
      <xdr:spPr>
        <a:xfrm>
          <a:off x="2732630" y="110026450"/>
          <a:ext cx="721770" cy="203200"/>
        </a:xfrm>
        <a:prstGeom prst="rect">
          <a:avLst/>
        </a:prstGeom>
        <a:gradFill flip="none" rotWithShape="1">
          <a:gsLst>
            <a:gs pos="0">
              <a:srgbClr val="A8E1E6"/>
            </a:gs>
            <a:gs pos="31000">
              <a:srgbClr val="A6E3E4"/>
            </a:gs>
            <a:gs pos="65000">
              <a:srgbClr val="CBC959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543</xdr:row>
      <xdr:rowOff>12700</xdr:rowOff>
    </xdr:from>
    <xdr:to>
      <xdr:col>3</xdr:col>
      <xdr:colOff>8467</xdr:colOff>
      <xdr:row>544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87B720A-2C63-0E47-AEB5-923C046EE969}"/>
            </a:ext>
          </a:extLst>
        </xdr:cNvPr>
        <xdr:cNvSpPr/>
      </xdr:nvSpPr>
      <xdr:spPr>
        <a:xfrm>
          <a:off x="2743200" y="109626400"/>
          <a:ext cx="719667" cy="190500"/>
        </a:xfrm>
        <a:prstGeom prst="rect">
          <a:avLst/>
        </a:prstGeom>
        <a:gradFill flip="none" rotWithShape="1">
          <a:gsLst>
            <a:gs pos="100000">
              <a:srgbClr val="FFFF00"/>
            </a:gs>
            <a:gs pos="25000">
              <a:srgbClr val="C83940"/>
            </a:gs>
            <a:gs pos="52000">
              <a:srgbClr val="FFFF00"/>
            </a:gs>
            <a:gs pos="76000">
              <a:srgbClr val="92D050"/>
            </a:gs>
            <a:gs pos="0">
              <a:srgbClr val="FFFF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544</xdr:row>
      <xdr:rowOff>6350</xdr:rowOff>
    </xdr:from>
    <xdr:to>
      <xdr:col>3</xdr:col>
      <xdr:colOff>6350</xdr:colOff>
      <xdr:row>544</xdr:row>
      <xdr:rowOff>196850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DB2441A-7DB0-4645-9545-3F366B6F3457}"/>
            </a:ext>
          </a:extLst>
        </xdr:cNvPr>
        <xdr:cNvSpPr/>
      </xdr:nvSpPr>
      <xdr:spPr>
        <a:xfrm>
          <a:off x="2730500" y="109823250"/>
          <a:ext cx="730250" cy="190500"/>
        </a:xfrm>
        <a:prstGeom prst="rect">
          <a:avLst/>
        </a:prstGeom>
        <a:gradFill flip="none" rotWithShape="1">
          <a:gsLst>
            <a:gs pos="71000">
              <a:srgbClr val="00B0F0"/>
            </a:gs>
            <a:gs pos="56000">
              <a:srgbClr val="FFFF00"/>
            </a:gs>
            <a:gs pos="92000">
              <a:schemeClr val="tx1"/>
            </a:gs>
            <a:gs pos="30000">
              <a:srgbClr val="C83940"/>
            </a:gs>
            <a:gs pos="42000">
              <a:srgbClr val="92D050"/>
            </a:gs>
            <a:gs pos="12000">
              <a:schemeClr val="tx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546</xdr:row>
      <xdr:rowOff>0</xdr:rowOff>
    </xdr:from>
    <xdr:to>
      <xdr:col>3</xdr:col>
      <xdr:colOff>2117</xdr:colOff>
      <xdr:row>547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F391D2-623E-A04A-AB30-AA3EA413D870}"/>
            </a:ext>
          </a:extLst>
        </xdr:cNvPr>
        <xdr:cNvSpPr/>
      </xdr:nvSpPr>
      <xdr:spPr>
        <a:xfrm>
          <a:off x="2736850" y="110223300"/>
          <a:ext cx="719667" cy="203200"/>
        </a:xfrm>
        <a:prstGeom prst="rect">
          <a:avLst/>
        </a:prstGeom>
        <a:gradFill flip="none" rotWithShape="1">
          <a:gsLst>
            <a:gs pos="0">
              <a:srgbClr val="00A349"/>
            </a:gs>
            <a:gs pos="31000">
              <a:srgbClr val="00A349"/>
            </a:gs>
            <a:gs pos="65000">
              <a:srgbClr val="92D050"/>
            </a:gs>
            <a:gs pos="100000">
              <a:srgbClr val="CCF45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547</xdr:row>
      <xdr:rowOff>6350</xdr:rowOff>
    </xdr:from>
    <xdr:to>
      <xdr:col>3</xdr:col>
      <xdr:colOff>2117</xdr:colOff>
      <xdr:row>547</xdr:row>
      <xdr:rowOff>196850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0395C06-B1EC-CD49-B1D7-5533AAE91CD1}"/>
            </a:ext>
          </a:extLst>
        </xdr:cNvPr>
        <xdr:cNvSpPr/>
      </xdr:nvSpPr>
      <xdr:spPr>
        <a:xfrm>
          <a:off x="2736850" y="110432850"/>
          <a:ext cx="719667" cy="190500"/>
        </a:xfrm>
        <a:prstGeom prst="rect">
          <a:avLst/>
        </a:prstGeom>
        <a:gradFill flip="none" rotWithShape="1">
          <a:gsLst>
            <a:gs pos="0">
              <a:srgbClr val="216AC3"/>
            </a:gs>
            <a:gs pos="31000">
              <a:srgbClr val="A264A2"/>
            </a:gs>
            <a:gs pos="47000">
              <a:schemeClr val="accent2"/>
            </a:gs>
            <a:gs pos="73000">
              <a:srgbClr val="9CDE55"/>
            </a:gs>
            <a:gs pos="60000">
              <a:srgbClr val="FFFF00"/>
            </a:gs>
            <a:gs pos="100000">
              <a:srgbClr val="216AC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549</xdr:row>
      <xdr:rowOff>0</xdr:rowOff>
    </xdr:from>
    <xdr:to>
      <xdr:col>3</xdr:col>
      <xdr:colOff>6350</xdr:colOff>
      <xdr:row>550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8133999F-B281-4242-844F-20E584CC7C6A}"/>
            </a:ext>
          </a:extLst>
        </xdr:cNvPr>
        <xdr:cNvSpPr/>
      </xdr:nvSpPr>
      <xdr:spPr>
        <a:xfrm>
          <a:off x="2730500" y="110832900"/>
          <a:ext cx="730250" cy="203200"/>
        </a:xfrm>
        <a:prstGeom prst="rect">
          <a:avLst/>
        </a:prstGeom>
        <a:gradFill flip="none" rotWithShape="1">
          <a:gsLst>
            <a:gs pos="0">
              <a:srgbClr val="C04DA5"/>
            </a:gs>
            <a:gs pos="31000">
              <a:srgbClr val="216AC3"/>
            </a:gs>
            <a:gs pos="47000">
              <a:srgbClr val="FFC000"/>
            </a:gs>
            <a:gs pos="73000">
              <a:srgbClr val="FF0000"/>
            </a:gs>
            <a:gs pos="60000">
              <a:srgbClr val="FFFF00"/>
            </a:gs>
            <a:gs pos="100000">
              <a:srgbClr val="C04DA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550</xdr:row>
      <xdr:rowOff>0</xdr:rowOff>
    </xdr:from>
    <xdr:to>
      <xdr:col>3</xdr:col>
      <xdr:colOff>0</xdr:colOff>
      <xdr:row>551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8EF78E6-0C2E-EE45-965E-FAD12ABCD330}"/>
            </a:ext>
          </a:extLst>
        </xdr:cNvPr>
        <xdr:cNvSpPr/>
      </xdr:nvSpPr>
      <xdr:spPr>
        <a:xfrm>
          <a:off x="2730500" y="111036100"/>
          <a:ext cx="723900" cy="203200"/>
        </a:xfrm>
        <a:prstGeom prst="rect">
          <a:avLst/>
        </a:prstGeom>
        <a:gradFill flip="none" rotWithShape="1">
          <a:gsLst>
            <a:gs pos="7000">
              <a:srgbClr val="FFE700"/>
            </a:gs>
            <a:gs pos="30000">
              <a:srgbClr val="9CDE55"/>
            </a:gs>
            <a:gs pos="64000">
              <a:srgbClr val="216AC3"/>
            </a:gs>
            <a:gs pos="50000">
              <a:srgbClr val="FFE700"/>
            </a:gs>
            <a:gs pos="88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548</xdr:row>
      <xdr:rowOff>0</xdr:rowOff>
    </xdr:from>
    <xdr:to>
      <xdr:col>3</xdr:col>
      <xdr:colOff>0</xdr:colOff>
      <xdr:row>549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7436BD6-859E-8C4C-B266-8061935B8DBD}"/>
            </a:ext>
          </a:extLst>
        </xdr:cNvPr>
        <xdr:cNvSpPr/>
      </xdr:nvSpPr>
      <xdr:spPr>
        <a:xfrm>
          <a:off x="2730500" y="110629700"/>
          <a:ext cx="723900" cy="203200"/>
        </a:xfrm>
        <a:prstGeom prst="rect">
          <a:avLst/>
        </a:prstGeom>
        <a:gradFill flip="none" rotWithShape="1">
          <a:gsLst>
            <a:gs pos="0">
              <a:srgbClr val="0067EF"/>
            </a:gs>
            <a:gs pos="34000">
              <a:srgbClr val="7A52EF"/>
            </a:gs>
            <a:gs pos="47000">
              <a:srgbClr val="00B050"/>
            </a:gs>
            <a:gs pos="73000">
              <a:srgbClr val="FF0000"/>
            </a:gs>
            <a:gs pos="60000">
              <a:srgbClr val="FFFF00"/>
            </a:gs>
            <a:gs pos="100000">
              <a:srgbClr val="0067E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540</xdr:row>
      <xdr:rowOff>0</xdr:rowOff>
    </xdr:from>
    <xdr:to>
      <xdr:col>3</xdr:col>
      <xdr:colOff>6350</xdr:colOff>
      <xdr:row>541</xdr:row>
      <xdr:rowOff>12700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9FD56D1-CFC4-B54E-8141-76AB34018078}"/>
            </a:ext>
          </a:extLst>
        </xdr:cNvPr>
        <xdr:cNvSpPr/>
      </xdr:nvSpPr>
      <xdr:spPr>
        <a:xfrm>
          <a:off x="2730500" y="109004100"/>
          <a:ext cx="730250" cy="215900"/>
        </a:xfrm>
        <a:prstGeom prst="rect">
          <a:avLst/>
        </a:prstGeom>
        <a:gradFill flip="none" rotWithShape="1">
          <a:gsLst>
            <a:gs pos="0">
              <a:srgbClr val="2A3A79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2095500</xdr:colOff>
      <xdr:row>552</xdr:row>
      <xdr:rowOff>12700</xdr:rowOff>
    </xdr:from>
    <xdr:to>
      <xdr:col>3</xdr:col>
      <xdr:colOff>8467</xdr:colOff>
      <xdr:row>553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40833C1-FF96-2648-BA95-98B3F9334470}"/>
            </a:ext>
          </a:extLst>
        </xdr:cNvPr>
        <xdr:cNvSpPr/>
      </xdr:nvSpPr>
      <xdr:spPr>
        <a:xfrm>
          <a:off x="2730500" y="111455200"/>
          <a:ext cx="7323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551</xdr:row>
      <xdr:rowOff>12700</xdr:rowOff>
    </xdr:from>
    <xdr:to>
      <xdr:col>2</xdr:col>
      <xdr:colOff>440267</xdr:colOff>
      <xdr:row>552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EDF15C0-E5C1-5C4A-9024-5E7C1F6EA2F1}"/>
            </a:ext>
          </a:extLst>
        </xdr:cNvPr>
        <xdr:cNvSpPr/>
      </xdr:nvSpPr>
      <xdr:spPr>
        <a:xfrm>
          <a:off x="2730500" y="111252000"/>
          <a:ext cx="440267" cy="1905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2095500</xdr:colOff>
      <xdr:row>552</xdr:row>
      <xdr:rowOff>12700</xdr:rowOff>
    </xdr:from>
    <xdr:to>
      <xdr:col>3</xdr:col>
      <xdr:colOff>8467</xdr:colOff>
      <xdr:row>553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8488AC5-8B90-F240-A5AF-59F5C7AF6569}"/>
            </a:ext>
          </a:extLst>
        </xdr:cNvPr>
        <xdr:cNvSpPr/>
      </xdr:nvSpPr>
      <xdr:spPr>
        <a:xfrm>
          <a:off x="2730500" y="111455200"/>
          <a:ext cx="7323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551</xdr:row>
      <xdr:rowOff>12700</xdr:rowOff>
    </xdr:from>
    <xdr:to>
      <xdr:col>2</xdr:col>
      <xdr:colOff>440267</xdr:colOff>
      <xdr:row>552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388BDE6-0625-1A40-A0E7-278FB79D38FA}"/>
            </a:ext>
          </a:extLst>
        </xdr:cNvPr>
        <xdr:cNvSpPr/>
      </xdr:nvSpPr>
      <xdr:spPr>
        <a:xfrm>
          <a:off x="2730500" y="111252000"/>
          <a:ext cx="440267" cy="1905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2095500</xdr:colOff>
      <xdr:row>552</xdr:row>
      <xdr:rowOff>12700</xdr:rowOff>
    </xdr:from>
    <xdr:to>
      <xdr:col>3</xdr:col>
      <xdr:colOff>8467</xdr:colOff>
      <xdr:row>553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EAE047B-D3E3-0D40-AE4C-E925FF0534FD}"/>
            </a:ext>
          </a:extLst>
        </xdr:cNvPr>
        <xdr:cNvSpPr/>
      </xdr:nvSpPr>
      <xdr:spPr>
        <a:xfrm>
          <a:off x="2730500" y="111455200"/>
          <a:ext cx="732367" cy="190500"/>
        </a:xfrm>
        <a:prstGeom prst="rect">
          <a:avLst/>
        </a:prstGeom>
        <a:gradFill flip="none" rotWithShape="1">
          <a:gsLst>
            <a:gs pos="5000">
              <a:srgbClr val="A391B6"/>
            </a:gs>
            <a:gs pos="36000">
              <a:srgbClr val="216AC3"/>
            </a:gs>
            <a:gs pos="50000">
              <a:srgbClr val="FFC000"/>
            </a:gs>
            <a:gs pos="61000">
              <a:srgbClr val="FFE700"/>
            </a:gs>
            <a:gs pos="92000">
              <a:srgbClr val="A391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551</xdr:row>
      <xdr:rowOff>12700</xdr:rowOff>
    </xdr:from>
    <xdr:to>
      <xdr:col>3</xdr:col>
      <xdr:colOff>0</xdr:colOff>
      <xdr:row>552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AB3AAD87-513C-7943-B10E-850D82E25C20}"/>
            </a:ext>
          </a:extLst>
        </xdr:cNvPr>
        <xdr:cNvSpPr/>
      </xdr:nvSpPr>
      <xdr:spPr>
        <a:xfrm>
          <a:off x="2730500" y="111252000"/>
          <a:ext cx="723900" cy="190500"/>
        </a:xfrm>
        <a:prstGeom prst="rect">
          <a:avLst/>
        </a:prstGeom>
        <a:gradFill flip="none" rotWithShape="1">
          <a:gsLst>
            <a:gs pos="0">
              <a:srgbClr val="FFE700"/>
            </a:gs>
            <a:gs pos="21000">
              <a:srgbClr val="FFD773"/>
            </a:gs>
            <a:gs pos="42000">
              <a:srgbClr val="FFC000"/>
            </a:gs>
            <a:gs pos="54000">
              <a:srgbClr val="9CDE55"/>
            </a:gs>
            <a:gs pos="48000">
              <a:srgbClr val="00B0F0"/>
            </a:gs>
            <a:gs pos="100000">
              <a:srgbClr val="FFE7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605</xdr:row>
      <xdr:rowOff>0</xdr:rowOff>
    </xdr:from>
    <xdr:to>
      <xdr:col>2</xdr:col>
      <xdr:colOff>446200</xdr:colOff>
      <xdr:row>606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717BD0F-8973-B146-B5F5-F484D47BBA67}"/>
            </a:ext>
          </a:extLst>
        </xdr:cNvPr>
        <xdr:cNvSpPr/>
      </xdr:nvSpPr>
      <xdr:spPr>
        <a:xfrm>
          <a:off x="2730500" y="122212100"/>
          <a:ext cx="4462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604</xdr:row>
      <xdr:rowOff>12700</xdr:rowOff>
    </xdr:from>
    <xdr:to>
      <xdr:col>2</xdr:col>
      <xdr:colOff>446200</xdr:colOff>
      <xdr:row>604</xdr:row>
      <xdr:rowOff>201600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5D3AB4B-55C2-2E45-B82A-06AF2B118983}"/>
            </a:ext>
          </a:extLst>
        </xdr:cNvPr>
        <xdr:cNvSpPr/>
      </xdr:nvSpPr>
      <xdr:spPr>
        <a:xfrm>
          <a:off x="2730500" y="1220216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607</xdr:row>
      <xdr:rowOff>0</xdr:rowOff>
    </xdr:from>
    <xdr:to>
      <xdr:col>2</xdr:col>
      <xdr:colOff>446200</xdr:colOff>
      <xdr:row>607</xdr:row>
      <xdr:rowOff>201600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85B01613-3ABD-174B-853C-27A379C07683}"/>
            </a:ext>
          </a:extLst>
        </xdr:cNvPr>
        <xdr:cNvSpPr/>
      </xdr:nvSpPr>
      <xdr:spPr>
        <a:xfrm>
          <a:off x="2730500" y="122618500"/>
          <a:ext cx="4462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602</xdr:row>
      <xdr:rowOff>12700</xdr:rowOff>
    </xdr:from>
    <xdr:to>
      <xdr:col>2</xdr:col>
      <xdr:colOff>446200</xdr:colOff>
      <xdr:row>603</xdr:row>
      <xdr:rowOff>11100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3BF097D-7043-2042-B1A1-0E6AE7F419FF}"/>
            </a:ext>
          </a:extLst>
        </xdr:cNvPr>
        <xdr:cNvSpPr/>
      </xdr:nvSpPr>
      <xdr:spPr>
        <a:xfrm>
          <a:off x="2730500" y="121615200"/>
          <a:ext cx="4462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603</xdr:row>
      <xdr:rowOff>12700</xdr:rowOff>
    </xdr:from>
    <xdr:to>
      <xdr:col>2</xdr:col>
      <xdr:colOff>446200</xdr:colOff>
      <xdr:row>604</xdr:row>
      <xdr:rowOff>12700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4E031E6-BB21-5045-9548-5DCF44573504}"/>
            </a:ext>
          </a:extLst>
        </xdr:cNvPr>
        <xdr:cNvSpPr/>
      </xdr:nvSpPr>
      <xdr:spPr>
        <a:xfrm>
          <a:off x="2730500" y="121818400"/>
          <a:ext cx="4462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606</xdr:row>
      <xdr:rowOff>0</xdr:rowOff>
    </xdr:from>
    <xdr:to>
      <xdr:col>2</xdr:col>
      <xdr:colOff>446200</xdr:colOff>
      <xdr:row>607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994422C-2426-F844-BFC6-9C630075C132}"/>
            </a:ext>
          </a:extLst>
        </xdr:cNvPr>
        <xdr:cNvSpPr/>
      </xdr:nvSpPr>
      <xdr:spPr>
        <a:xfrm>
          <a:off x="2730500" y="122415300"/>
          <a:ext cx="4462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608</xdr:row>
      <xdr:rowOff>0</xdr:rowOff>
    </xdr:from>
    <xdr:to>
      <xdr:col>2</xdr:col>
      <xdr:colOff>446200</xdr:colOff>
      <xdr:row>609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727AF95-E608-2A47-B32A-04B885175255}"/>
            </a:ext>
          </a:extLst>
        </xdr:cNvPr>
        <xdr:cNvSpPr/>
      </xdr:nvSpPr>
      <xdr:spPr>
        <a:xfrm>
          <a:off x="2730500" y="122821700"/>
          <a:ext cx="4462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609</xdr:row>
      <xdr:rowOff>0</xdr:rowOff>
    </xdr:from>
    <xdr:to>
      <xdr:col>2</xdr:col>
      <xdr:colOff>446200</xdr:colOff>
      <xdr:row>609</xdr:row>
      <xdr:rowOff>201600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1CD8A7C-E4DF-1B41-835E-2630B60A14AD}"/>
            </a:ext>
          </a:extLst>
        </xdr:cNvPr>
        <xdr:cNvSpPr/>
      </xdr:nvSpPr>
      <xdr:spPr>
        <a:xfrm>
          <a:off x="2730500" y="123024900"/>
          <a:ext cx="44620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610</xdr:row>
      <xdr:rowOff>0</xdr:rowOff>
    </xdr:from>
    <xdr:to>
      <xdr:col>2</xdr:col>
      <xdr:colOff>446200</xdr:colOff>
      <xdr:row>611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1068D4C-BDFB-9E4E-BA51-81F9C0B6EE76}"/>
            </a:ext>
          </a:extLst>
        </xdr:cNvPr>
        <xdr:cNvSpPr/>
      </xdr:nvSpPr>
      <xdr:spPr>
        <a:xfrm>
          <a:off x="2730500" y="123228100"/>
          <a:ext cx="4462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611</xdr:row>
      <xdr:rowOff>0</xdr:rowOff>
    </xdr:from>
    <xdr:to>
      <xdr:col>2</xdr:col>
      <xdr:colOff>446200</xdr:colOff>
      <xdr:row>612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6E78EAA-5932-4645-B250-F0698D541D1F}"/>
            </a:ext>
          </a:extLst>
        </xdr:cNvPr>
        <xdr:cNvSpPr/>
      </xdr:nvSpPr>
      <xdr:spPr>
        <a:xfrm>
          <a:off x="2730500" y="123431300"/>
          <a:ext cx="4462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612</xdr:row>
      <xdr:rowOff>0</xdr:rowOff>
    </xdr:from>
    <xdr:to>
      <xdr:col>2</xdr:col>
      <xdr:colOff>446200</xdr:colOff>
      <xdr:row>613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7D60B7D7-6446-1647-9026-7E0E1514081E}"/>
            </a:ext>
          </a:extLst>
        </xdr:cNvPr>
        <xdr:cNvSpPr/>
      </xdr:nvSpPr>
      <xdr:spPr>
        <a:xfrm>
          <a:off x="2730500" y="123634500"/>
          <a:ext cx="4462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616</xdr:row>
      <xdr:rowOff>12700</xdr:rowOff>
    </xdr:from>
    <xdr:to>
      <xdr:col>2</xdr:col>
      <xdr:colOff>446200</xdr:colOff>
      <xdr:row>617</xdr:row>
      <xdr:rowOff>12700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4D79146-877A-E844-9111-2DD74526EAE8}"/>
            </a:ext>
          </a:extLst>
        </xdr:cNvPr>
        <xdr:cNvSpPr/>
      </xdr:nvSpPr>
      <xdr:spPr>
        <a:xfrm>
          <a:off x="2730500" y="124460000"/>
          <a:ext cx="4462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618</xdr:row>
      <xdr:rowOff>12700</xdr:rowOff>
    </xdr:from>
    <xdr:to>
      <xdr:col>2</xdr:col>
      <xdr:colOff>446200</xdr:colOff>
      <xdr:row>619</xdr:row>
      <xdr:rowOff>12700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C92CE0F-F433-B24B-911C-CC2CE10A4812}"/>
            </a:ext>
          </a:extLst>
        </xdr:cNvPr>
        <xdr:cNvSpPr/>
      </xdr:nvSpPr>
      <xdr:spPr>
        <a:xfrm>
          <a:off x="2730500" y="124866400"/>
          <a:ext cx="44620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617</xdr:row>
      <xdr:rowOff>12700</xdr:rowOff>
    </xdr:from>
    <xdr:to>
      <xdr:col>2</xdr:col>
      <xdr:colOff>446200</xdr:colOff>
      <xdr:row>618</xdr:row>
      <xdr:rowOff>12700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235C2F7-8B68-284B-B3B9-87C90AC6903E}"/>
            </a:ext>
          </a:extLst>
        </xdr:cNvPr>
        <xdr:cNvSpPr/>
      </xdr:nvSpPr>
      <xdr:spPr>
        <a:xfrm>
          <a:off x="2730500" y="124663200"/>
          <a:ext cx="4462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599</xdr:row>
      <xdr:rowOff>12700</xdr:rowOff>
    </xdr:from>
    <xdr:to>
      <xdr:col>3</xdr:col>
      <xdr:colOff>0</xdr:colOff>
      <xdr:row>599</xdr:row>
      <xdr:rowOff>201600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D6FFE5EB-C685-C64E-B67B-C3179E4374F5}"/>
            </a:ext>
          </a:extLst>
        </xdr:cNvPr>
        <xdr:cNvSpPr/>
      </xdr:nvSpPr>
      <xdr:spPr>
        <a:xfrm>
          <a:off x="2730500" y="121005600"/>
          <a:ext cx="7239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602</xdr:row>
      <xdr:rowOff>12700</xdr:rowOff>
    </xdr:from>
    <xdr:to>
      <xdr:col>3</xdr:col>
      <xdr:colOff>0</xdr:colOff>
      <xdr:row>603</xdr:row>
      <xdr:rowOff>12700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A6AB9FE-DD86-7F45-9A12-8CC430B8A5B7}"/>
            </a:ext>
          </a:extLst>
        </xdr:cNvPr>
        <xdr:cNvSpPr/>
      </xdr:nvSpPr>
      <xdr:spPr>
        <a:xfrm>
          <a:off x="2730500" y="121615200"/>
          <a:ext cx="723900" cy="2032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606</xdr:row>
      <xdr:rowOff>0</xdr:rowOff>
    </xdr:from>
    <xdr:to>
      <xdr:col>3</xdr:col>
      <xdr:colOff>0</xdr:colOff>
      <xdr:row>607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CF93B085-764A-4744-BDC4-EA7D76467948}"/>
            </a:ext>
          </a:extLst>
        </xdr:cNvPr>
        <xdr:cNvSpPr/>
      </xdr:nvSpPr>
      <xdr:spPr>
        <a:xfrm>
          <a:off x="2730500" y="122415300"/>
          <a:ext cx="7239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605</xdr:row>
      <xdr:rowOff>12700</xdr:rowOff>
    </xdr:from>
    <xdr:to>
      <xdr:col>3</xdr:col>
      <xdr:colOff>0</xdr:colOff>
      <xdr:row>605</xdr:row>
      <xdr:rowOff>201600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319335C-E3AA-6C4D-84D8-781AD1AC529E}"/>
            </a:ext>
          </a:extLst>
        </xdr:cNvPr>
        <xdr:cNvSpPr/>
      </xdr:nvSpPr>
      <xdr:spPr>
        <a:xfrm>
          <a:off x="2730500" y="122224800"/>
          <a:ext cx="7239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608</xdr:row>
      <xdr:rowOff>0</xdr:rowOff>
    </xdr:from>
    <xdr:to>
      <xdr:col>3</xdr:col>
      <xdr:colOff>0</xdr:colOff>
      <xdr:row>608</xdr:row>
      <xdr:rowOff>201600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5FBD30D-C7DF-CF40-801C-DE0134CF0CE1}"/>
            </a:ext>
          </a:extLst>
        </xdr:cNvPr>
        <xdr:cNvSpPr/>
      </xdr:nvSpPr>
      <xdr:spPr>
        <a:xfrm>
          <a:off x="2730500" y="122821700"/>
          <a:ext cx="7239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2092474</xdr:colOff>
      <xdr:row>613</xdr:row>
      <xdr:rowOff>193826</xdr:rowOff>
    </xdr:from>
    <xdr:to>
      <xdr:col>2</xdr:col>
      <xdr:colOff>719665</xdr:colOff>
      <xdr:row>614</xdr:row>
      <xdr:rowOff>201083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DB7A8B8D-8747-9344-9844-370DA2DE190D}"/>
            </a:ext>
          </a:extLst>
        </xdr:cNvPr>
        <xdr:cNvSpPr/>
      </xdr:nvSpPr>
      <xdr:spPr>
        <a:xfrm>
          <a:off x="2727474" y="124031526"/>
          <a:ext cx="722691" cy="210457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603</xdr:row>
      <xdr:rowOff>12700</xdr:rowOff>
    </xdr:from>
    <xdr:to>
      <xdr:col>3</xdr:col>
      <xdr:colOff>0</xdr:colOff>
      <xdr:row>604</xdr:row>
      <xdr:rowOff>11100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3C6A20D5-412E-FD44-95A6-1166A8FC70AD}"/>
            </a:ext>
          </a:extLst>
        </xdr:cNvPr>
        <xdr:cNvSpPr/>
      </xdr:nvSpPr>
      <xdr:spPr>
        <a:xfrm>
          <a:off x="2730500" y="121818400"/>
          <a:ext cx="7239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604</xdr:row>
      <xdr:rowOff>12700</xdr:rowOff>
    </xdr:from>
    <xdr:to>
      <xdr:col>3</xdr:col>
      <xdr:colOff>0</xdr:colOff>
      <xdr:row>605</xdr:row>
      <xdr:rowOff>12700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519BCF6-8083-4C47-B45C-A4FFFE620666}"/>
            </a:ext>
          </a:extLst>
        </xdr:cNvPr>
        <xdr:cNvSpPr/>
      </xdr:nvSpPr>
      <xdr:spPr>
        <a:xfrm>
          <a:off x="2730500" y="122021600"/>
          <a:ext cx="7239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607</xdr:row>
      <xdr:rowOff>0</xdr:rowOff>
    </xdr:from>
    <xdr:to>
      <xdr:col>3</xdr:col>
      <xdr:colOff>0</xdr:colOff>
      <xdr:row>608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3039EFB6-E63D-2942-A84A-605B7D2B9853}"/>
            </a:ext>
          </a:extLst>
        </xdr:cNvPr>
        <xdr:cNvSpPr/>
      </xdr:nvSpPr>
      <xdr:spPr>
        <a:xfrm>
          <a:off x="2730500" y="122618500"/>
          <a:ext cx="7239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609</xdr:row>
      <xdr:rowOff>0</xdr:rowOff>
    </xdr:from>
    <xdr:to>
      <xdr:col>3</xdr:col>
      <xdr:colOff>0</xdr:colOff>
      <xdr:row>610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D7A2CC81-099C-5C42-9952-E79A0634A306}"/>
            </a:ext>
          </a:extLst>
        </xdr:cNvPr>
        <xdr:cNvSpPr/>
      </xdr:nvSpPr>
      <xdr:spPr>
        <a:xfrm>
          <a:off x="2730500" y="123024900"/>
          <a:ext cx="7239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610</xdr:row>
      <xdr:rowOff>0</xdr:rowOff>
    </xdr:from>
    <xdr:to>
      <xdr:col>2</xdr:col>
      <xdr:colOff>717550</xdr:colOff>
      <xdr:row>610</xdr:row>
      <xdr:rowOff>201600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171AAAD-07BF-724B-9B2C-BDFA7AE59BC2}"/>
            </a:ext>
          </a:extLst>
        </xdr:cNvPr>
        <xdr:cNvSpPr/>
      </xdr:nvSpPr>
      <xdr:spPr>
        <a:xfrm>
          <a:off x="2730500" y="123228100"/>
          <a:ext cx="71755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611</xdr:row>
      <xdr:rowOff>0</xdr:rowOff>
    </xdr:from>
    <xdr:to>
      <xdr:col>3</xdr:col>
      <xdr:colOff>0</xdr:colOff>
      <xdr:row>612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48265702-1875-2D4A-9727-EEF42571844F}"/>
            </a:ext>
          </a:extLst>
        </xdr:cNvPr>
        <xdr:cNvSpPr/>
      </xdr:nvSpPr>
      <xdr:spPr>
        <a:xfrm>
          <a:off x="2730500" y="123431300"/>
          <a:ext cx="7239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612</xdr:row>
      <xdr:rowOff>0</xdr:rowOff>
    </xdr:from>
    <xdr:to>
      <xdr:col>3</xdr:col>
      <xdr:colOff>0</xdr:colOff>
      <xdr:row>613</xdr:row>
      <xdr:rowOff>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CD0F6AC7-3212-1645-B839-2E7FC47FDE8F}"/>
            </a:ext>
          </a:extLst>
        </xdr:cNvPr>
        <xdr:cNvSpPr/>
      </xdr:nvSpPr>
      <xdr:spPr>
        <a:xfrm>
          <a:off x="2730500" y="123634500"/>
          <a:ext cx="7239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613</xdr:row>
      <xdr:rowOff>0</xdr:rowOff>
    </xdr:from>
    <xdr:to>
      <xdr:col>3</xdr:col>
      <xdr:colOff>0</xdr:colOff>
      <xdr:row>614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92EF932-E3A1-FE4B-9502-25AF61213329}"/>
            </a:ext>
          </a:extLst>
        </xdr:cNvPr>
        <xdr:cNvSpPr/>
      </xdr:nvSpPr>
      <xdr:spPr>
        <a:xfrm>
          <a:off x="2730500" y="123837700"/>
          <a:ext cx="7239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615</xdr:row>
      <xdr:rowOff>6350</xdr:rowOff>
    </xdr:from>
    <xdr:to>
      <xdr:col>3</xdr:col>
      <xdr:colOff>0</xdr:colOff>
      <xdr:row>616</xdr:row>
      <xdr:rowOff>4750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FC13647-FA77-9746-8364-B21F4AE887DE}"/>
            </a:ext>
          </a:extLst>
        </xdr:cNvPr>
        <xdr:cNvSpPr/>
      </xdr:nvSpPr>
      <xdr:spPr>
        <a:xfrm>
          <a:off x="2736850" y="124250450"/>
          <a:ext cx="717550" cy="2016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615</xdr:row>
      <xdr:rowOff>190500</xdr:rowOff>
    </xdr:from>
    <xdr:to>
      <xdr:col>3</xdr:col>
      <xdr:colOff>0</xdr:colOff>
      <xdr:row>617</xdr:row>
      <xdr:rowOff>38100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ADA2868-65B4-F442-96AE-7A1288F7FD38}"/>
            </a:ext>
          </a:extLst>
        </xdr:cNvPr>
        <xdr:cNvSpPr/>
      </xdr:nvSpPr>
      <xdr:spPr>
        <a:xfrm>
          <a:off x="2730500" y="124434600"/>
          <a:ext cx="723900" cy="2540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617</xdr:row>
      <xdr:rowOff>12700</xdr:rowOff>
    </xdr:from>
    <xdr:to>
      <xdr:col>3</xdr:col>
      <xdr:colOff>0</xdr:colOff>
      <xdr:row>618</xdr:row>
      <xdr:rowOff>12700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C34CAB56-D6FB-6449-B2D2-89D68B86F599}"/>
            </a:ext>
          </a:extLst>
        </xdr:cNvPr>
        <xdr:cNvSpPr/>
      </xdr:nvSpPr>
      <xdr:spPr>
        <a:xfrm>
          <a:off x="2730500" y="124663200"/>
          <a:ext cx="7239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618</xdr:row>
      <xdr:rowOff>12700</xdr:rowOff>
    </xdr:from>
    <xdr:to>
      <xdr:col>3</xdr:col>
      <xdr:colOff>0</xdr:colOff>
      <xdr:row>619</xdr:row>
      <xdr:rowOff>12700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CDE68B7-96A7-EC4D-B3A7-1D91C8C7B3B9}"/>
            </a:ext>
          </a:extLst>
        </xdr:cNvPr>
        <xdr:cNvSpPr/>
      </xdr:nvSpPr>
      <xdr:spPr>
        <a:xfrm>
          <a:off x="2730500" y="124866400"/>
          <a:ext cx="7239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628</xdr:row>
      <xdr:rowOff>0</xdr:rowOff>
    </xdr:from>
    <xdr:to>
      <xdr:col>3</xdr:col>
      <xdr:colOff>10165</xdr:colOff>
      <xdr:row>628</xdr:row>
      <xdr:rowOff>201600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F0C04E47-1EA5-584F-8BF4-551FCB00AD10}"/>
            </a:ext>
          </a:extLst>
        </xdr:cNvPr>
        <xdr:cNvSpPr/>
      </xdr:nvSpPr>
      <xdr:spPr>
        <a:xfrm>
          <a:off x="2738965" y="126885700"/>
          <a:ext cx="7256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621</xdr:row>
      <xdr:rowOff>12700</xdr:rowOff>
    </xdr:from>
    <xdr:to>
      <xdr:col>3</xdr:col>
      <xdr:colOff>10165</xdr:colOff>
      <xdr:row>622</xdr:row>
      <xdr:rowOff>11100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886B92B-F98C-C644-82E7-B6E4530DAFE0}"/>
            </a:ext>
          </a:extLst>
        </xdr:cNvPr>
        <xdr:cNvSpPr/>
      </xdr:nvSpPr>
      <xdr:spPr>
        <a:xfrm>
          <a:off x="2738965" y="125476000"/>
          <a:ext cx="725600" cy="2016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620</xdr:row>
      <xdr:rowOff>12700</xdr:rowOff>
    </xdr:from>
    <xdr:to>
      <xdr:col>3</xdr:col>
      <xdr:colOff>10165</xdr:colOff>
      <xdr:row>621</xdr:row>
      <xdr:rowOff>11100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449C698-3EF0-3443-A66D-56502C12F75D}"/>
            </a:ext>
          </a:extLst>
        </xdr:cNvPr>
        <xdr:cNvSpPr/>
      </xdr:nvSpPr>
      <xdr:spPr>
        <a:xfrm>
          <a:off x="2738965" y="125272800"/>
          <a:ext cx="7256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622</xdr:row>
      <xdr:rowOff>0</xdr:rowOff>
    </xdr:from>
    <xdr:to>
      <xdr:col>3</xdr:col>
      <xdr:colOff>10165</xdr:colOff>
      <xdr:row>623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8E15D665-1EBF-3B40-83C0-3075006B1C0D}"/>
            </a:ext>
          </a:extLst>
        </xdr:cNvPr>
        <xdr:cNvSpPr/>
      </xdr:nvSpPr>
      <xdr:spPr>
        <a:xfrm>
          <a:off x="2738965" y="125666500"/>
          <a:ext cx="7256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623</xdr:row>
      <xdr:rowOff>0</xdr:rowOff>
    </xdr:from>
    <xdr:to>
      <xdr:col>3</xdr:col>
      <xdr:colOff>10165</xdr:colOff>
      <xdr:row>624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19187A2-AC36-A84B-96FA-66DE7AD0C31A}"/>
            </a:ext>
          </a:extLst>
        </xdr:cNvPr>
        <xdr:cNvSpPr/>
      </xdr:nvSpPr>
      <xdr:spPr>
        <a:xfrm>
          <a:off x="2738965" y="125869700"/>
          <a:ext cx="7256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625</xdr:row>
      <xdr:rowOff>0</xdr:rowOff>
    </xdr:from>
    <xdr:to>
      <xdr:col>3</xdr:col>
      <xdr:colOff>10165</xdr:colOff>
      <xdr:row>626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54520367-87D5-8246-BDC6-0CE3CE04DC60}"/>
            </a:ext>
          </a:extLst>
        </xdr:cNvPr>
        <xdr:cNvSpPr/>
      </xdr:nvSpPr>
      <xdr:spPr>
        <a:xfrm>
          <a:off x="2738965" y="126276100"/>
          <a:ext cx="7256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624</xdr:row>
      <xdr:rowOff>0</xdr:rowOff>
    </xdr:from>
    <xdr:to>
      <xdr:col>3</xdr:col>
      <xdr:colOff>10165</xdr:colOff>
      <xdr:row>624</xdr:row>
      <xdr:rowOff>201600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54B911C0-3B36-5E43-BBF9-3FC11030AF0E}"/>
            </a:ext>
          </a:extLst>
        </xdr:cNvPr>
        <xdr:cNvSpPr/>
      </xdr:nvSpPr>
      <xdr:spPr>
        <a:xfrm>
          <a:off x="2738965" y="126072900"/>
          <a:ext cx="7256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626</xdr:row>
      <xdr:rowOff>0</xdr:rowOff>
    </xdr:from>
    <xdr:to>
      <xdr:col>3</xdr:col>
      <xdr:colOff>10165</xdr:colOff>
      <xdr:row>627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D91DF13-5D65-9543-9926-1D2806925E56}"/>
            </a:ext>
          </a:extLst>
        </xdr:cNvPr>
        <xdr:cNvSpPr/>
      </xdr:nvSpPr>
      <xdr:spPr>
        <a:xfrm>
          <a:off x="2738965" y="126479300"/>
          <a:ext cx="7256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627</xdr:row>
      <xdr:rowOff>0</xdr:rowOff>
    </xdr:from>
    <xdr:to>
      <xdr:col>3</xdr:col>
      <xdr:colOff>10165</xdr:colOff>
      <xdr:row>628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8A813169-7D9A-F84D-87E2-15D8A2D63116}"/>
            </a:ext>
          </a:extLst>
        </xdr:cNvPr>
        <xdr:cNvSpPr/>
      </xdr:nvSpPr>
      <xdr:spPr>
        <a:xfrm>
          <a:off x="2738965" y="126682500"/>
          <a:ext cx="7256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622</xdr:row>
      <xdr:rowOff>12700</xdr:rowOff>
    </xdr:from>
    <xdr:to>
      <xdr:col>3</xdr:col>
      <xdr:colOff>10165</xdr:colOff>
      <xdr:row>623</xdr:row>
      <xdr:rowOff>11100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A4097717-C10A-5A42-98D5-6F71B81E6450}"/>
            </a:ext>
          </a:extLst>
        </xdr:cNvPr>
        <xdr:cNvSpPr/>
      </xdr:nvSpPr>
      <xdr:spPr>
        <a:xfrm>
          <a:off x="2738965" y="125679200"/>
          <a:ext cx="725600" cy="2016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621</xdr:row>
      <xdr:rowOff>12700</xdr:rowOff>
    </xdr:from>
    <xdr:to>
      <xdr:col>3</xdr:col>
      <xdr:colOff>10165</xdr:colOff>
      <xdr:row>622</xdr:row>
      <xdr:rowOff>11100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76ACFB90-3450-3E43-A263-2E8C69193846}"/>
            </a:ext>
          </a:extLst>
        </xdr:cNvPr>
        <xdr:cNvSpPr/>
      </xdr:nvSpPr>
      <xdr:spPr>
        <a:xfrm>
          <a:off x="2738965" y="125476000"/>
          <a:ext cx="7256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620</xdr:row>
      <xdr:rowOff>4234</xdr:rowOff>
    </xdr:from>
    <xdr:to>
      <xdr:col>3</xdr:col>
      <xdr:colOff>10165</xdr:colOff>
      <xdr:row>621</xdr:row>
      <xdr:rowOff>2634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6DF77E4B-83F7-4A48-B043-07BAFFB5E527}"/>
            </a:ext>
          </a:extLst>
        </xdr:cNvPr>
        <xdr:cNvSpPr/>
      </xdr:nvSpPr>
      <xdr:spPr>
        <a:xfrm>
          <a:off x="2738965" y="125264334"/>
          <a:ext cx="725600" cy="201600"/>
        </a:xfrm>
        <a:prstGeom prst="rect">
          <a:avLst/>
        </a:prstGeom>
        <a:gradFill flip="none" rotWithShape="1">
          <a:gsLst>
            <a:gs pos="0">
              <a:srgbClr val="C83A23"/>
            </a:gs>
            <a:gs pos="47000">
              <a:srgbClr val="F46440"/>
            </a:gs>
            <a:gs pos="100000">
              <a:srgbClr val="F9875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623</xdr:row>
      <xdr:rowOff>0</xdr:rowOff>
    </xdr:from>
    <xdr:to>
      <xdr:col>3</xdr:col>
      <xdr:colOff>10165</xdr:colOff>
      <xdr:row>624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22606668-4C88-D740-B9EE-A134AD4F4FA7}"/>
            </a:ext>
          </a:extLst>
        </xdr:cNvPr>
        <xdr:cNvSpPr/>
      </xdr:nvSpPr>
      <xdr:spPr>
        <a:xfrm>
          <a:off x="2738965" y="125869700"/>
          <a:ext cx="7256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624</xdr:row>
      <xdr:rowOff>0</xdr:rowOff>
    </xdr:from>
    <xdr:to>
      <xdr:col>3</xdr:col>
      <xdr:colOff>10165</xdr:colOff>
      <xdr:row>625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299134B2-5833-4946-944D-8613B42B91B8}"/>
            </a:ext>
          </a:extLst>
        </xdr:cNvPr>
        <xdr:cNvSpPr/>
      </xdr:nvSpPr>
      <xdr:spPr>
        <a:xfrm>
          <a:off x="2738965" y="126072900"/>
          <a:ext cx="7256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626</xdr:row>
      <xdr:rowOff>0</xdr:rowOff>
    </xdr:from>
    <xdr:to>
      <xdr:col>3</xdr:col>
      <xdr:colOff>10165</xdr:colOff>
      <xdr:row>627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B2E57BF5-E3F7-2D4D-9199-AAA8A93BB647}"/>
            </a:ext>
          </a:extLst>
        </xdr:cNvPr>
        <xdr:cNvSpPr/>
      </xdr:nvSpPr>
      <xdr:spPr>
        <a:xfrm>
          <a:off x="2738965" y="126479300"/>
          <a:ext cx="7256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625</xdr:row>
      <xdr:rowOff>0</xdr:rowOff>
    </xdr:from>
    <xdr:to>
      <xdr:col>3</xdr:col>
      <xdr:colOff>10165</xdr:colOff>
      <xdr:row>625</xdr:row>
      <xdr:rowOff>201600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9E07F63-324A-E248-8477-04718AD5CB3D}"/>
            </a:ext>
          </a:extLst>
        </xdr:cNvPr>
        <xdr:cNvSpPr/>
      </xdr:nvSpPr>
      <xdr:spPr>
        <a:xfrm>
          <a:off x="2738965" y="126276100"/>
          <a:ext cx="7256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627</xdr:row>
      <xdr:rowOff>0</xdr:rowOff>
    </xdr:from>
    <xdr:to>
      <xdr:col>3</xdr:col>
      <xdr:colOff>10165</xdr:colOff>
      <xdr:row>628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F3DF88E-9313-B646-856E-75ADEA1866AC}"/>
            </a:ext>
          </a:extLst>
        </xdr:cNvPr>
        <xdr:cNvSpPr/>
      </xdr:nvSpPr>
      <xdr:spPr>
        <a:xfrm>
          <a:off x="2738965" y="126682500"/>
          <a:ext cx="7256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628</xdr:row>
      <xdr:rowOff>0</xdr:rowOff>
    </xdr:from>
    <xdr:to>
      <xdr:col>3</xdr:col>
      <xdr:colOff>10165</xdr:colOff>
      <xdr:row>629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5709E514-3B58-2349-8F9E-AFB4B03DD32A}"/>
            </a:ext>
          </a:extLst>
        </xdr:cNvPr>
        <xdr:cNvSpPr/>
      </xdr:nvSpPr>
      <xdr:spPr>
        <a:xfrm>
          <a:off x="2738965" y="126885700"/>
          <a:ext cx="7256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6350</xdr:colOff>
      <xdr:row>619</xdr:row>
      <xdr:rowOff>12700</xdr:rowOff>
    </xdr:from>
    <xdr:to>
      <xdr:col>3</xdr:col>
      <xdr:colOff>0</xdr:colOff>
      <xdr:row>620</xdr:row>
      <xdr:rowOff>12700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E7FF170E-6EFB-6744-85EE-1F13267D9A2F}"/>
            </a:ext>
          </a:extLst>
        </xdr:cNvPr>
        <xdr:cNvSpPr/>
      </xdr:nvSpPr>
      <xdr:spPr>
        <a:xfrm>
          <a:off x="2736850" y="125069600"/>
          <a:ext cx="71755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635</xdr:row>
      <xdr:rowOff>0</xdr:rowOff>
    </xdr:from>
    <xdr:to>
      <xdr:col>3</xdr:col>
      <xdr:colOff>10165</xdr:colOff>
      <xdr:row>635</xdr:row>
      <xdr:rowOff>201600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40FDB4F-82F4-1243-99A2-D5608B6D3406}"/>
            </a:ext>
          </a:extLst>
        </xdr:cNvPr>
        <xdr:cNvSpPr/>
      </xdr:nvSpPr>
      <xdr:spPr>
        <a:xfrm>
          <a:off x="2738965" y="128308100"/>
          <a:ext cx="7256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636</xdr:row>
      <xdr:rowOff>0</xdr:rowOff>
    </xdr:from>
    <xdr:to>
      <xdr:col>3</xdr:col>
      <xdr:colOff>10165</xdr:colOff>
      <xdr:row>636</xdr:row>
      <xdr:rowOff>201600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10FC739C-C6E2-074A-9D1A-ACD560A5CCC1}"/>
            </a:ext>
          </a:extLst>
        </xdr:cNvPr>
        <xdr:cNvSpPr/>
      </xdr:nvSpPr>
      <xdr:spPr>
        <a:xfrm>
          <a:off x="2738965" y="128511300"/>
          <a:ext cx="725600" cy="2016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637</xdr:row>
      <xdr:rowOff>0</xdr:rowOff>
    </xdr:from>
    <xdr:to>
      <xdr:col>3</xdr:col>
      <xdr:colOff>10165</xdr:colOff>
      <xdr:row>638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F31D6D03-6AAF-1740-A736-4DB3413933DD}"/>
            </a:ext>
          </a:extLst>
        </xdr:cNvPr>
        <xdr:cNvSpPr/>
      </xdr:nvSpPr>
      <xdr:spPr>
        <a:xfrm>
          <a:off x="2738965" y="128714500"/>
          <a:ext cx="725600" cy="2032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630</xdr:row>
      <xdr:rowOff>0</xdr:rowOff>
    </xdr:from>
    <xdr:to>
      <xdr:col>3</xdr:col>
      <xdr:colOff>10165</xdr:colOff>
      <xdr:row>631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8C190F7-FDBE-6A43-A622-F4A99CFF441A}"/>
            </a:ext>
          </a:extLst>
        </xdr:cNvPr>
        <xdr:cNvSpPr/>
      </xdr:nvSpPr>
      <xdr:spPr>
        <a:xfrm>
          <a:off x="2738965" y="127292100"/>
          <a:ext cx="7256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631</xdr:row>
      <xdr:rowOff>0</xdr:rowOff>
    </xdr:from>
    <xdr:to>
      <xdr:col>3</xdr:col>
      <xdr:colOff>10165</xdr:colOff>
      <xdr:row>632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8A506EFD-653E-9447-8155-9152AB82E823}"/>
            </a:ext>
          </a:extLst>
        </xdr:cNvPr>
        <xdr:cNvSpPr/>
      </xdr:nvSpPr>
      <xdr:spPr>
        <a:xfrm>
          <a:off x="2738965" y="127495300"/>
          <a:ext cx="7256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632</xdr:row>
      <xdr:rowOff>0</xdr:rowOff>
    </xdr:from>
    <xdr:to>
      <xdr:col>3</xdr:col>
      <xdr:colOff>10165</xdr:colOff>
      <xdr:row>633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D76EE938-5F67-AC45-B498-789496DA23DB}"/>
            </a:ext>
          </a:extLst>
        </xdr:cNvPr>
        <xdr:cNvSpPr/>
      </xdr:nvSpPr>
      <xdr:spPr>
        <a:xfrm>
          <a:off x="2738965" y="127698500"/>
          <a:ext cx="7256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633</xdr:row>
      <xdr:rowOff>0</xdr:rowOff>
    </xdr:from>
    <xdr:to>
      <xdr:col>3</xdr:col>
      <xdr:colOff>10165</xdr:colOff>
      <xdr:row>634</xdr:row>
      <xdr:rowOff>50800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7ADA694-777D-544E-BF34-7388A137FFD4}"/>
            </a:ext>
          </a:extLst>
        </xdr:cNvPr>
        <xdr:cNvSpPr/>
      </xdr:nvSpPr>
      <xdr:spPr>
        <a:xfrm>
          <a:off x="2738965" y="127901700"/>
          <a:ext cx="7256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634</xdr:row>
      <xdr:rowOff>12700</xdr:rowOff>
    </xdr:from>
    <xdr:to>
      <xdr:col>3</xdr:col>
      <xdr:colOff>10165</xdr:colOff>
      <xdr:row>635</xdr:row>
      <xdr:rowOff>12700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37506DF-2C0D-534D-9CDB-8E1C635864D5}"/>
            </a:ext>
          </a:extLst>
        </xdr:cNvPr>
        <xdr:cNvSpPr/>
      </xdr:nvSpPr>
      <xdr:spPr>
        <a:xfrm>
          <a:off x="2738965" y="128117600"/>
          <a:ext cx="7256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630</xdr:row>
      <xdr:rowOff>0</xdr:rowOff>
    </xdr:from>
    <xdr:to>
      <xdr:col>3</xdr:col>
      <xdr:colOff>10165</xdr:colOff>
      <xdr:row>630</xdr:row>
      <xdr:rowOff>201600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7EBC6723-D34F-B24F-8482-15EDF91EC6FF}"/>
            </a:ext>
          </a:extLst>
        </xdr:cNvPr>
        <xdr:cNvSpPr/>
      </xdr:nvSpPr>
      <xdr:spPr>
        <a:xfrm>
          <a:off x="2738965" y="127292100"/>
          <a:ext cx="7256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636</xdr:row>
      <xdr:rowOff>0</xdr:rowOff>
    </xdr:from>
    <xdr:to>
      <xdr:col>3</xdr:col>
      <xdr:colOff>10165</xdr:colOff>
      <xdr:row>636</xdr:row>
      <xdr:rowOff>201600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9BB1F1A-034E-7146-84B1-614886F75635}"/>
            </a:ext>
          </a:extLst>
        </xdr:cNvPr>
        <xdr:cNvSpPr/>
      </xdr:nvSpPr>
      <xdr:spPr>
        <a:xfrm>
          <a:off x="2738965" y="128511300"/>
          <a:ext cx="7256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637</xdr:row>
      <xdr:rowOff>0</xdr:rowOff>
    </xdr:from>
    <xdr:to>
      <xdr:col>3</xdr:col>
      <xdr:colOff>10165</xdr:colOff>
      <xdr:row>637</xdr:row>
      <xdr:rowOff>201600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FA99167D-D60F-CC40-9075-997F7B872B3E}"/>
            </a:ext>
          </a:extLst>
        </xdr:cNvPr>
        <xdr:cNvSpPr/>
      </xdr:nvSpPr>
      <xdr:spPr>
        <a:xfrm>
          <a:off x="2738965" y="128714500"/>
          <a:ext cx="725600" cy="2016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638</xdr:row>
      <xdr:rowOff>0</xdr:rowOff>
    </xdr:from>
    <xdr:to>
      <xdr:col>3</xdr:col>
      <xdr:colOff>10165</xdr:colOff>
      <xdr:row>639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421AB06-0B41-FB42-928B-6DD5CDB2A605}"/>
            </a:ext>
          </a:extLst>
        </xdr:cNvPr>
        <xdr:cNvSpPr/>
      </xdr:nvSpPr>
      <xdr:spPr>
        <a:xfrm>
          <a:off x="2738965" y="128917700"/>
          <a:ext cx="725600" cy="2032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631</xdr:row>
      <xdr:rowOff>0</xdr:rowOff>
    </xdr:from>
    <xdr:to>
      <xdr:col>3</xdr:col>
      <xdr:colOff>10165</xdr:colOff>
      <xdr:row>632</xdr:row>
      <xdr:rowOff>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C92BEBF7-96CF-9E45-B112-952EDE8AE1D7}"/>
            </a:ext>
          </a:extLst>
        </xdr:cNvPr>
        <xdr:cNvSpPr/>
      </xdr:nvSpPr>
      <xdr:spPr>
        <a:xfrm>
          <a:off x="2738965" y="127495300"/>
          <a:ext cx="7256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632</xdr:row>
      <xdr:rowOff>0</xdr:rowOff>
    </xdr:from>
    <xdr:to>
      <xdr:col>3</xdr:col>
      <xdr:colOff>10165</xdr:colOff>
      <xdr:row>633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92E510F-BF3B-9D4B-99CE-22A9437F6F3F}"/>
            </a:ext>
          </a:extLst>
        </xdr:cNvPr>
        <xdr:cNvSpPr/>
      </xdr:nvSpPr>
      <xdr:spPr>
        <a:xfrm>
          <a:off x="2738965" y="127698500"/>
          <a:ext cx="7256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633</xdr:row>
      <xdr:rowOff>0</xdr:rowOff>
    </xdr:from>
    <xdr:to>
      <xdr:col>3</xdr:col>
      <xdr:colOff>10165</xdr:colOff>
      <xdr:row>634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D9510628-A0F2-BD46-A1A7-AA373DB26F09}"/>
            </a:ext>
          </a:extLst>
        </xdr:cNvPr>
        <xdr:cNvSpPr/>
      </xdr:nvSpPr>
      <xdr:spPr>
        <a:xfrm>
          <a:off x="2738965" y="127901700"/>
          <a:ext cx="7256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634</xdr:row>
      <xdr:rowOff>0</xdr:rowOff>
    </xdr:from>
    <xdr:to>
      <xdr:col>3</xdr:col>
      <xdr:colOff>10165</xdr:colOff>
      <xdr:row>635</xdr:row>
      <xdr:rowOff>50800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028045D-00CB-2E4D-8660-94968A431C50}"/>
            </a:ext>
          </a:extLst>
        </xdr:cNvPr>
        <xdr:cNvSpPr/>
      </xdr:nvSpPr>
      <xdr:spPr>
        <a:xfrm>
          <a:off x="2738965" y="128104900"/>
          <a:ext cx="7256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635</xdr:row>
      <xdr:rowOff>12700</xdr:rowOff>
    </xdr:from>
    <xdr:to>
      <xdr:col>3</xdr:col>
      <xdr:colOff>10165</xdr:colOff>
      <xdr:row>636</xdr:row>
      <xdr:rowOff>12700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ADC4159F-92BD-2942-90FA-D81FF82D1E58}"/>
            </a:ext>
          </a:extLst>
        </xdr:cNvPr>
        <xdr:cNvSpPr/>
      </xdr:nvSpPr>
      <xdr:spPr>
        <a:xfrm>
          <a:off x="2738965" y="128320800"/>
          <a:ext cx="7256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8465</xdr:colOff>
      <xdr:row>631</xdr:row>
      <xdr:rowOff>0</xdr:rowOff>
    </xdr:from>
    <xdr:to>
      <xdr:col>3</xdr:col>
      <xdr:colOff>10165</xdr:colOff>
      <xdr:row>632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69277F56-4C00-1642-AFA6-7D7AA375A2C0}"/>
            </a:ext>
          </a:extLst>
        </xdr:cNvPr>
        <xdr:cNvSpPr/>
      </xdr:nvSpPr>
      <xdr:spPr>
        <a:xfrm>
          <a:off x="2738965" y="127495300"/>
          <a:ext cx="7256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699</xdr:row>
      <xdr:rowOff>6350</xdr:rowOff>
    </xdr:from>
    <xdr:to>
      <xdr:col>3</xdr:col>
      <xdr:colOff>6350</xdr:colOff>
      <xdr:row>700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0A037E4E-CE57-A740-8D6B-F054CACB5711}"/>
            </a:ext>
          </a:extLst>
        </xdr:cNvPr>
        <xdr:cNvSpPr/>
      </xdr:nvSpPr>
      <xdr:spPr>
        <a:xfrm>
          <a:off x="2730502" y="141319250"/>
          <a:ext cx="730248" cy="196850"/>
        </a:xfrm>
        <a:prstGeom prst="rect">
          <a:avLst/>
        </a:prstGeom>
        <a:gradFill flip="none" rotWithShape="1">
          <a:gsLst>
            <a:gs pos="0">
              <a:srgbClr val="A29A86"/>
            </a:gs>
            <a:gs pos="30000">
              <a:srgbClr val="313324"/>
            </a:gs>
            <a:gs pos="65000">
              <a:srgbClr val="D2B468"/>
            </a:gs>
            <a:gs pos="100000">
              <a:srgbClr val="412F1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699</xdr:row>
      <xdr:rowOff>196850</xdr:rowOff>
    </xdr:from>
    <xdr:to>
      <xdr:col>3</xdr:col>
      <xdr:colOff>6350</xdr:colOff>
      <xdr:row>701</xdr:row>
      <xdr:rowOff>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92B23180-E216-3A49-9A69-636AFED0D09D}"/>
            </a:ext>
          </a:extLst>
        </xdr:cNvPr>
        <xdr:cNvSpPr/>
      </xdr:nvSpPr>
      <xdr:spPr>
        <a:xfrm>
          <a:off x="2730502" y="141509750"/>
          <a:ext cx="730248" cy="209550"/>
        </a:xfrm>
        <a:prstGeom prst="rect">
          <a:avLst/>
        </a:prstGeom>
        <a:gradFill flip="none" rotWithShape="1">
          <a:gsLst>
            <a:gs pos="0">
              <a:srgbClr val="492F20"/>
            </a:gs>
            <a:gs pos="31000">
              <a:srgbClr val="6A2257"/>
            </a:gs>
            <a:gs pos="65000">
              <a:srgbClr val="39393C"/>
            </a:gs>
            <a:gs pos="100000">
              <a:srgbClr val="7E423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701</xdr:row>
      <xdr:rowOff>6350</xdr:rowOff>
    </xdr:from>
    <xdr:to>
      <xdr:col>3</xdr:col>
      <xdr:colOff>6350</xdr:colOff>
      <xdr:row>702</xdr:row>
      <xdr:rowOff>12700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8E10A8DC-E850-FC4D-9968-BB360D3D2E85}"/>
            </a:ext>
          </a:extLst>
        </xdr:cNvPr>
        <xdr:cNvSpPr/>
      </xdr:nvSpPr>
      <xdr:spPr>
        <a:xfrm>
          <a:off x="2730502" y="141725650"/>
          <a:ext cx="730248" cy="209550"/>
        </a:xfrm>
        <a:prstGeom prst="rect">
          <a:avLst/>
        </a:prstGeom>
        <a:gradFill flip="none" rotWithShape="1">
          <a:gsLst>
            <a:gs pos="0">
              <a:srgbClr val="B3BDEA"/>
            </a:gs>
            <a:gs pos="31000">
              <a:srgbClr val="D49EE1"/>
            </a:gs>
            <a:gs pos="65000">
              <a:srgbClr val="887673"/>
            </a:gs>
            <a:gs pos="100000">
              <a:srgbClr val="B99F7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683</xdr:row>
      <xdr:rowOff>0</xdr:rowOff>
    </xdr:from>
    <xdr:to>
      <xdr:col>3</xdr:col>
      <xdr:colOff>0</xdr:colOff>
      <xdr:row>684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B42CBD9-246D-8442-AB44-29567E864575}"/>
            </a:ext>
          </a:extLst>
        </xdr:cNvPr>
        <xdr:cNvSpPr/>
      </xdr:nvSpPr>
      <xdr:spPr>
        <a:xfrm>
          <a:off x="2730502" y="138061700"/>
          <a:ext cx="723898" cy="203200"/>
        </a:xfrm>
        <a:prstGeom prst="rect">
          <a:avLst/>
        </a:prstGeom>
        <a:gradFill flip="none" rotWithShape="1">
          <a:gsLst>
            <a:gs pos="0">
              <a:srgbClr val="4C4C1C"/>
            </a:gs>
            <a:gs pos="31000">
              <a:srgbClr val="999E75"/>
            </a:gs>
            <a:gs pos="65000">
              <a:srgbClr val="866A77"/>
            </a:gs>
            <a:gs pos="100000">
              <a:srgbClr val="AF989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684</xdr:row>
      <xdr:rowOff>0</xdr:rowOff>
    </xdr:from>
    <xdr:to>
      <xdr:col>3</xdr:col>
      <xdr:colOff>0</xdr:colOff>
      <xdr:row>685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68518DB1-47AA-E04F-86AB-E1B943DB8022}"/>
            </a:ext>
          </a:extLst>
        </xdr:cNvPr>
        <xdr:cNvSpPr/>
      </xdr:nvSpPr>
      <xdr:spPr>
        <a:xfrm>
          <a:off x="2730502" y="138264900"/>
          <a:ext cx="723898" cy="203200"/>
        </a:xfrm>
        <a:prstGeom prst="rect">
          <a:avLst/>
        </a:prstGeom>
        <a:gradFill flip="none" rotWithShape="1">
          <a:gsLst>
            <a:gs pos="0">
              <a:srgbClr val="D2DE75"/>
            </a:gs>
            <a:gs pos="31000">
              <a:srgbClr val="617674"/>
            </a:gs>
            <a:gs pos="66000">
              <a:srgbClr val="66924A"/>
            </a:gs>
            <a:gs pos="100000">
              <a:srgbClr val="44729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685</xdr:row>
      <xdr:rowOff>0</xdr:rowOff>
    </xdr:from>
    <xdr:to>
      <xdr:col>3</xdr:col>
      <xdr:colOff>0</xdr:colOff>
      <xdr:row>686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42204C1C-EC03-E649-BA59-0ED292D40F7C}"/>
            </a:ext>
          </a:extLst>
        </xdr:cNvPr>
        <xdr:cNvSpPr/>
      </xdr:nvSpPr>
      <xdr:spPr>
        <a:xfrm>
          <a:off x="2730502" y="138468100"/>
          <a:ext cx="723898" cy="2032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31000">
              <a:srgbClr val="05525C"/>
            </a:gs>
            <a:gs pos="64000">
              <a:srgbClr val="73D0B8"/>
            </a:gs>
            <a:gs pos="100000">
              <a:srgbClr val="4E5B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686</xdr:row>
      <xdr:rowOff>0</xdr:rowOff>
    </xdr:from>
    <xdr:to>
      <xdr:col>3</xdr:col>
      <xdr:colOff>6350</xdr:colOff>
      <xdr:row>687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37B70B0-FEA2-1249-81C0-9446053826C2}"/>
            </a:ext>
          </a:extLst>
        </xdr:cNvPr>
        <xdr:cNvSpPr/>
      </xdr:nvSpPr>
      <xdr:spPr>
        <a:xfrm>
          <a:off x="2730502" y="138671300"/>
          <a:ext cx="730248" cy="203200"/>
        </a:xfrm>
        <a:prstGeom prst="rect">
          <a:avLst/>
        </a:prstGeom>
        <a:gradFill flip="none" rotWithShape="1">
          <a:gsLst>
            <a:gs pos="0">
              <a:srgbClr val="BB9D54"/>
            </a:gs>
            <a:gs pos="31000">
              <a:srgbClr val="FEF6B6"/>
            </a:gs>
            <a:gs pos="65000">
              <a:srgbClr val="BEB8AC"/>
            </a:gs>
            <a:gs pos="100000">
              <a:srgbClr val="E8AC9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687</xdr:row>
      <xdr:rowOff>0</xdr:rowOff>
    </xdr:from>
    <xdr:to>
      <xdr:col>3</xdr:col>
      <xdr:colOff>0</xdr:colOff>
      <xdr:row>688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6EA246E4-1C30-CC46-8759-2BB6C663E576}"/>
            </a:ext>
          </a:extLst>
        </xdr:cNvPr>
        <xdr:cNvSpPr/>
      </xdr:nvSpPr>
      <xdr:spPr>
        <a:xfrm>
          <a:off x="2730502" y="138874500"/>
          <a:ext cx="723898" cy="203200"/>
        </a:xfrm>
        <a:prstGeom prst="rect">
          <a:avLst/>
        </a:prstGeom>
        <a:gradFill flip="none" rotWithShape="1">
          <a:gsLst>
            <a:gs pos="0">
              <a:srgbClr val="5D5D54"/>
            </a:gs>
            <a:gs pos="31000">
              <a:srgbClr val="BB6863"/>
            </a:gs>
            <a:gs pos="65000">
              <a:srgbClr val="ACC238"/>
            </a:gs>
            <a:gs pos="100000">
              <a:srgbClr val="C697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688</xdr:row>
      <xdr:rowOff>0</xdr:rowOff>
    </xdr:from>
    <xdr:to>
      <xdr:col>3</xdr:col>
      <xdr:colOff>0</xdr:colOff>
      <xdr:row>689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AB880ECA-EFEA-CE48-AE3B-06FAAAC74CC7}"/>
            </a:ext>
          </a:extLst>
        </xdr:cNvPr>
        <xdr:cNvSpPr/>
      </xdr:nvSpPr>
      <xdr:spPr>
        <a:xfrm>
          <a:off x="2730502" y="139077700"/>
          <a:ext cx="723898" cy="203200"/>
        </a:xfrm>
        <a:prstGeom prst="rect">
          <a:avLst/>
        </a:prstGeom>
        <a:gradFill flip="none" rotWithShape="1">
          <a:gsLst>
            <a:gs pos="0">
              <a:srgbClr val="CBC959"/>
            </a:gs>
            <a:gs pos="31000">
              <a:srgbClr val="F2484D"/>
            </a:gs>
            <a:gs pos="65000">
              <a:srgbClr val="807867"/>
            </a:gs>
            <a:gs pos="100000">
              <a:srgbClr val="C1573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689</xdr:row>
      <xdr:rowOff>0</xdr:rowOff>
    </xdr:from>
    <xdr:to>
      <xdr:col>3</xdr:col>
      <xdr:colOff>0</xdr:colOff>
      <xdr:row>690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B58BEFD-D25E-8048-B4D8-15CE63168884}"/>
            </a:ext>
          </a:extLst>
        </xdr:cNvPr>
        <xdr:cNvSpPr/>
      </xdr:nvSpPr>
      <xdr:spPr>
        <a:xfrm>
          <a:off x="2730502" y="139280900"/>
          <a:ext cx="723898" cy="203200"/>
        </a:xfrm>
        <a:prstGeom prst="rect">
          <a:avLst/>
        </a:prstGeom>
        <a:gradFill flip="none" rotWithShape="1">
          <a:gsLst>
            <a:gs pos="0">
              <a:srgbClr val="D1883C"/>
            </a:gs>
            <a:gs pos="31000">
              <a:srgbClr val="C62B37"/>
            </a:gs>
            <a:gs pos="65000">
              <a:srgbClr val="432618"/>
            </a:gs>
            <a:gs pos="99000">
              <a:srgbClr val="4C4B1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690</xdr:row>
      <xdr:rowOff>0</xdr:rowOff>
    </xdr:from>
    <xdr:to>
      <xdr:col>3</xdr:col>
      <xdr:colOff>0</xdr:colOff>
      <xdr:row>691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6872D7BA-1CE9-B04B-A7B2-2205A1C61B28}"/>
            </a:ext>
          </a:extLst>
        </xdr:cNvPr>
        <xdr:cNvSpPr/>
      </xdr:nvSpPr>
      <xdr:spPr>
        <a:xfrm>
          <a:off x="2730502" y="139484100"/>
          <a:ext cx="723898" cy="203200"/>
        </a:xfrm>
        <a:prstGeom prst="rect">
          <a:avLst/>
        </a:prstGeom>
        <a:gradFill flip="none" rotWithShape="1">
          <a:gsLst>
            <a:gs pos="0">
              <a:srgbClr val="9A9B9C"/>
            </a:gs>
            <a:gs pos="31000">
              <a:srgbClr val="4E5CA7"/>
            </a:gs>
            <a:gs pos="65000">
              <a:srgbClr val="C72B38"/>
            </a:gs>
            <a:gs pos="100000">
              <a:srgbClr val="0D275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691</xdr:row>
      <xdr:rowOff>0</xdr:rowOff>
    </xdr:from>
    <xdr:to>
      <xdr:col>3</xdr:col>
      <xdr:colOff>0</xdr:colOff>
      <xdr:row>691</xdr:row>
      <xdr:rowOff>201600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6C309217-9399-5344-AF16-CFCE6B157160}"/>
            </a:ext>
          </a:extLst>
        </xdr:cNvPr>
        <xdr:cNvSpPr/>
      </xdr:nvSpPr>
      <xdr:spPr>
        <a:xfrm>
          <a:off x="2730502" y="139687300"/>
          <a:ext cx="723898" cy="201600"/>
        </a:xfrm>
        <a:prstGeom prst="rect">
          <a:avLst/>
        </a:prstGeom>
        <a:gradFill flip="none" rotWithShape="1">
          <a:gsLst>
            <a:gs pos="0">
              <a:srgbClr val="FFFEFF"/>
            </a:gs>
            <a:gs pos="31000">
              <a:srgbClr val="494749"/>
            </a:gs>
            <a:gs pos="65000">
              <a:srgbClr val="711032"/>
            </a:gs>
            <a:gs pos="100000">
              <a:srgbClr val="999B9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692</xdr:row>
      <xdr:rowOff>0</xdr:rowOff>
    </xdr:from>
    <xdr:to>
      <xdr:col>3</xdr:col>
      <xdr:colOff>0</xdr:colOff>
      <xdr:row>693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08B70924-A516-FD49-B114-2610EDEDD56B}"/>
            </a:ext>
          </a:extLst>
        </xdr:cNvPr>
        <xdr:cNvSpPr/>
      </xdr:nvSpPr>
      <xdr:spPr>
        <a:xfrm>
          <a:off x="2730502" y="139890500"/>
          <a:ext cx="723898" cy="203200"/>
        </a:xfrm>
        <a:prstGeom prst="rect">
          <a:avLst/>
        </a:prstGeom>
        <a:gradFill flip="none" rotWithShape="1">
          <a:gsLst>
            <a:gs pos="0">
              <a:srgbClr val="116A75"/>
            </a:gs>
            <a:gs pos="31000">
              <a:srgbClr val="6D6369"/>
            </a:gs>
            <a:gs pos="65000">
              <a:srgbClr val="EBC5EB"/>
            </a:gs>
            <a:gs pos="100000">
              <a:srgbClr val="6B22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693</xdr:row>
      <xdr:rowOff>0</xdr:rowOff>
    </xdr:from>
    <xdr:to>
      <xdr:col>3</xdr:col>
      <xdr:colOff>0</xdr:colOff>
      <xdr:row>694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4A3138C-886B-A142-8892-0AF5F6A65B1C}"/>
            </a:ext>
          </a:extLst>
        </xdr:cNvPr>
        <xdr:cNvSpPr/>
      </xdr:nvSpPr>
      <xdr:spPr>
        <a:xfrm>
          <a:off x="2730502" y="140093700"/>
          <a:ext cx="723898" cy="203200"/>
        </a:xfrm>
        <a:prstGeom prst="rect">
          <a:avLst/>
        </a:prstGeom>
        <a:gradFill flip="none" rotWithShape="1">
          <a:gsLst>
            <a:gs pos="0">
              <a:srgbClr val="593C2C"/>
            </a:gs>
            <a:gs pos="31000">
              <a:srgbClr val="795939"/>
            </a:gs>
            <a:gs pos="65000">
              <a:srgbClr val="93A0AF"/>
            </a:gs>
            <a:gs pos="100000">
              <a:srgbClr val="495C6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694</xdr:row>
      <xdr:rowOff>0</xdr:rowOff>
    </xdr:from>
    <xdr:to>
      <xdr:col>3</xdr:col>
      <xdr:colOff>0</xdr:colOff>
      <xdr:row>695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60A0F9E6-EADB-F94F-927B-982187F9E95E}"/>
            </a:ext>
          </a:extLst>
        </xdr:cNvPr>
        <xdr:cNvSpPr/>
      </xdr:nvSpPr>
      <xdr:spPr>
        <a:xfrm>
          <a:off x="2730502" y="140296900"/>
          <a:ext cx="723898" cy="203200"/>
        </a:xfrm>
        <a:prstGeom prst="rect">
          <a:avLst/>
        </a:prstGeom>
        <a:gradFill flip="none" rotWithShape="1">
          <a:gsLst>
            <a:gs pos="0">
              <a:srgbClr val="593B2D"/>
            </a:gs>
            <a:gs pos="31000">
              <a:srgbClr val="7E4231"/>
            </a:gs>
            <a:gs pos="65000">
              <a:srgbClr val="F7EFD9"/>
            </a:gs>
            <a:gs pos="100000">
              <a:srgbClr val="970B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695</xdr:row>
      <xdr:rowOff>0</xdr:rowOff>
    </xdr:from>
    <xdr:to>
      <xdr:col>3</xdr:col>
      <xdr:colOff>0</xdr:colOff>
      <xdr:row>696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AC61C84-4136-3948-B2A7-BCB5D59F68ED}"/>
            </a:ext>
          </a:extLst>
        </xdr:cNvPr>
        <xdr:cNvSpPr/>
      </xdr:nvSpPr>
      <xdr:spPr>
        <a:xfrm>
          <a:off x="2730502" y="140500100"/>
          <a:ext cx="723898" cy="203200"/>
        </a:xfrm>
        <a:prstGeom prst="rect">
          <a:avLst/>
        </a:prstGeom>
        <a:gradFill flip="none" rotWithShape="1">
          <a:gsLst>
            <a:gs pos="0">
              <a:srgbClr val="DE3E40"/>
            </a:gs>
            <a:gs pos="31000">
              <a:srgbClr val="56826E"/>
            </a:gs>
            <a:gs pos="65000">
              <a:srgbClr val="921238"/>
            </a:gs>
            <a:gs pos="100000">
              <a:srgbClr val="EF324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696</xdr:row>
      <xdr:rowOff>0</xdr:rowOff>
    </xdr:from>
    <xdr:to>
      <xdr:col>3</xdr:col>
      <xdr:colOff>0</xdr:colOff>
      <xdr:row>696</xdr:row>
      <xdr:rowOff>201600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B12B9F9A-1DDC-624F-AB40-CD0D852CE9C4}"/>
            </a:ext>
          </a:extLst>
        </xdr:cNvPr>
        <xdr:cNvSpPr/>
      </xdr:nvSpPr>
      <xdr:spPr>
        <a:xfrm>
          <a:off x="2730502" y="140703300"/>
          <a:ext cx="723898" cy="201600"/>
        </a:xfrm>
        <a:prstGeom prst="rect">
          <a:avLst/>
        </a:prstGeom>
        <a:gradFill flip="none" rotWithShape="1">
          <a:gsLst>
            <a:gs pos="0">
              <a:srgbClr val="54322D"/>
            </a:gs>
            <a:gs pos="33000">
              <a:srgbClr val="AC8582"/>
            </a:gs>
            <a:gs pos="65000">
              <a:srgbClr val="4C4B1E"/>
            </a:gs>
            <a:gs pos="100000">
              <a:srgbClr val="80093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697</xdr:row>
      <xdr:rowOff>0</xdr:rowOff>
    </xdr:from>
    <xdr:to>
      <xdr:col>3</xdr:col>
      <xdr:colOff>0</xdr:colOff>
      <xdr:row>698</xdr:row>
      <xdr:rowOff>12700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808739C8-BEB4-EE4C-B088-004137F6C59B}"/>
            </a:ext>
          </a:extLst>
        </xdr:cNvPr>
        <xdr:cNvSpPr/>
      </xdr:nvSpPr>
      <xdr:spPr>
        <a:xfrm>
          <a:off x="2730502" y="140906500"/>
          <a:ext cx="723898" cy="215900"/>
        </a:xfrm>
        <a:prstGeom prst="rect">
          <a:avLst/>
        </a:prstGeom>
        <a:gradFill flip="none" rotWithShape="1">
          <a:gsLst>
            <a:gs pos="0">
              <a:srgbClr val="4A3121"/>
            </a:gs>
            <a:gs pos="31000">
              <a:srgbClr val="1D362B"/>
            </a:gs>
            <a:gs pos="65000">
              <a:srgbClr val="970B2C"/>
            </a:gs>
            <a:gs pos="100000">
              <a:srgbClr val="BE0F3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698</xdr:row>
      <xdr:rowOff>0</xdr:rowOff>
    </xdr:from>
    <xdr:to>
      <xdr:col>3</xdr:col>
      <xdr:colOff>0</xdr:colOff>
      <xdr:row>699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D290AA8-CFD6-C948-811C-FB3F4BCB4349}"/>
            </a:ext>
          </a:extLst>
        </xdr:cNvPr>
        <xdr:cNvSpPr/>
      </xdr:nvSpPr>
      <xdr:spPr>
        <a:xfrm>
          <a:off x="2730502" y="141109700"/>
          <a:ext cx="723898" cy="2032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FEFFFF"/>
            </a:gs>
            <a:gs pos="65000">
              <a:srgbClr val="CDEFA6"/>
            </a:gs>
            <a:gs pos="100000">
              <a:srgbClr val="0E925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678</xdr:row>
      <xdr:rowOff>6350</xdr:rowOff>
    </xdr:from>
    <xdr:to>
      <xdr:col>3</xdr:col>
      <xdr:colOff>2</xdr:colOff>
      <xdr:row>678</xdr:row>
      <xdr:rowOff>195250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F2A2918-A859-894C-B4C5-9B242A4BCC7E}"/>
            </a:ext>
          </a:extLst>
        </xdr:cNvPr>
        <xdr:cNvSpPr/>
      </xdr:nvSpPr>
      <xdr:spPr>
        <a:xfrm>
          <a:off x="2730502" y="137052050"/>
          <a:ext cx="723900" cy="188900"/>
        </a:xfrm>
        <a:prstGeom prst="rect">
          <a:avLst/>
        </a:prstGeom>
        <a:gradFill flip="none" rotWithShape="1">
          <a:gsLst>
            <a:gs pos="0">
              <a:srgbClr val="787E5C"/>
            </a:gs>
            <a:gs pos="31000">
              <a:srgbClr val="B0A87B"/>
            </a:gs>
            <a:gs pos="65000">
              <a:srgbClr val="FEDEDD"/>
            </a:gs>
            <a:gs pos="100000">
              <a:srgbClr val="EFA5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679</xdr:row>
      <xdr:rowOff>0</xdr:rowOff>
    </xdr:from>
    <xdr:to>
      <xdr:col>3</xdr:col>
      <xdr:colOff>0</xdr:colOff>
      <xdr:row>680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F97957F4-B898-644E-8585-44CBE0746DC5}"/>
            </a:ext>
          </a:extLst>
        </xdr:cNvPr>
        <xdr:cNvSpPr/>
      </xdr:nvSpPr>
      <xdr:spPr>
        <a:xfrm>
          <a:off x="2730502" y="137248900"/>
          <a:ext cx="723898" cy="203200"/>
        </a:xfrm>
        <a:prstGeom prst="rect">
          <a:avLst/>
        </a:prstGeom>
        <a:gradFill flip="none" rotWithShape="1">
          <a:gsLst>
            <a:gs pos="0">
              <a:srgbClr val="97D8D3"/>
            </a:gs>
            <a:gs pos="31000">
              <a:srgbClr val="D7F0A8"/>
            </a:gs>
            <a:gs pos="65000">
              <a:srgbClr val="FFF7E8"/>
            </a:gs>
            <a:gs pos="100000">
              <a:srgbClr val="FD6D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680</xdr:row>
      <xdr:rowOff>0</xdr:rowOff>
    </xdr:from>
    <xdr:to>
      <xdr:col>3</xdr:col>
      <xdr:colOff>0</xdr:colOff>
      <xdr:row>681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5BCB6F8D-CD96-FE41-A51D-DE5A6BEB4FC4}"/>
            </a:ext>
          </a:extLst>
        </xdr:cNvPr>
        <xdr:cNvSpPr/>
      </xdr:nvSpPr>
      <xdr:spPr>
        <a:xfrm>
          <a:off x="2730502" y="137452100"/>
          <a:ext cx="723898" cy="203200"/>
        </a:xfrm>
        <a:prstGeom prst="rect">
          <a:avLst/>
        </a:prstGeom>
        <a:gradFill flip="none" rotWithShape="1">
          <a:gsLst>
            <a:gs pos="0">
              <a:srgbClr val="BEDE75"/>
            </a:gs>
            <a:gs pos="31000">
              <a:srgbClr val="D8EAF2"/>
            </a:gs>
            <a:gs pos="65000">
              <a:srgbClr val="D53E67"/>
            </a:gs>
            <a:gs pos="100000">
              <a:srgbClr val="C72A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681</xdr:row>
      <xdr:rowOff>0</xdr:rowOff>
    </xdr:from>
    <xdr:to>
      <xdr:col>3</xdr:col>
      <xdr:colOff>0</xdr:colOff>
      <xdr:row>682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C7C4954E-6EC1-1342-AB71-DC20F3E95F35}"/>
            </a:ext>
          </a:extLst>
        </xdr:cNvPr>
        <xdr:cNvSpPr/>
      </xdr:nvSpPr>
      <xdr:spPr>
        <a:xfrm>
          <a:off x="2730502" y="137655300"/>
          <a:ext cx="723898" cy="203200"/>
        </a:xfrm>
        <a:prstGeom prst="rect">
          <a:avLst/>
        </a:prstGeom>
        <a:gradFill flip="none" rotWithShape="1">
          <a:gsLst>
            <a:gs pos="0">
              <a:srgbClr val="6B2159"/>
            </a:gs>
            <a:gs pos="31000">
              <a:srgbClr val="934D78"/>
            </a:gs>
            <a:gs pos="65000">
              <a:srgbClr val="CBC959"/>
            </a:gs>
            <a:gs pos="100000">
              <a:srgbClr val="CFC3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</xdr:colOff>
      <xdr:row>682</xdr:row>
      <xdr:rowOff>0</xdr:rowOff>
    </xdr:from>
    <xdr:to>
      <xdr:col>3</xdr:col>
      <xdr:colOff>0</xdr:colOff>
      <xdr:row>683</xdr:row>
      <xdr:rowOff>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6C93B017-E61C-D849-B749-133EFA052B2A}"/>
            </a:ext>
          </a:extLst>
        </xdr:cNvPr>
        <xdr:cNvSpPr/>
      </xdr:nvSpPr>
      <xdr:spPr>
        <a:xfrm>
          <a:off x="2730502" y="137858500"/>
          <a:ext cx="723898" cy="203200"/>
        </a:xfrm>
        <a:prstGeom prst="rect">
          <a:avLst/>
        </a:prstGeom>
        <a:gradFill flip="none" rotWithShape="1">
          <a:gsLst>
            <a:gs pos="0">
              <a:srgbClr val="584029"/>
            </a:gs>
            <a:gs pos="31000">
              <a:srgbClr val="9D8868"/>
            </a:gs>
            <a:gs pos="65000">
              <a:srgbClr val="882842"/>
            </a:gs>
            <a:gs pos="100000">
              <a:srgbClr val="BC757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8480</xdr:colOff>
      <xdr:row>6</xdr:row>
      <xdr:rowOff>0</xdr:rowOff>
    </xdr:from>
    <xdr:to>
      <xdr:col>104</xdr:col>
      <xdr:colOff>4247</xdr:colOff>
      <xdr:row>7</xdr:row>
      <xdr:rowOff>12800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B1C183-CD29-F74E-9E30-419DE5C1D058}"/>
            </a:ext>
          </a:extLst>
        </xdr:cNvPr>
        <xdr:cNvSpPr/>
      </xdr:nvSpPr>
      <xdr:spPr>
        <a:xfrm>
          <a:off x="2865980" y="8077200"/>
          <a:ext cx="465667" cy="216000"/>
        </a:xfrm>
        <a:prstGeom prst="rect">
          <a:avLst/>
        </a:prstGeom>
        <a:gradFill flip="none" rotWithShape="1">
          <a:gsLst>
            <a:gs pos="0">
              <a:srgbClr val="BF1B48"/>
            </a:gs>
            <a:gs pos="47000">
              <a:srgbClr val="D63F6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7</xdr:row>
      <xdr:rowOff>12700</xdr:rowOff>
    </xdr:from>
    <xdr:to>
      <xdr:col>104</xdr:col>
      <xdr:colOff>4247</xdr:colOff>
      <xdr:row>8</xdr:row>
      <xdr:rowOff>63500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E315DF-84FB-2A4E-8B27-031AE9E43B8D}"/>
            </a:ext>
          </a:extLst>
        </xdr:cNvPr>
        <xdr:cNvSpPr/>
      </xdr:nvSpPr>
      <xdr:spPr>
        <a:xfrm>
          <a:off x="2865980" y="10731500"/>
          <a:ext cx="465667" cy="2540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AC1C36"/>
            </a:gs>
            <a:gs pos="65000">
              <a:srgbClr val="D63E68"/>
            </a:gs>
            <a:gs pos="100000">
              <a:srgbClr val="F793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8</xdr:row>
      <xdr:rowOff>0</xdr:rowOff>
    </xdr:from>
    <xdr:to>
      <xdr:col>104</xdr:col>
      <xdr:colOff>4247</xdr:colOff>
      <xdr:row>9</xdr:row>
      <xdr:rowOff>12700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B7867BB-2B4B-234E-A563-E174D4DC65EC}"/>
            </a:ext>
          </a:extLst>
        </xdr:cNvPr>
        <xdr:cNvSpPr/>
      </xdr:nvSpPr>
      <xdr:spPr>
        <a:xfrm>
          <a:off x="2865980" y="11125200"/>
          <a:ext cx="465667" cy="2159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47000">
              <a:srgbClr val="800934"/>
            </a:gs>
            <a:gs pos="100000">
              <a:srgbClr val="66132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9</xdr:row>
      <xdr:rowOff>12700</xdr:rowOff>
    </xdr:from>
    <xdr:to>
      <xdr:col>104</xdr:col>
      <xdr:colOff>4247</xdr:colOff>
      <xdr:row>10</xdr:row>
      <xdr:rowOff>12700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14246E7-7F18-E642-89CD-106E4D052991}"/>
            </a:ext>
          </a:extLst>
        </xdr:cNvPr>
        <xdr:cNvSpPr/>
      </xdr:nvSpPr>
      <xdr:spPr>
        <a:xfrm>
          <a:off x="2865980" y="10121900"/>
          <a:ext cx="465667" cy="203200"/>
        </a:xfrm>
        <a:prstGeom prst="rect">
          <a:avLst/>
        </a:prstGeom>
        <a:gradFill flip="none" rotWithShape="1">
          <a:gsLst>
            <a:gs pos="0">
              <a:srgbClr val="B4445D"/>
            </a:gs>
            <a:gs pos="47000">
              <a:srgbClr val="FEDEDD"/>
            </a:gs>
            <a:gs pos="100000">
              <a:srgbClr val="7A25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10</xdr:row>
      <xdr:rowOff>12700</xdr:rowOff>
    </xdr:from>
    <xdr:to>
      <xdr:col>104</xdr:col>
      <xdr:colOff>4247</xdr:colOff>
      <xdr:row>11</xdr:row>
      <xdr:rowOff>12700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F601508-933B-CB41-B99E-426F55745673}"/>
            </a:ext>
          </a:extLst>
        </xdr:cNvPr>
        <xdr:cNvSpPr/>
      </xdr:nvSpPr>
      <xdr:spPr>
        <a:xfrm>
          <a:off x="2865980" y="8496300"/>
          <a:ext cx="465667" cy="203200"/>
        </a:xfrm>
        <a:prstGeom prst="rect">
          <a:avLst/>
        </a:prstGeom>
        <a:gradFill flip="none" rotWithShape="1">
          <a:gsLst>
            <a:gs pos="0">
              <a:srgbClr val="EAC5EB"/>
            </a:gs>
            <a:gs pos="31000">
              <a:srgbClr val="9442A7"/>
            </a:gs>
            <a:gs pos="65000">
              <a:srgbClr val="570D5B"/>
            </a:gs>
            <a:gs pos="100000">
              <a:srgbClr val="8A2A8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11</xdr:row>
      <xdr:rowOff>0</xdr:rowOff>
    </xdr:from>
    <xdr:to>
      <xdr:col>104</xdr:col>
      <xdr:colOff>4247</xdr:colOff>
      <xdr:row>12</xdr:row>
      <xdr:rowOff>12700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73DEF99-6248-6640-BE61-529582699343}"/>
            </a:ext>
          </a:extLst>
        </xdr:cNvPr>
        <xdr:cNvSpPr/>
      </xdr:nvSpPr>
      <xdr:spPr>
        <a:xfrm>
          <a:off x="2865980" y="9702800"/>
          <a:ext cx="465667" cy="215900"/>
        </a:xfrm>
        <a:prstGeom prst="rect">
          <a:avLst/>
        </a:prstGeom>
        <a:gradFill flip="none" rotWithShape="1">
          <a:gsLst>
            <a:gs pos="0">
              <a:srgbClr val="B6C7E9"/>
            </a:gs>
            <a:gs pos="47000">
              <a:srgbClr val="4E5CA7"/>
            </a:gs>
            <a:gs pos="100000">
              <a:srgbClr val="27227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12</xdr:row>
      <xdr:rowOff>0</xdr:rowOff>
    </xdr:from>
    <xdr:to>
      <xdr:col>104</xdr:col>
      <xdr:colOff>4247</xdr:colOff>
      <xdr:row>13</xdr:row>
      <xdr:rowOff>12700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4A64E2A-795E-4943-BCC0-5BBF9AAC44BC}"/>
            </a:ext>
          </a:extLst>
        </xdr:cNvPr>
        <xdr:cNvSpPr/>
      </xdr:nvSpPr>
      <xdr:spPr>
        <a:xfrm>
          <a:off x="2865980" y="11328400"/>
          <a:ext cx="465667" cy="215900"/>
        </a:xfrm>
        <a:prstGeom prst="rect">
          <a:avLst/>
        </a:prstGeom>
        <a:gradFill flip="none" rotWithShape="1">
          <a:gsLst>
            <a:gs pos="0">
              <a:srgbClr val="B4B9EA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13</xdr:row>
      <xdr:rowOff>12700</xdr:rowOff>
    </xdr:from>
    <xdr:to>
      <xdr:col>104</xdr:col>
      <xdr:colOff>4247</xdr:colOff>
      <xdr:row>14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31D5AD-717F-1842-9215-1AF20BFAE5DB}"/>
            </a:ext>
          </a:extLst>
        </xdr:cNvPr>
        <xdr:cNvSpPr/>
      </xdr:nvSpPr>
      <xdr:spPr>
        <a:xfrm>
          <a:off x="2865980" y="8902700"/>
          <a:ext cx="465667" cy="190500"/>
        </a:xfrm>
        <a:prstGeom prst="rect">
          <a:avLst/>
        </a:prstGeom>
        <a:gradFill flip="none" rotWithShape="1">
          <a:gsLst>
            <a:gs pos="0">
              <a:srgbClr val="CAE7F1"/>
            </a:gs>
            <a:gs pos="47000">
              <a:srgbClr val="B5C8E9"/>
            </a:gs>
            <a:gs pos="100000">
              <a:srgbClr val="6B7FC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14</xdr:row>
      <xdr:rowOff>0</xdr:rowOff>
    </xdr:from>
    <xdr:to>
      <xdr:col>104</xdr:col>
      <xdr:colOff>4247</xdr:colOff>
      <xdr:row>15</xdr:row>
      <xdr:rowOff>12700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FB39534-0970-164F-8475-3F2E32661A06}"/>
            </a:ext>
          </a:extLst>
        </xdr:cNvPr>
        <xdr:cNvSpPr/>
      </xdr:nvSpPr>
      <xdr:spPr>
        <a:xfrm>
          <a:off x="2865980" y="11531600"/>
          <a:ext cx="465667" cy="215900"/>
        </a:xfrm>
        <a:prstGeom prst="rect">
          <a:avLst/>
        </a:prstGeom>
        <a:gradFill flip="none" rotWithShape="1">
          <a:gsLst>
            <a:gs pos="0">
              <a:srgbClr val="0F6B44"/>
            </a:gs>
            <a:gs pos="31000">
              <a:srgbClr val="33B26B"/>
            </a:gs>
            <a:gs pos="65000">
              <a:srgbClr val="55CB7D"/>
            </a:gs>
            <a:gs pos="100000">
              <a:srgbClr val="A9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15</xdr:row>
      <xdr:rowOff>12700</xdr:rowOff>
    </xdr:from>
    <xdr:to>
      <xdr:col>104</xdr:col>
      <xdr:colOff>4247</xdr:colOff>
      <xdr:row>16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9A8678E-51C0-0D40-9FB9-2AC06938DDE8}"/>
            </a:ext>
          </a:extLst>
        </xdr:cNvPr>
        <xdr:cNvSpPr/>
      </xdr:nvSpPr>
      <xdr:spPr>
        <a:xfrm>
          <a:off x="2865980" y="9512300"/>
          <a:ext cx="465667" cy="190500"/>
        </a:xfrm>
        <a:prstGeom prst="rect">
          <a:avLst/>
        </a:prstGeom>
        <a:gradFill flip="none" rotWithShape="1">
          <a:gsLst>
            <a:gs pos="0">
              <a:srgbClr val="9EB456"/>
            </a:gs>
            <a:gs pos="47000">
              <a:srgbClr val="D8F0A8"/>
            </a:gs>
            <a:gs pos="100000">
              <a:srgbClr val="3863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16</xdr:row>
      <xdr:rowOff>12700</xdr:rowOff>
    </xdr:from>
    <xdr:to>
      <xdr:col>104</xdr:col>
      <xdr:colOff>4247</xdr:colOff>
      <xdr:row>17</xdr:row>
      <xdr:rowOff>38100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AFEE46C-C809-1E40-8AFD-AD64A1B66051}"/>
            </a:ext>
          </a:extLst>
        </xdr:cNvPr>
        <xdr:cNvSpPr/>
      </xdr:nvSpPr>
      <xdr:spPr>
        <a:xfrm>
          <a:off x="2865980" y="9918700"/>
          <a:ext cx="465667" cy="228600"/>
        </a:xfrm>
        <a:prstGeom prst="rect">
          <a:avLst/>
        </a:prstGeom>
        <a:gradFill flip="none" rotWithShape="1">
          <a:gsLst>
            <a:gs pos="0">
              <a:srgbClr val="635209"/>
            </a:gs>
            <a:gs pos="47000">
              <a:srgbClr val="8A7B4E"/>
            </a:gs>
            <a:gs pos="100000">
              <a:srgbClr val="AFA8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17</xdr:row>
      <xdr:rowOff>12700</xdr:rowOff>
    </xdr:from>
    <xdr:to>
      <xdr:col>104</xdr:col>
      <xdr:colOff>4247</xdr:colOff>
      <xdr:row>18</xdr:row>
      <xdr:rowOff>12700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1FEF561-325F-D442-8744-11FEB34F315B}"/>
            </a:ext>
          </a:extLst>
        </xdr:cNvPr>
        <xdr:cNvSpPr/>
      </xdr:nvSpPr>
      <xdr:spPr>
        <a:xfrm>
          <a:off x="2865980" y="9309100"/>
          <a:ext cx="465667" cy="203200"/>
        </a:xfrm>
        <a:prstGeom prst="rect">
          <a:avLst/>
        </a:prstGeom>
        <a:gradFill flip="none" rotWithShape="1">
          <a:gsLst>
            <a:gs pos="0">
              <a:srgbClr val="FC8A0F"/>
            </a:gs>
            <a:gs pos="47000">
              <a:srgbClr val="FDAF3C"/>
            </a:gs>
            <a:gs pos="100000">
              <a:srgbClr val="FC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18</xdr:row>
      <xdr:rowOff>12700</xdr:rowOff>
    </xdr:from>
    <xdr:to>
      <xdr:col>104</xdr:col>
      <xdr:colOff>4247</xdr:colOff>
      <xdr:row>19</xdr:row>
      <xdr:rowOff>11100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4296296-56F6-214E-960A-8312691D7D6C}"/>
            </a:ext>
          </a:extLst>
        </xdr:cNvPr>
        <xdr:cNvSpPr/>
      </xdr:nvSpPr>
      <xdr:spPr>
        <a:xfrm>
          <a:off x="2865980" y="8293100"/>
          <a:ext cx="465667" cy="201600"/>
        </a:xfrm>
        <a:prstGeom prst="rect">
          <a:avLst/>
        </a:prstGeom>
        <a:gradFill flip="none" rotWithShape="1">
          <a:gsLst>
            <a:gs pos="0">
              <a:srgbClr val="FC6620"/>
            </a:gs>
            <a:gs pos="47000">
              <a:srgbClr val="FEA370"/>
            </a:gs>
            <a:gs pos="100000">
              <a:srgbClr val="FAAC5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19</xdr:row>
      <xdr:rowOff>12700</xdr:rowOff>
    </xdr:from>
    <xdr:to>
      <xdr:col>104</xdr:col>
      <xdr:colOff>4247</xdr:colOff>
      <xdr:row>20</xdr:row>
      <xdr:rowOff>12700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5F000CB-4113-D147-8EE1-0C23163A47B3}"/>
            </a:ext>
          </a:extLst>
        </xdr:cNvPr>
        <xdr:cNvSpPr/>
      </xdr:nvSpPr>
      <xdr:spPr>
        <a:xfrm>
          <a:off x="2865980" y="10528300"/>
          <a:ext cx="465667" cy="203200"/>
        </a:xfrm>
        <a:prstGeom prst="rect">
          <a:avLst/>
        </a:prstGeom>
        <a:gradFill flip="none" rotWithShape="1">
          <a:gsLst>
            <a:gs pos="0">
              <a:srgbClr val="F80C01"/>
            </a:gs>
            <a:gs pos="47000">
              <a:srgbClr val="FFC2AD"/>
            </a:gs>
            <a:gs pos="100000">
              <a:srgbClr val="FE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20</xdr:row>
      <xdr:rowOff>0</xdr:rowOff>
    </xdr:from>
    <xdr:to>
      <xdr:col>104</xdr:col>
      <xdr:colOff>4247</xdr:colOff>
      <xdr:row>21</xdr:row>
      <xdr:rowOff>25400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E0A6566-F7C7-8141-BDD8-3993ECEF4119}"/>
            </a:ext>
          </a:extLst>
        </xdr:cNvPr>
        <xdr:cNvSpPr/>
      </xdr:nvSpPr>
      <xdr:spPr>
        <a:xfrm>
          <a:off x="2865980" y="10922000"/>
          <a:ext cx="465667" cy="228600"/>
        </a:xfrm>
        <a:prstGeom prst="rect">
          <a:avLst/>
        </a:prstGeom>
        <a:gradFill flip="none" rotWithShape="1">
          <a:gsLst>
            <a:gs pos="0">
              <a:srgbClr val="935026"/>
            </a:gs>
            <a:gs pos="47000">
              <a:srgbClr val="B26921"/>
            </a:gs>
            <a:gs pos="100000">
              <a:srgbClr val="D188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21</xdr:row>
      <xdr:rowOff>12700</xdr:rowOff>
    </xdr:from>
    <xdr:to>
      <xdr:col>104</xdr:col>
      <xdr:colOff>4247</xdr:colOff>
      <xdr:row>22</xdr:row>
      <xdr:rowOff>38100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59A7718-F2F0-D143-BEE1-43F79ADEC66A}"/>
            </a:ext>
          </a:extLst>
        </xdr:cNvPr>
        <xdr:cNvSpPr/>
      </xdr:nvSpPr>
      <xdr:spPr>
        <a:xfrm>
          <a:off x="2865980" y="10325100"/>
          <a:ext cx="465667" cy="228600"/>
        </a:xfrm>
        <a:prstGeom prst="rect">
          <a:avLst/>
        </a:prstGeom>
        <a:gradFill flip="none" rotWithShape="1">
          <a:gsLst>
            <a:gs pos="0">
              <a:srgbClr val="905231"/>
            </a:gs>
            <a:gs pos="47000">
              <a:srgbClr val="C8855A"/>
            </a:gs>
            <a:gs pos="100000">
              <a:srgbClr val="F3DE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22</xdr:row>
      <xdr:rowOff>0</xdr:rowOff>
    </xdr:from>
    <xdr:to>
      <xdr:col>104</xdr:col>
      <xdr:colOff>4247</xdr:colOff>
      <xdr:row>23</xdr:row>
      <xdr:rowOff>12700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FB1A8E0-CC80-6D4F-A5F8-31B95A728B5E}"/>
            </a:ext>
          </a:extLst>
        </xdr:cNvPr>
        <xdr:cNvSpPr/>
      </xdr:nvSpPr>
      <xdr:spPr>
        <a:xfrm>
          <a:off x="2865980" y="9093200"/>
          <a:ext cx="465667" cy="215900"/>
        </a:xfrm>
        <a:prstGeom prst="rect">
          <a:avLst/>
        </a:prstGeom>
        <a:gradFill flip="none" rotWithShape="1">
          <a:gsLst>
            <a:gs pos="0">
              <a:srgbClr val="F7CAB1"/>
            </a:gs>
            <a:gs pos="46000">
              <a:srgbClr val="912F25"/>
            </a:gs>
            <a:gs pos="100000">
              <a:srgbClr val="A941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103</xdr:col>
      <xdr:colOff>8480</xdr:colOff>
      <xdr:row>23</xdr:row>
      <xdr:rowOff>12700</xdr:rowOff>
    </xdr:from>
    <xdr:to>
      <xdr:col>104</xdr:col>
      <xdr:colOff>4247</xdr:colOff>
      <xdr:row>23</xdr:row>
      <xdr:rowOff>203200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80329BFC-33CD-3344-8907-9B8947529433}"/>
            </a:ext>
          </a:extLst>
        </xdr:cNvPr>
        <xdr:cNvSpPr/>
      </xdr:nvSpPr>
      <xdr:spPr>
        <a:xfrm>
          <a:off x="89594280" y="4191000"/>
          <a:ext cx="440267" cy="190500"/>
        </a:xfrm>
        <a:prstGeom prst="rect">
          <a:avLst/>
        </a:prstGeom>
        <a:gradFill flip="none" rotWithShape="1">
          <a:gsLst>
            <a:gs pos="0">
              <a:srgbClr val="B1AEB8"/>
            </a:gs>
            <a:gs pos="47000">
              <a:srgbClr val="4A4749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8480</xdr:colOff>
      <xdr:row>16</xdr:row>
      <xdr:rowOff>0</xdr:rowOff>
    </xdr:from>
    <xdr:to>
      <xdr:col>109</xdr:col>
      <xdr:colOff>4247</xdr:colOff>
      <xdr:row>17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F0DD14A-F26D-F34B-9288-FF0E8B5B789A}"/>
            </a:ext>
          </a:extLst>
        </xdr:cNvPr>
        <xdr:cNvSpPr/>
      </xdr:nvSpPr>
      <xdr:spPr>
        <a:xfrm>
          <a:off x="2865980" y="1155700"/>
          <a:ext cx="465667" cy="203200"/>
        </a:xfrm>
        <a:prstGeom prst="rect">
          <a:avLst/>
        </a:prstGeom>
        <a:gradFill flip="none" rotWithShape="1">
          <a:gsLst>
            <a:gs pos="0">
              <a:srgbClr val="A8E1E6"/>
            </a:gs>
            <a:gs pos="31000">
              <a:srgbClr val="A6E3E4"/>
            </a:gs>
            <a:gs pos="65000">
              <a:srgbClr val="CBC959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8480</xdr:colOff>
      <xdr:row>17</xdr:row>
      <xdr:rowOff>0</xdr:rowOff>
    </xdr:from>
    <xdr:to>
      <xdr:col>109</xdr:col>
      <xdr:colOff>4247</xdr:colOff>
      <xdr:row>18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05511B7-7ACE-EB48-97ED-D2E4B010ABB9}"/>
            </a:ext>
          </a:extLst>
        </xdr:cNvPr>
        <xdr:cNvSpPr/>
      </xdr:nvSpPr>
      <xdr:spPr>
        <a:xfrm>
          <a:off x="2865980" y="546100"/>
          <a:ext cx="465667" cy="203200"/>
        </a:xfrm>
        <a:prstGeom prst="rect">
          <a:avLst/>
        </a:prstGeom>
        <a:gradFill flip="none" rotWithShape="1">
          <a:gsLst>
            <a:gs pos="0">
              <a:srgbClr val="C01C49"/>
            </a:gs>
            <a:gs pos="31000">
              <a:srgbClr val="A6E3E4"/>
            </a:gs>
            <a:gs pos="65000">
              <a:srgbClr val="FC8A0F"/>
            </a:gs>
            <a:gs pos="100000">
              <a:srgbClr val="CCC85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0</xdr:colOff>
      <xdr:row>27</xdr:row>
      <xdr:rowOff>12700</xdr:rowOff>
    </xdr:from>
    <xdr:to>
      <xdr:col>108</xdr:col>
      <xdr:colOff>446200</xdr:colOff>
      <xdr:row>27</xdr:row>
      <xdr:rowOff>201600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D000875-1371-744C-8927-FA6D6CF77DB7}"/>
            </a:ext>
          </a:extLst>
        </xdr:cNvPr>
        <xdr:cNvSpPr/>
      </xdr:nvSpPr>
      <xdr:spPr>
        <a:xfrm>
          <a:off x="93929200" y="61087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6</xdr:row>
      <xdr:rowOff>12700</xdr:rowOff>
    </xdr:from>
    <xdr:to>
      <xdr:col>118</xdr:col>
      <xdr:colOff>446200</xdr:colOff>
      <xdr:row>7</xdr:row>
      <xdr:rowOff>12700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6963E36B-D692-8C4D-8718-A76C0C6D4715}"/>
            </a:ext>
          </a:extLst>
        </xdr:cNvPr>
        <xdr:cNvSpPr/>
      </xdr:nvSpPr>
      <xdr:spPr>
        <a:xfrm>
          <a:off x="2933700" y="355600"/>
          <a:ext cx="446200" cy="2032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10</xdr:row>
      <xdr:rowOff>0</xdr:rowOff>
    </xdr:from>
    <xdr:to>
      <xdr:col>118</xdr:col>
      <xdr:colOff>446200</xdr:colOff>
      <xdr:row>11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682C23B-0E1D-1D48-A20C-60335A30D08F}"/>
            </a:ext>
          </a:extLst>
        </xdr:cNvPr>
        <xdr:cNvSpPr/>
      </xdr:nvSpPr>
      <xdr:spPr>
        <a:xfrm>
          <a:off x="2933700" y="1155700"/>
          <a:ext cx="4462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9</xdr:row>
      <xdr:rowOff>12700</xdr:rowOff>
    </xdr:from>
    <xdr:to>
      <xdr:col>118</xdr:col>
      <xdr:colOff>446200</xdr:colOff>
      <xdr:row>9</xdr:row>
      <xdr:rowOff>201600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EB750D5-6B74-434B-8DBB-94A2101E7E03}"/>
            </a:ext>
          </a:extLst>
        </xdr:cNvPr>
        <xdr:cNvSpPr/>
      </xdr:nvSpPr>
      <xdr:spPr>
        <a:xfrm>
          <a:off x="2933700" y="965200"/>
          <a:ext cx="446200" cy="1889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12</xdr:row>
      <xdr:rowOff>0</xdr:rowOff>
    </xdr:from>
    <xdr:to>
      <xdr:col>118</xdr:col>
      <xdr:colOff>446200</xdr:colOff>
      <xdr:row>12</xdr:row>
      <xdr:rowOff>201600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B71E039-C9B1-8C41-9F53-1186954F5B54}"/>
            </a:ext>
          </a:extLst>
        </xdr:cNvPr>
        <xdr:cNvSpPr/>
      </xdr:nvSpPr>
      <xdr:spPr>
        <a:xfrm>
          <a:off x="2933700" y="1562100"/>
          <a:ext cx="446200" cy="2016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9674</xdr:colOff>
      <xdr:row>18</xdr:row>
      <xdr:rowOff>9676</xdr:rowOff>
    </xdr:from>
    <xdr:to>
      <xdr:col>119</xdr:col>
      <xdr:colOff>8465</xdr:colOff>
      <xdr:row>19</xdr:row>
      <xdr:rowOff>16933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710D7E0-628B-2C42-991E-1F43BF1629F5}"/>
            </a:ext>
          </a:extLst>
        </xdr:cNvPr>
        <xdr:cNvSpPr/>
      </xdr:nvSpPr>
      <xdr:spPr>
        <a:xfrm>
          <a:off x="2943374" y="2790976"/>
          <a:ext cx="443291" cy="210457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7</xdr:row>
      <xdr:rowOff>12700</xdr:rowOff>
    </xdr:from>
    <xdr:to>
      <xdr:col>118</xdr:col>
      <xdr:colOff>446200</xdr:colOff>
      <xdr:row>8</xdr:row>
      <xdr:rowOff>11100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D30479B-05D5-9C41-AA27-DEDBC1ABCC65}"/>
            </a:ext>
          </a:extLst>
        </xdr:cNvPr>
        <xdr:cNvSpPr/>
      </xdr:nvSpPr>
      <xdr:spPr>
        <a:xfrm>
          <a:off x="2933700" y="558800"/>
          <a:ext cx="446200" cy="2016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8</xdr:row>
      <xdr:rowOff>12700</xdr:rowOff>
    </xdr:from>
    <xdr:to>
      <xdr:col>118</xdr:col>
      <xdr:colOff>446200</xdr:colOff>
      <xdr:row>9</xdr:row>
      <xdr:rowOff>12700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402AB96-A3AB-9747-848B-3C80310E8B72}"/>
            </a:ext>
          </a:extLst>
        </xdr:cNvPr>
        <xdr:cNvSpPr/>
      </xdr:nvSpPr>
      <xdr:spPr>
        <a:xfrm>
          <a:off x="2933700" y="762000"/>
          <a:ext cx="4462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11</xdr:row>
      <xdr:rowOff>0</xdr:rowOff>
    </xdr:from>
    <xdr:to>
      <xdr:col>118</xdr:col>
      <xdr:colOff>446200</xdr:colOff>
      <xdr:row>12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E165BAB-1BF0-CA4F-8A67-F7EBC4803264}"/>
            </a:ext>
          </a:extLst>
        </xdr:cNvPr>
        <xdr:cNvSpPr/>
      </xdr:nvSpPr>
      <xdr:spPr>
        <a:xfrm>
          <a:off x="2933700" y="1358900"/>
          <a:ext cx="4462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13</xdr:row>
      <xdr:rowOff>0</xdr:rowOff>
    </xdr:from>
    <xdr:to>
      <xdr:col>118</xdr:col>
      <xdr:colOff>446200</xdr:colOff>
      <xdr:row>14</xdr:row>
      <xdr:rowOff>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822DA5C-E576-8D4A-BBAB-0B49CD3D8D40}"/>
            </a:ext>
          </a:extLst>
        </xdr:cNvPr>
        <xdr:cNvSpPr/>
      </xdr:nvSpPr>
      <xdr:spPr>
        <a:xfrm>
          <a:off x="2933700" y="1765300"/>
          <a:ext cx="4462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14</xdr:row>
      <xdr:rowOff>0</xdr:rowOff>
    </xdr:from>
    <xdr:to>
      <xdr:col>118</xdr:col>
      <xdr:colOff>446200</xdr:colOff>
      <xdr:row>14</xdr:row>
      <xdr:rowOff>201600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D9B5D34-3FA5-6B47-BC27-5959C96DFC0A}"/>
            </a:ext>
          </a:extLst>
        </xdr:cNvPr>
        <xdr:cNvSpPr/>
      </xdr:nvSpPr>
      <xdr:spPr>
        <a:xfrm>
          <a:off x="2933700" y="1968500"/>
          <a:ext cx="446200" cy="2016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15</xdr:row>
      <xdr:rowOff>0</xdr:rowOff>
    </xdr:from>
    <xdr:to>
      <xdr:col>118</xdr:col>
      <xdr:colOff>446200</xdr:colOff>
      <xdr:row>16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40F284D-7B06-1941-9428-AE384A0C085F}"/>
            </a:ext>
          </a:extLst>
        </xdr:cNvPr>
        <xdr:cNvSpPr/>
      </xdr:nvSpPr>
      <xdr:spPr>
        <a:xfrm>
          <a:off x="2933700" y="2171700"/>
          <a:ext cx="4462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16</xdr:row>
      <xdr:rowOff>0</xdr:rowOff>
    </xdr:from>
    <xdr:to>
      <xdr:col>118</xdr:col>
      <xdr:colOff>446200</xdr:colOff>
      <xdr:row>17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56A4705-F9A0-EB4F-AE33-B54E51AE33F7}"/>
            </a:ext>
          </a:extLst>
        </xdr:cNvPr>
        <xdr:cNvSpPr/>
      </xdr:nvSpPr>
      <xdr:spPr>
        <a:xfrm>
          <a:off x="2933700" y="2374900"/>
          <a:ext cx="4462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17</xdr:row>
      <xdr:rowOff>0</xdr:rowOff>
    </xdr:from>
    <xdr:to>
      <xdr:col>118</xdr:col>
      <xdr:colOff>446200</xdr:colOff>
      <xdr:row>18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0B3F91C-95A3-CD45-BB6E-016837620037}"/>
            </a:ext>
          </a:extLst>
        </xdr:cNvPr>
        <xdr:cNvSpPr/>
      </xdr:nvSpPr>
      <xdr:spPr>
        <a:xfrm>
          <a:off x="2933700" y="2578100"/>
          <a:ext cx="4462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19</xdr:row>
      <xdr:rowOff>0</xdr:rowOff>
    </xdr:from>
    <xdr:to>
      <xdr:col>118</xdr:col>
      <xdr:colOff>446200</xdr:colOff>
      <xdr:row>19</xdr:row>
      <xdr:rowOff>201600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1E1A44B-C546-644E-9FD9-A42B5B0F9843}"/>
            </a:ext>
          </a:extLst>
        </xdr:cNvPr>
        <xdr:cNvSpPr/>
      </xdr:nvSpPr>
      <xdr:spPr>
        <a:xfrm>
          <a:off x="2933700" y="2984500"/>
          <a:ext cx="446200" cy="2016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19</xdr:row>
      <xdr:rowOff>190500</xdr:rowOff>
    </xdr:from>
    <xdr:to>
      <xdr:col>118</xdr:col>
      <xdr:colOff>446200</xdr:colOff>
      <xdr:row>21</xdr:row>
      <xdr:rowOff>38100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0BEE226-8530-F844-8C89-E3620A773D00}"/>
            </a:ext>
          </a:extLst>
        </xdr:cNvPr>
        <xdr:cNvSpPr/>
      </xdr:nvSpPr>
      <xdr:spPr>
        <a:xfrm>
          <a:off x="2933700" y="3175000"/>
          <a:ext cx="446200" cy="2540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21</xdr:row>
      <xdr:rowOff>12700</xdr:rowOff>
    </xdr:from>
    <xdr:to>
      <xdr:col>118</xdr:col>
      <xdr:colOff>446200</xdr:colOff>
      <xdr:row>22</xdr:row>
      <xdr:rowOff>12700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5746896-574C-FF49-BF69-DA88778914C9}"/>
            </a:ext>
          </a:extLst>
        </xdr:cNvPr>
        <xdr:cNvSpPr/>
      </xdr:nvSpPr>
      <xdr:spPr>
        <a:xfrm>
          <a:off x="2933700" y="3403600"/>
          <a:ext cx="4462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23</xdr:row>
      <xdr:rowOff>12700</xdr:rowOff>
    </xdr:from>
    <xdr:to>
      <xdr:col>118</xdr:col>
      <xdr:colOff>446200</xdr:colOff>
      <xdr:row>24</xdr:row>
      <xdr:rowOff>12700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F5F0E624-E097-A748-8380-C587A3E2549D}"/>
            </a:ext>
          </a:extLst>
        </xdr:cNvPr>
        <xdr:cNvSpPr/>
      </xdr:nvSpPr>
      <xdr:spPr>
        <a:xfrm>
          <a:off x="2933700" y="3810000"/>
          <a:ext cx="446200" cy="2159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0</xdr:colOff>
      <xdr:row>22</xdr:row>
      <xdr:rowOff>12700</xdr:rowOff>
    </xdr:from>
    <xdr:to>
      <xdr:col>118</xdr:col>
      <xdr:colOff>446200</xdr:colOff>
      <xdr:row>23</xdr:row>
      <xdr:rowOff>12700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360CCD5-A19F-6748-AFBB-4E9FF6CB3156}"/>
            </a:ext>
          </a:extLst>
        </xdr:cNvPr>
        <xdr:cNvSpPr/>
      </xdr:nvSpPr>
      <xdr:spPr>
        <a:xfrm>
          <a:off x="2933700" y="3606800"/>
          <a:ext cx="4462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8465</xdr:colOff>
      <xdr:row>25</xdr:row>
      <xdr:rowOff>190500</xdr:rowOff>
    </xdr:from>
    <xdr:to>
      <xdr:col>119</xdr:col>
      <xdr:colOff>10165</xdr:colOff>
      <xdr:row>26</xdr:row>
      <xdr:rowOff>201600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2201DF7A-6A8C-0B45-992D-00850DA3F629}"/>
            </a:ext>
          </a:extLst>
        </xdr:cNvPr>
        <xdr:cNvSpPr/>
      </xdr:nvSpPr>
      <xdr:spPr>
        <a:xfrm>
          <a:off x="103005465" y="4660900"/>
          <a:ext cx="446200" cy="214300"/>
        </a:xfrm>
        <a:prstGeom prst="rect">
          <a:avLst/>
        </a:prstGeom>
        <a:gradFill flip="none" rotWithShape="1">
          <a:gsLst>
            <a:gs pos="0">
              <a:srgbClr val="FDCE2A"/>
            </a:gs>
            <a:gs pos="47000">
              <a:srgbClr val="ED8F42"/>
            </a:gs>
            <a:gs pos="100000">
              <a:srgbClr val="E9A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8465</xdr:colOff>
      <xdr:row>25</xdr:row>
      <xdr:rowOff>0</xdr:rowOff>
    </xdr:from>
    <xdr:to>
      <xdr:col>119</xdr:col>
      <xdr:colOff>10165</xdr:colOff>
      <xdr:row>25</xdr:row>
      <xdr:rowOff>201600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2716AB4-1A90-464A-8E9B-9A13E550463F}"/>
            </a:ext>
          </a:extLst>
        </xdr:cNvPr>
        <xdr:cNvSpPr/>
      </xdr:nvSpPr>
      <xdr:spPr>
        <a:xfrm>
          <a:off x="103005465" y="4470400"/>
          <a:ext cx="446200" cy="201600"/>
        </a:xfrm>
        <a:prstGeom prst="rect">
          <a:avLst/>
        </a:prstGeom>
        <a:gradFill flip="none" rotWithShape="1">
          <a:gsLst>
            <a:gs pos="0">
              <a:srgbClr val="B08153"/>
            </a:gs>
            <a:gs pos="31000">
              <a:srgbClr val="DD6E4B"/>
            </a:gs>
            <a:gs pos="65000">
              <a:srgbClr val="EC8F42"/>
            </a:gs>
            <a:gs pos="100000">
              <a:srgbClr val="DCA6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8465</xdr:colOff>
      <xdr:row>24</xdr:row>
      <xdr:rowOff>4234</xdr:rowOff>
    </xdr:from>
    <xdr:to>
      <xdr:col>119</xdr:col>
      <xdr:colOff>10165</xdr:colOff>
      <xdr:row>25</xdr:row>
      <xdr:rowOff>2634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CD76C296-F0D7-3E47-B65B-781CA3FD17C4}"/>
            </a:ext>
          </a:extLst>
        </xdr:cNvPr>
        <xdr:cNvSpPr/>
      </xdr:nvSpPr>
      <xdr:spPr>
        <a:xfrm>
          <a:off x="2942165" y="4017434"/>
          <a:ext cx="446200" cy="201600"/>
        </a:xfrm>
        <a:prstGeom prst="rect">
          <a:avLst/>
        </a:prstGeom>
        <a:gradFill flip="none" rotWithShape="1">
          <a:gsLst>
            <a:gs pos="0">
              <a:srgbClr val="C83A23"/>
            </a:gs>
            <a:gs pos="47000">
              <a:srgbClr val="F46440"/>
            </a:gs>
            <a:gs pos="100000">
              <a:srgbClr val="F9875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12</xdr:row>
      <xdr:rowOff>0</xdr:rowOff>
    </xdr:from>
    <xdr:to>
      <xdr:col>124</xdr:col>
      <xdr:colOff>10165</xdr:colOff>
      <xdr:row>12</xdr:row>
      <xdr:rowOff>201600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FA155D67-B9B4-9848-9E79-A2ADFB9B3CB3}"/>
            </a:ext>
          </a:extLst>
        </xdr:cNvPr>
        <xdr:cNvSpPr/>
      </xdr:nvSpPr>
      <xdr:spPr>
        <a:xfrm>
          <a:off x="7399865" y="2171700"/>
          <a:ext cx="458900" cy="2016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47000">
              <a:srgbClr val="F793B3"/>
            </a:gs>
            <a:gs pos="100000">
              <a:srgbClr val="FCA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18</xdr:row>
      <xdr:rowOff>0</xdr:rowOff>
    </xdr:from>
    <xdr:to>
      <xdr:col>124</xdr:col>
      <xdr:colOff>10165</xdr:colOff>
      <xdr:row>18</xdr:row>
      <xdr:rowOff>201600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305A664-E94E-9640-B5B4-1C4BDFBE283F}"/>
            </a:ext>
          </a:extLst>
        </xdr:cNvPr>
        <xdr:cNvSpPr/>
      </xdr:nvSpPr>
      <xdr:spPr>
        <a:xfrm>
          <a:off x="7399865" y="3390900"/>
          <a:ext cx="458900" cy="201600"/>
        </a:xfrm>
        <a:prstGeom prst="rect">
          <a:avLst/>
        </a:prstGeom>
        <a:gradFill flip="none" rotWithShape="1">
          <a:gsLst>
            <a:gs pos="0">
              <a:srgbClr val="39619E"/>
            </a:gs>
            <a:gs pos="47000">
              <a:srgbClr val="919FD6"/>
            </a:gs>
            <a:gs pos="100000">
              <a:srgbClr val="B3BDE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19</xdr:row>
      <xdr:rowOff>0</xdr:rowOff>
    </xdr:from>
    <xdr:to>
      <xdr:col>124</xdr:col>
      <xdr:colOff>10165</xdr:colOff>
      <xdr:row>20</xdr:row>
      <xdr:rowOff>50800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27A58C5-1270-B14D-BC88-D1A16870553B}"/>
            </a:ext>
          </a:extLst>
        </xdr:cNvPr>
        <xdr:cNvSpPr/>
      </xdr:nvSpPr>
      <xdr:spPr>
        <a:xfrm>
          <a:off x="107348865" y="3213100"/>
          <a:ext cx="446200" cy="266700"/>
        </a:xfrm>
        <a:prstGeom prst="rect">
          <a:avLst/>
        </a:prstGeom>
        <a:gradFill flip="none" rotWithShape="1">
          <a:gsLst>
            <a:gs pos="0">
              <a:srgbClr val="60568B"/>
            </a:gs>
            <a:gs pos="47000">
              <a:srgbClr val="8178A9"/>
            </a:gs>
            <a:gs pos="100000">
              <a:srgbClr val="BCB5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20</xdr:row>
      <xdr:rowOff>0</xdr:rowOff>
    </xdr:from>
    <xdr:to>
      <xdr:col>124</xdr:col>
      <xdr:colOff>10165</xdr:colOff>
      <xdr:row>21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1F67FACC-D1A4-9F4C-8ACF-8A7A53124BE0}"/>
            </a:ext>
          </a:extLst>
        </xdr:cNvPr>
        <xdr:cNvSpPr/>
      </xdr:nvSpPr>
      <xdr:spPr>
        <a:xfrm>
          <a:off x="7399865" y="3797300"/>
          <a:ext cx="458900" cy="215900"/>
        </a:xfrm>
        <a:prstGeom prst="rect">
          <a:avLst/>
        </a:prstGeom>
        <a:gradFill flip="none" rotWithShape="1">
          <a:gsLst>
            <a:gs pos="0">
              <a:srgbClr val="0A265D"/>
            </a:gs>
            <a:gs pos="31000">
              <a:srgbClr val="002A64"/>
            </a:gs>
            <a:gs pos="65000">
              <a:srgbClr val="1E3278"/>
            </a:gs>
            <a:gs pos="100000">
              <a:srgbClr val="3830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6</xdr:row>
      <xdr:rowOff>0</xdr:rowOff>
    </xdr:from>
    <xdr:to>
      <xdr:col>124</xdr:col>
      <xdr:colOff>10165</xdr:colOff>
      <xdr:row>7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CC023BCE-7DE3-FD4A-B50E-9487470A2D4B}"/>
            </a:ext>
          </a:extLst>
        </xdr:cNvPr>
        <xdr:cNvSpPr/>
      </xdr:nvSpPr>
      <xdr:spPr>
        <a:xfrm>
          <a:off x="7399865" y="952500"/>
          <a:ext cx="458900" cy="203200"/>
        </a:xfrm>
        <a:prstGeom prst="rect">
          <a:avLst/>
        </a:prstGeom>
        <a:gradFill flip="none" rotWithShape="1">
          <a:gsLst>
            <a:gs pos="0">
              <a:srgbClr val="943B3C"/>
            </a:gs>
            <a:gs pos="31000">
              <a:srgbClr val="813718"/>
            </a:gs>
            <a:gs pos="65000">
              <a:srgbClr val="A95137"/>
            </a:gs>
            <a:gs pos="100000">
              <a:srgbClr val="AA48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7</xdr:row>
      <xdr:rowOff>0</xdr:rowOff>
    </xdr:from>
    <xdr:to>
      <xdr:col>124</xdr:col>
      <xdr:colOff>10165</xdr:colOff>
      <xdr:row>8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367E64F-E1E2-F54E-ACD6-2A3CAFD1F554}"/>
            </a:ext>
          </a:extLst>
        </xdr:cNvPr>
        <xdr:cNvSpPr/>
      </xdr:nvSpPr>
      <xdr:spPr>
        <a:xfrm>
          <a:off x="7399865" y="1155700"/>
          <a:ext cx="458900" cy="203200"/>
        </a:xfrm>
        <a:prstGeom prst="rect">
          <a:avLst/>
        </a:prstGeom>
        <a:gradFill flip="none" rotWithShape="1">
          <a:gsLst>
            <a:gs pos="0">
              <a:srgbClr val="BB7A6C"/>
            </a:gs>
            <a:gs pos="31000">
              <a:srgbClr val="7E4133"/>
            </a:gs>
            <a:gs pos="65000">
              <a:srgbClr val="94725D"/>
            </a:gs>
            <a:gs pos="100000">
              <a:srgbClr val="C9AA9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9</xdr:row>
      <xdr:rowOff>0</xdr:rowOff>
    </xdr:from>
    <xdr:to>
      <xdr:col>124</xdr:col>
      <xdr:colOff>10165</xdr:colOff>
      <xdr:row>10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B5729658-F3B5-2B45-93A2-27AE3EB37E65}"/>
            </a:ext>
          </a:extLst>
        </xdr:cNvPr>
        <xdr:cNvSpPr/>
      </xdr:nvSpPr>
      <xdr:spPr>
        <a:xfrm>
          <a:off x="7399865" y="1562100"/>
          <a:ext cx="458900" cy="203200"/>
        </a:xfrm>
        <a:prstGeom prst="rect">
          <a:avLst/>
        </a:prstGeom>
        <a:gradFill flip="none" rotWithShape="1">
          <a:gsLst>
            <a:gs pos="0">
              <a:srgbClr val="DBC7AC"/>
            </a:gs>
            <a:gs pos="31000">
              <a:srgbClr val="FFF7E7"/>
            </a:gs>
            <a:gs pos="65000">
              <a:srgbClr val="F2DFB9"/>
            </a:gs>
            <a:gs pos="100000">
              <a:srgbClr val="EAD1B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8</xdr:row>
      <xdr:rowOff>0</xdr:rowOff>
    </xdr:from>
    <xdr:to>
      <xdr:col>124</xdr:col>
      <xdr:colOff>10165</xdr:colOff>
      <xdr:row>8</xdr:row>
      <xdr:rowOff>201600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52387706-B8FA-E547-BD71-D4B80488A8C2}"/>
            </a:ext>
          </a:extLst>
        </xdr:cNvPr>
        <xdr:cNvSpPr/>
      </xdr:nvSpPr>
      <xdr:spPr>
        <a:xfrm>
          <a:off x="7399865" y="1358900"/>
          <a:ext cx="458900" cy="201600"/>
        </a:xfrm>
        <a:prstGeom prst="rect">
          <a:avLst/>
        </a:prstGeom>
        <a:gradFill flip="none" rotWithShape="1">
          <a:gsLst>
            <a:gs pos="0">
              <a:srgbClr val="B79C7F"/>
            </a:gs>
            <a:gs pos="47000">
              <a:srgbClr val="9C8868"/>
            </a:gs>
            <a:gs pos="100000">
              <a:srgbClr val="6D594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10</xdr:row>
      <xdr:rowOff>0</xdr:rowOff>
    </xdr:from>
    <xdr:to>
      <xdr:col>124</xdr:col>
      <xdr:colOff>10165</xdr:colOff>
      <xdr:row>11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3EDBC20-6013-E742-9C11-0665735BC6CC}"/>
            </a:ext>
          </a:extLst>
        </xdr:cNvPr>
        <xdr:cNvSpPr/>
      </xdr:nvSpPr>
      <xdr:spPr>
        <a:xfrm>
          <a:off x="7399865" y="1765300"/>
          <a:ext cx="458900" cy="203200"/>
        </a:xfrm>
        <a:prstGeom prst="rect">
          <a:avLst/>
        </a:prstGeom>
        <a:gradFill flip="none" rotWithShape="1">
          <a:gsLst>
            <a:gs pos="0">
              <a:srgbClr val="FDDFDD"/>
            </a:gs>
            <a:gs pos="31000">
              <a:srgbClr val="FEF1D8"/>
            </a:gs>
            <a:gs pos="65000">
              <a:srgbClr val="FAF4D5"/>
            </a:gs>
            <a:gs pos="100000">
              <a:srgbClr val="FFFEF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11</xdr:row>
      <xdr:rowOff>0</xdr:rowOff>
    </xdr:from>
    <xdr:to>
      <xdr:col>124</xdr:col>
      <xdr:colOff>10165</xdr:colOff>
      <xdr:row>12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C79F7CE-E57B-5C48-AA71-A1B3D565BEDA}"/>
            </a:ext>
          </a:extLst>
        </xdr:cNvPr>
        <xdr:cNvSpPr/>
      </xdr:nvSpPr>
      <xdr:spPr>
        <a:xfrm>
          <a:off x="7399865" y="1968500"/>
          <a:ext cx="458900" cy="203200"/>
        </a:xfrm>
        <a:prstGeom prst="rect">
          <a:avLst/>
        </a:prstGeom>
        <a:gradFill flip="none" rotWithShape="1">
          <a:gsLst>
            <a:gs pos="0">
              <a:srgbClr val="FFC2AC"/>
            </a:gs>
            <a:gs pos="31000">
              <a:srgbClr val="FBADC4"/>
            </a:gs>
            <a:gs pos="65000">
              <a:srgbClr val="FECBD1"/>
            </a:gs>
            <a:gs pos="100000">
              <a:srgbClr val="FBEBD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13</xdr:row>
      <xdr:rowOff>0</xdr:rowOff>
    </xdr:from>
    <xdr:to>
      <xdr:col>124</xdr:col>
      <xdr:colOff>10165</xdr:colOff>
      <xdr:row>14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24B354F5-62B8-3E4E-9FF0-A9065CB012A0}"/>
            </a:ext>
          </a:extLst>
        </xdr:cNvPr>
        <xdr:cNvSpPr/>
      </xdr:nvSpPr>
      <xdr:spPr>
        <a:xfrm>
          <a:off x="7399865" y="2374900"/>
          <a:ext cx="458900" cy="203200"/>
        </a:xfrm>
        <a:prstGeom prst="rect">
          <a:avLst/>
        </a:prstGeom>
        <a:gradFill flip="none" rotWithShape="1">
          <a:gsLst>
            <a:gs pos="0">
              <a:srgbClr val="FD4709"/>
            </a:gs>
            <a:gs pos="31000">
              <a:srgbClr val="F7566C"/>
            </a:gs>
            <a:gs pos="65000">
              <a:srgbClr val="FD6E70"/>
            </a:gs>
            <a:gs pos="100000">
              <a:srgbClr val="FD99A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14</xdr:row>
      <xdr:rowOff>0</xdr:rowOff>
    </xdr:from>
    <xdr:to>
      <xdr:col>124</xdr:col>
      <xdr:colOff>10165</xdr:colOff>
      <xdr:row>15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BB74BA1A-BBDE-4B45-96C7-07BB9E667110}"/>
            </a:ext>
          </a:extLst>
        </xdr:cNvPr>
        <xdr:cNvSpPr/>
      </xdr:nvSpPr>
      <xdr:spPr>
        <a:xfrm>
          <a:off x="7399865" y="2578100"/>
          <a:ext cx="458900" cy="203200"/>
        </a:xfrm>
        <a:prstGeom prst="rect">
          <a:avLst/>
        </a:prstGeom>
        <a:gradFill flip="none" rotWithShape="1">
          <a:gsLst>
            <a:gs pos="0">
              <a:srgbClr val="BE0F37"/>
            </a:gs>
            <a:gs pos="31000">
              <a:srgbClr val="CE1A32"/>
            </a:gs>
            <a:gs pos="65000">
              <a:srgbClr val="EE3246"/>
            </a:gs>
            <a:gs pos="100000">
              <a:srgbClr val="F7100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15</xdr:row>
      <xdr:rowOff>0</xdr:rowOff>
    </xdr:from>
    <xdr:to>
      <xdr:col>124</xdr:col>
      <xdr:colOff>10165</xdr:colOff>
      <xdr:row>16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F2BE2627-52A8-F14E-A707-2388CBA4CC55}"/>
            </a:ext>
          </a:extLst>
        </xdr:cNvPr>
        <xdr:cNvSpPr/>
      </xdr:nvSpPr>
      <xdr:spPr>
        <a:xfrm>
          <a:off x="7399865" y="2781300"/>
          <a:ext cx="458900" cy="203200"/>
        </a:xfrm>
        <a:prstGeom prst="rect">
          <a:avLst/>
        </a:prstGeom>
        <a:gradFill flip="none" rotWithShape="1">
          <a:gsLst>
            <a:gs pos="0">
              <a:srgbClr val="960859"/>
            </a:gs>
            <a:gs pos="30000">
              <a:srgbClr val="711032"/>
            </a:gs>
            <a:gs pos="65000">
              <a:srgbClr val="9A0341"/>
            </a:gs>
            <a:gs pos="100000">
              <a:srgbClr val="980A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16</xdr:row>
      <xdr:rowOff>0</xdr:rowOff>
    </xdr:from>
    <xdr:to>
      <xdr:col>124</xdr:col>
      <xdr:colOff>10165</xdr:colOff>
      <xdr:row>17</xdr:row>
      <xdr:rowOff>50800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1BCDBF6-E3CD-664B-95AA-051883F79618}"/>
            </a:ext>
          </a:extLst>
        </xdr:cNvPr>
        <xdr:cNvSpPr/>
      </xdr:nvSpPr>
      <xdr:spPr>
        <a:xfrm>
          <a:off x="7399865" y="2984500"/>
          <a:ext cx="458900" cy="254000"/>
        </a:xfrm>
        <a:prstGeom prst="rect">
          <a:avLst/>
        </a:prstGeom>
        <a:gradFill flip="none" rotWithShape="1">
          <a:gsLst>
            <a:gs pos="0">
              <a:srgbClr val="39609D"/>
            </a:gs>
            <a:gs pos="31000">
              <a:srgbClr val="8578B4"/>
            </a:gs>
            <a:gs pos="65000">
              <a:srgbClr val="9775B5"/>
            </a:gs>
            <a:gs pos="100000">
              <a:srgbClr val="BA72C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123</xdr:col>
      <xdr:colOff>8465</xdr:colOff>
      <xdr:row>17</xdr:row>
      <xdr:rowOff>12700</xdr:rowOff>
    </xdr:from>
    <xdr:to>
      <xdr:col>124</xdr:col>
      <xdr:colOff>10165</xdr:colOff>
      <xdr:row>18</xdr:row>
      <xdr:rowOff>12700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AB2D6CD8-5F41-0F49-97B1-8B7205AF54DC}"/>
            </a:ext>
          </a:extLst>
        </xdr:cNvPr>
        <xdr:cNvSpPr/>
      </xdr:nvSpPr>
      <xdr:spPr>
        <a:xfrm>
          <a:off x="7399865" y="3200400"/>
          <a:ext cx="458900" cy="203200"/>
        </a:xfrm>
        <a:prstGeom prst="rect">
          <a:avLst/>
        </a:prstGeom>
        <a:gradFill flip="none" rotWithShape="1">
          <a:gsLst>
            <a:gs pos="0">
              <a:srgbClr val="9773B5"/>
            </a:gs>
            <a:gs pos="31000">
              <a:srgbClr val="8476B3"/>
            </a:gs>
            <a:gs pos="65000">
              <a:srgbClr val="A49AD8"/>
            </a:gs>
            <a:gs pos="100000">
              <a:srgbClr val="B5B9E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3</xdr:row>
      <xdr:rowOff>12700</xdr:rowOff>
    </xdr:from>
    <xdr:to>
      <xdr:col>52</xdr:col>
      <xdr:colOff>0</xdr:colOff>
      <xdr:row>3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E0E591-DD32-1C45-B430-46FC2F1B07E1}"/>
            </a:ext>
          </a:extLst>
        </xdr:cNvPr>
        <xdr:cNvSpPr/>
      </xdr:nvSpPr>
      <xdr:spPr>
        <a:xfrm>
          <a:off x="50507900" y="647700"/>
          <a:ext cx="825500" cy="177800"/>
        </a:xfrm>
        <a:prstGeom prst="rect">
          <a:avLst/>
        </a:prstGeom>
        <a:gradFill flip="none" rotWithShape="1">
          <a:gsLst>
            <a:gs pos="0">
              <a:schemeClr val="tx2">
                <a:lumMod val="50000"/>
              </a:schemeClr>
            </a:gs>
            <a:gs pos="30000">
              <a:schemeClr val="accent1">
                <a:lumMod val="75000"/>
              </a:schemeClr>
            </a:gs>
            <a:gs pos="65000">
              <a:schemeClr val="accent1">
                <a:lumMod val="60000"/>
                <a:lumOff val="40000"/>
              </a:schemeClr>
            </a:gs>
            <a:gs pos="100000">
              <a:schemeClr val="accent1">
                <a:lumMod val="40000"/>
                <a:lumOff val="6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3</xdr:row>
      <xdr:rowOff>6350</xdr:rowOff>
    </xdr:from>
    <xdr:to>
      <xdr:col>33</xdr:col>
      <xdr:colOff>0</xdr:colOff>
      <xdr:row>4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59ADAF-EFAE-2E4C-995B-04C17F5B1967}"/>
            </a:ext>
          </a:extLst>
        </xdr:cNvPr>
        <xdr:cNvSpPr/>
      </xdr:nvSpPr>
      <xdr:spPr>
        <a:xfrm>
          <a:off x="30797500" y="641350"/>
          <a:ext cx="825500" cy="222250"/>
        </a:xfrm>
        <a:prstGeom prst="rect">
          <a:avLst/>
        </a:prstGeom>
        <a:gradFill flip="none" rotWithShape="1">
          <a:gsLst>
            <a:gs pos="0">
              <a:srgbClr val="503F3B"/>
            </a:gs>
            <a:gs pos="30000">
              <a:srgbClr val="422F13"/>
            </a:gs>
            <a:gs pos="65000">
              <a:srgbClr val="36220E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4</xdr:row>
      <xdr:rowOff>0</xdr:rowOff>
    </xdr:from>
    <xdr:to>
      <xdr:col>33</xdr:col>
      <xdr:colOff>0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0E0F06D-3609-9149-81E1-C7743253130E}"/>
            </a:ext>
          </a:extLst>
        </xdr:cNvPr>
        <xdr:cNvSpPr/>
      </xdr:nvSpPr>
      <xdr:spPr>
        <a:xfrm>
          <a:off x="30797500" y="838200"/>
          <a:ext cx="825500" cy="203200"/>
        </a:xfrm>
        <a:prstGeom prst="rect">
          <a:avLst/>
        </a:prstGeom>
        <a:gradFill flip="none" rotWithShape="1">
          <a:gsLst>
            <a:gs pos="0">
              <a:srgbClr val="A6A6A0"/>
            </a:gs>
            <a:gs pos="30000">
              <a:srgbClr val="F1E6D8"/>
            </a:gs>
            <a:gs pos="65000">
              <a:srgbClr val="A4C1DE"/>
            </a:gs>
            <a:gs pos="100000">
              <a:srgbClr val="D4E4F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5</xdr:row>
      <xdr:rowOff>0</xdr:rowOff>
    </xdr:from>
    <xdr:to>
      <xdr:col>33</xdr:col>
      <xdr:colOff>0</xdr:colOff>
      <xdr:row>6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2406D0-B7F5-B64C-A1D3-68F7BD9E6346}"/>
            </a:ext>
          </a:extLst>
        </xdr:cNvPr>
        <xdr:cNvSpPr/>
      </xdr:nvSpPr>
      <xdr:spPr>
        <a:xfrm>
          <a:off x="30797500" y="1041400"/>
          <a:ext cx="825500" cy="203200"/>
        </a:xfrm>
        <a:prstGeom prst="rect">
          <a:avLst/>
        </a:prstGeom>
        <a:gradFill flip="none" rotWithShape="1">
          <a:gsLst>
            <a:gs pos="0">
              <a:srgbClr val="27A4DF"/>
            </a:gs>
            <a:gs pos="30000">
              <a:srgbClr val="1D7FA0"/>
            </a:gs>
            <a:gs pos="65000">
              <a:srgbClr val="48A7EB"/>
            </a:gs>
            <a:gs pos="100000">
              <a:srgbClr val="29ADD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6</xdr:row>
      <xdr:rowOff>0</xdr:rowOff>
    </xdr:from>
    <xdr:to>
      <xdr:col>33</xdr:col>
      <xdr:colOff>0</xdr:colOff>
      <xdr:row>7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537B92C-A697-8343-85BB-408C48D0ED2A}"/>
            </a:ext>
          </a:extLst>
        </xdr:cNvPr>
        <xdr:cNvSpPr/>
      </xdr:nvSpPr>
      <xdr:spPr>
        <a:xfrm>
          <a:off x="30797500" y="1244600"/>
          <a:ext cx="825500" cy="203200"/>
        </a:xfrm>
        <a:prstGeom prst="rect">
          <a:avLst/>
        </a:prstGeom>
        <a:gradFill flip="none" rotWithShape="1">
          <a:gsLst>
            <a:gs pos="0">
              <a:srgbClr val="BE1237"/>
            </a:gs>
            <a:gs pos="30000">
              <a:schemeClr val="bg1"/>
            </a:gs>
            <a:gs pos="65000">
              <a:srgbClr val="085B26"/>
            </a:gs>
            <a:gs pos="100000">
              <a:srgbClr val="B9E4B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7</xdr:row>
      <xdr:rowOff>0</xdr:rowOff>
    </xdr:from>
    <xdr:to>
      <xdr:col>33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F213DFE-BF57-2247-B311-E9E365C359F9}"/>
            </a:ext>
          </a:extLst>
        </xdr:cNvPr>
        <xdr:cNvSpPr/>
      </xdr:nvSpPr>
      <xdr:spPr>
        <a:xfrm>
          <a:off x="30797500" y="1447800"/>
          <a:ext cx="825500" cy="203200"/>
        </a:xfrm>
        <a:prstGeom prst="rect">
          <a:avLst/>
        </a:prstGeom>
        <a:gradFill flip="none" rotWithShape="1">
          <a:gsLst>
            <a:gs pos="0">
              <a:srgbClr val="376223"/>
            </a:gs>
            <a:gs pos="30000">
              <a:srgbClr val="0F6B42"/>
            </a:gs>
            <a:gs pos="65000">
              <a:srgbClr val="344B2E"/>
            </a:gs>
            <a:gs pos="100000">
              <a:srgbClr val="3241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33</xdr:col>
      <xdr:colOff>0</xdr:colOff>
      <xdr:row>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6FED8CF-5AB4-D34A-83BE-6AF0970F47D6}"/>
            </a:ext>
          </a:extLst>
        </xdr:cNvPr>
        <xdr:cNvSpPr/>
      </xdr:nvSpPr>
      <xdr:spPr>
        <a:xfrm>
          <a:off x="30797500" y="1651000"/>
          <a:ext cx="825500" cy="203200"/>
        </a:xfrm>
        <a:prstGeom prst="rect">
          <a:avLst/>
        </a:prstGeom>
        <a:gradFill flip="none" rotWithShape="1">
          <a:gsLst>
            <a:gs pos="0">
              <a:srgbClr val="434E2C"/>
            </a:gs>
            <a:gs pos="30000">
              <a:srgbClr val="3E4125"/>
            </a:gs>
            <a:gs pos="65000">
              <a:srgbClr val="5B6532"/>
            </a:gs>
            <a:gs pos="100000">
              <a:srgbClr val="ADC23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9</xdr:row>
      <xdr:rowOff>0</xdr:rowOff>
    </xdr:from>
    <xdr:to>
      <xdr:col>33</xdr:col>
      <xdr:colOff>0</xdr:colOff>
      <xdr:row>10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9882E1C-C50E-0044-B5FA-CC5E5811BD54}"/>
            </a:ext>
          </a:extLst>
        </xdr:cNvPr>
        <xdr:cNvSpPr/>
      </xdr:nvSpPr>
      <xdr:spPr>
        <a:xfrm>
          <a:off x="30797500" y="1854200"/>
          <a:ext cx="825500" cy="203200"/>
        </a:xfrm>
        <a:prstGeom prst="rect">
          <a:avLst/>
        </a:prstGeom>
        <a:gradFill flip="none" rotWithShape="1">
          <a:gsLst>
            <a:gs pos="0">
              <a:srgbClr val="35220E"/>
            </a:gs>
            <a:gs pos="30000">
              <a:srgbClr val="60381C"/>
            </a:gs>
            <a:gs pos="65000">
              <a:srgbClr val="63520C"/>
            </a:gs>
            <a:gs pos="99000">
              <a:srgbClr val="BC9C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10</xdr:row>
      <xdr:rowOff>0</xdr:rowOff>
    </xdr:from>
    <xdr:to>
      <xdr:col>33</xdr:col>
      <xdr:colOff>0</xdr:colOff>
      <xdr:row>11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CEA86C-4FC6-F140-A965-BC2F21705771}"/>
            </a:ext>
          </a:extLst>
        </xdr:cNvPr>
        <xdr:cNvSpPr/>
      </xdr:nvSpPr>
      <xdr:spPr>
        <a:xfrm>
          <a:off x="30797500" y="2057400"/>
          <a:ext cx="825500" cy="203200"/>
        </a:xfrm>
        <a:prstGeom prst="rect">
          <a:avLst/>
        </a:prstGeom>
        <a:gradFill flip="none" rotWithShape="1">
          <a:gsLst>
            <a:gs pos="0">
              <a:srgbClr val="6B9E29"/>
            </a:gs>
            <a:gs pos="30000">
              <a:srgbClr val="9DC82C"/>
            </a:gs>
            <a:gs pos="65000">
              <a:srgbClr val="FDE94A"/>
            </a:gs>
            <a:gs pos="100000">
              <a:srgbClr val="FCF99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11</xdr:row>
      <xdr:rowOff>0</xdr:rowOff>
    </xdr:from>
    <xdr:to>
      <xdr:col>33</xdr:col>
      <xdr:colOff>0</xdr:colOff>
      <xdr:row>12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E4BD89E-5544-2E42-8E3D-73460011C0AE}"/>
            </a:ext>
          </a:extLst>
        </xdr:cNvPr>
        <xdr:cNvSpPr/>
      </xdr:nvSpPr>
      <xdr:spPr>
        <a:xfrm>
          <a:off x="30797500" y="2260600"/>
          <a:ext cx="825500" cy="203200"/>
        </a:xfrm>
        <a:prstGeom prst="rect">
          <a:avLst/>
        </a:prstGeom>
        <a:gradFill flip="none" rotWithShape="1">
          <a:gsLst>
            <a:gs pos="0">
              <a:srgbClr val="CDB174"/>
            </a:gs>
            <a:gs pos="30000">
              <a:srgbClr val="EBD8AA"/>
            </a:gs>
            <a:gs pos="65000">
              <a:srgbClr val="B08152"/>
            </a:gs>
            <a:gs pos="100000">
              <a:srgbClr val="FCF7B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12</xdr:row>
      <xdr:rowOff>0</xdr:rowOff>
    </xdr:from>
    <xdr:to>
      <xdr:col>33</xdr:col>
      <xdr:colOff>0</xdr:colOff>
      <xdr:row>13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8C5885B-773D-A24E-8E3A-7C56AA9B2821}"/>
            </a:ext>
          </a:extLst>
        </xdr:cNvPr>
        <xdr:cNvSpPr/>
      </xdr:nvSpPr>
      <xdr:spPr>
        <a:xfrm>
          <a:off x="30797500" y="2463800"/>
          <a:ext cx="825500" cy="203200"/>
        </a:xfrm>
        <a:prstGeom prst="rect">
          <a:avLst/>
        </a:prstGeom>
        <a:gradFill flip="none" rotWithShape="1">
          <a:gsLst>
            <a:gs pos="0">
              <a:srgbClr val="EBBB52"/>
            </a:gs>
            <a:gs pos="30000">
              <a:srgbClr val="FDDC62"/>
            </a:gs>
            <a:gs pos="65000">
              <a:srgbClr val="E4A82E"/>
            </a:gs>
            <a:gs pos="100000">
              <a:srgbClr val="F3DCA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13</xdr:row>
      <xdr:rowOff>0</xdr:rowOff>
    </xdr:from>
    <xdr:to>
      <xdr:col>33</xdr:col>
      <xdr:colOff>0</xdr:colOff>
      <xdr:row>14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2CC7AF4-EC82-B647-87A9-55536E76A1D9}"/>
            </a:ext>
          </a:extLst>
        </xdr:cNvPr>
        <xdr:cNvSpPr/>
      </xdr:nvSpPr>
      <xdr:spPr>
        <a:xfrm>
          <a:off x="30797500" y="2667000"/>
          <a:ext cx="825500" cy="203200"/>
        </a:xfrm>
        <a:prstGeom prst="rect">
          <a:avLst/>
        </a:prstGeom>
        <a:gradFill flip="none" rotWithShape="1">
          <a:gsLst>
            <a:gs pos="0">
              <a:srgbClr val="FFF6CD"/>
            </a:gs>
            <a:gs pos="30000">
              <a:srgbClr val="ECC07D"/>
            </a:gs>
            <a:gs pos="65000">
              <a:srgbClr val="F8D9CC"/>
            </a:gs>
            <a:gs pos="100000">
              <a:srgbClr val="FFCDD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14</xdr:row>
      <xdr:rowOff>0</xdr:rowOff>
    </xdr:from>
    <xdr:to>
      <xdr:col>33</xdr:col>
      <xdr:colOff>0</xdr:colOff>
      <xdr:row>15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C18B4C0-6A29-C448-BFB6-206F2FC2D28C}"/>
            </a:ext>
          </a:extLst>
        </xdr:cNvPr>
        <xdr:cNvSpPr/>
      </xdr:nvSpPr>
      <xdr:spPr>
        <a:xfrm>
          <a:off x="30797500" y="2870200"/>
          <a:ext cx="825500" cy="203200"/>
        </a:xfrm>
        <a:prstGeom prst="rect">
          <a:avLst/>
        </a:prstGeom>
        <a:gradFill flip="none" rotWithShape="1">
          <a:gsLst>
            <a:gs pos="0">
              <a:srgbClr val="803C11"/>
            </a:gs>
            <a:gs pos="30000">
              <a:srgbClr val="FD6F1A"/>
            </a:gs>
            <a:gs pos="65000">
              <a:srgbClr val="FEAE3C"/>
            </a:gs>
            <a:gs pos="100000">
              <a:srgbClr val="CF1A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15</xdr:row>
      <xdr:rowOff>0</xdr:rowOff>
    </xdr:from>
    <xdr:to>
      <xdr:col>33</xdr:col>
      <xdr:colOff>0</xdr:colOff>
      <xdr:row>16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191E9E0-EA6B-3D49-BDA3-5BD347A40FD4}"/>
            </a:ext>
          </a:extLst>
        </xdr:cNvPr>
        <xdr:cNvSpPr/>
      </xdr:nvSpPr>
      <xdr:spPr>
        <a:xfrm>
          <a:off x="30797500" y="3073400"/>
          <a:ext cx="825500" cy="203200"/>
        </a:xfrm>
        <a:prstGeom prst="rect">
          <a:avLst/>
        </a:prstGeom>
        <a:gradFill flip="none" rotWithShape="1">
          <a:gsLst>
            <a:gs pos="0">
              <a:srgbClr val="BA9856"/>
            </a:gs>
            <a:gs pos="30000">
              <a:srgbClr val="B26A22"/>
            </a:gs>
            <a:gs pos="65000">
              <a:srgbClr val="CE9657"/>
            </a:gs>
            <a:gs pos="100000">
              <a:srgbClr val="A7661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16</xdr:row>
      <xdr:rowOff>0</xdr:rowOff>
    </xdr:from>
    <xdr:to>
      <xdr:col>33</xdr:col>
      <xdr:colOff>0</xdr:colOff>
      <xdr:row>17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B789A62-405E-3842-92A8-E7C9F3DC2AF0}"/>
            </a:ext>
          </a:extLst>
        </xdr:cNvPr>
        <xdr:cNvSpPr/>
      </xdr:nvSpPr>
      <xdr:spPr>
        <a:xfrm>
          <a:off x="30797500" y="3276600"/>
          <a:ext cx="825500" cy="203200"/>
        </a:xfrm>
        <a:prstGeom prst="rect">
          <a:avLst/>
        </a:prstGeom>
        <a:gradFill flip="none" rotWithShape="1">
          <a:gsLst>
            <a:gs pos="0">
              <a:srgbClr val="883630"/>
            </a:gs>
            <a:gs pos="30000">
              <a:srgbClr val="493020"/>
            </a:gs>
            <a:gs pos="65000">
              <a:srgbClr val="7F4332"/>
            </a:gs>
            <a:gs pos="100000">
              <a:srgbClr val="522F1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17</xdr:row>
      <xdr:rowOff>0</xdr:rowOff>
    </xdr:from>
    <xdr:to>
      <xdr:col>33</xdr:col>
      <xdr:colOff>0</xdr:colOff>
      <xdr:row>18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9136ECF-D16E-AC4C-9CE9-B2FFAA747595}"/>
            </a:ext>
          </a:extLst>
        </xdr:cNvPr>
        <xdr:cNvSpPr/>
      </xdr:nvSpPr>
      <xdr:spPr>
        <a:xfrm>
          <a:off x="30797500" y="3479800"/>
          <a:ext cx="825500" cy="203200"/>
        </a:xfrm>
        <a:prstGeom prst="rect">
          <a:avLst/>
        </a:prstGeom>
        <a:gradFill flip="none" rotWithShape="1">
          <a:gsLst>
            <a:gs pos="0">
              <a:srgbClr val="E5343E"/>
            </a:gs>
            <a:gs pos="30000">
              <a:srgbClr val="BE0F37"/>
            </a:gs>
            <a:gs pos="65000">
              <a:srgbClr val="BB172F"/>
            </a:gs>
            <a:gs pos="100000">
              <a:srgbClr val="6D0F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18</xdr:row>
      <xdr:rowOff>0</xdr:rowOff>
    </xdr:from>
    <xdr:to>
      <xdr:col>33</xdr:col>
      <xdr:colOff>0</xdr:colOff>
      <xdr:row>19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DF1B521-2DD8-4641-A769-32C44B76A725}"/>
            </a:ext>
          </a:extLst>
        </xdr:cNvPr>
        <xdr:cNvSpPr/>
      </xdr:nvSpPr>
      <xdr:spPr>
        <a:xfrm>
          <a:off x="30797500" y="3683000"/>
          <a:ext cx="825500" cy="203200"/>
        </a:xfrm>
        <a:prstGeom prst="rect">
          <a:avLst/>
        </a:prstGeom>
        <a:gradFill flip="none" rotWithShape="1">
          <a:gsLst>
            <a:gs pos="0">
              <a:srgbClr val="AC1C36"/>
            </a:gs>
            <a:gs pos="30000">
              <a:srgbClr val="CC2089"/>
            </a:gs>
            <a:gs pos="65000">
              <a:srgbClr val="5F1077"/>
            </a:gs>
            <a:gs pos="100000">
              <a:srgbClr val="D49FE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19</xdr:row>
      <xdr:rowOff>0</xdr:rowOff>
    </xdr:from>
    <xdr:to>
      <xdr:col>33</xdr:col>
      <xdr:colOff>0</xdr:colOff>
      <xdr:row>20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5B556D4-D533-EC49-A1E6-E338E06BB1D1}"/>
            </a:ext>
          </a:extLst>
        </xdr:cNvPr>
        <xdr:cNvSpPr/>
      </xdr:nvSpPr>
      <xdr:spPr>
        <a:xfrm>
          <a:off x="30797500" y="3886200"/>
          <a:ext cx="825500" cy="203200"/>
        </a:xfrm>
        <a:prstGeom prst="rect">
          <a:avLst/>
        </a:prstGeom>
        <a:gradFill flip="none" rotWithShape="1">
          <a:gsLst>
            <a:gs pos="0">
              <a:srgbClr val="570D5B"/>
            </a:gs>
            <a:gs pos="30000">
              <a:srgbClr val="2C1F67"/>
            </a:gs>
            <a:gs pos="65000">
              <a:srgbClr val="911239"/>
            </a:gs>
            <a:gs pos="100000">
              <a:srgbClr val="7210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20</xdr:row>
      <xdr:rowOff>0</xdr:rowOff>
    </xdr:from>
    <xdr:to>
      <xdr:col>33</xdr:col>
      <xdr:colOff>0</xdr:colOff>
      <xdr:row>21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537126-316F-9D48-97DE-FECA1CC582BD}"/>
            </a:ext>
          </a:extLst>
        </xdr:cNvPr>
        <xdr:cNvSpPr/>
      </xdr:nvSpPr>
      <xdr:spPr>
        <a:xfrm>
          <a:off x="30797500" y="4089400"/>
          <a:ext cx="825500" cy="203200"/>
        </a:xfrm>
        <a:prstGeom prst="rect">
          <a:avLst/>
        </a:prstGeom>
        <a:gradFill flip="none" rotWithShape="1">
          <a:gsLst>
            <a:gs pos="0">
              <a:srgbClr val="FFCBD6"/>
            </a:gs>
            <a:gs pos="30000">
              <a:srgbClr val="3A609D"/>
            </a:gs>
            <a:gs pos="65000">
              <a:srgbClr val="FDEBDE"/>
            </a:gs>
            <a:gs pos="100000">
              <a:srgbClr val="CCE7F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21</xdr:row>
      <xdr:rowOff>0</xdr:rowOff>
    </xdr:from>
    <xdr:to>
      <xdr:col>33</xdr:col>
      <xdr:colOff>0</xdr:colOff>
      <xdr:row>21</xdr:row>
      <xdr:rowOff>203200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06EC49C-D879-7546-9C27-7E598B373D1E}"/>
            </a:ext>
          </a:extLst>
        </xdr:cNvPr>
        <xdr:cNvSpPr/>
      </xdr:nvSpPr>
      <xdr:spPr>
        <a:xfrm>
          <a:off x="30797500" y="4292600"/>
          <a:ext cx="825500" cy="203200"/>
        </a:xfrm>
        <a:prstGeom prst="rect">
          <a:avLst/>
        </a:prstGeom>
        <a:gradFill flip="none" rotWithShape="1">
          <a:gsLst>
            <a:gs pos="0">
              <a:srgbClr val="4E5CA6"/>
            </a:gs>
            <a:gs pos="30000">
              <a:srgbClr val="CCE6E9"/>
            </a:gs>
            <a:gs pos="65000">
              <a:srgbClr val="202754"/>
            </a:gs>
            <a:gs pos="100000">
              <a:srgbClr val="1960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22</xdr:row>
      <xdr:rowOff>0</xdr:rowOff>
    </xdr:from>
    <xdr:to>
      <xdr:col>33</xdr:col>
      <xdr:colOff>0</xdr:colOff>
      <xdr:row>22</xdr:row>
      <xdr:rowOff>203200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10F59EF-11E8-7248-A9AC-AD6DB46A95D1}"/>
            </a:ext>
          </a:extLst>
        </xdr:cNvPr>
        <xdr:cNvSpPr/>
      </xdr:nvSpPr>
      <xdr:spPr>
        <a:xfrm>
          <a:off x="30797500" y="4508500"/>
          <a:ext cx="825500" cy="203200"/>
        </a:xfrm>
        <a:prstGeom prst="rect">
          <a:avLst/>
        </a:prstGeom>
        <a:gradFill flip="none" rotWithShape="1">
          <a:gsLst>
            <a:gs pos="0">
              <a:srgbClr val="570D5C"/>
            </a:gs>
            <a:gs pos="30000">
              <a:srgbClr val="2C2067"/>
            </a:gs>
            <a:gs pos="65000">
              <a:srgbClr val="262176"/>
            </a:gs>
            <a:gs pos="100000">
              <a:srgbClr val="0A082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33</xdr:col>
      <xdr:colOff>0</xdr:colOff>
      <xdr:row>24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8F0652B-DE33-5A4F-9272-FD89F525EABF}"/>
            </a:ext>
          </a:extLst>
        </xdr:cNvPr>
        <xdr:cNvSpPr/>
      </xdr:nvSpPr>
      <xdr:spPr>
        <a:xfrm>
          <a:off x="30797500" y="4724400"/>
          <a:ext cx="825500" cy="203200"/>
        </a:xfrm>
        <a:prstGeom prst="rect">
          <a:avLst/>
        </a:prstGeom>
        <a:gradFill flip="none" rotWithShape="1">
          <a:gsLst>
            <a:gs pos="0">
              <a:srgbClr val="9442A7"/>
            </a:gs>
            <a:gs pos="30000">
              <a:srgbClr val="E5BEEC"/>
            </a:gs>
            <a:gs pos="65000">
              <a:srgbClr val="2A3288"/>
            </a:gs>
            <a:gs pos="100000">
              <a:srgbClr val="9A6C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25</xdr:row>
      <xdr:rowOff>0</xdr:rowOff>
    </xdr:from>
    <xdr:to>
      <xdr:col>33</xdr:col>
      <xdr:colOff>0</xdr:colOff>
      <xdr:row>26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AE31A74-85D9-E54C-97B1-1D64778693D7}"/>
            </a:ext>
          </a:extLst>
        </xdr:cNvPr>
        <xdr:cNvSpPr/>
      </xdr:nvSpPr>
      <xdr:spPr>
        <a:xfrm>
          <a:off x="30797500" y="5130800"/>
          <a:ext cx="825500" cy="203200"/>
        </a:xfrm>
        <a:prstGeom prst="rect">
          <a:avLst/>
        </a:prstGeom>
        <a:gradFill flip="none" rotWithShape="1">
          <a:gsLst>
            <a:gs pos="0">
              <a:srgbClr val="F7B0DF"/>
            </a:gs>
            <a:gs pos="30000">
              <a:srgbClr val="ED81BE"/>
            </a:gs>
            <a:gs pos="65000">
              <a:srgbClr val="9442A6"/>
            </a:gs>
            <a:gs pos="100000">
              <a:srgbClr val="C597B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26</xdr:row>
      <xdr:rowOff>0</xdr:rowOff>
    </xdr:from>
    <xdr:to>
      <xdr:col>33</xdr:col>
      <xdr:colOff>0</xdr:colOff>
      <xdr:row>26</xdr:row>
      <xdr:rowOff>203200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DF8272B-0443-7747-936E-41FB572C6684}"/>
            </a:ext>
          </a:extLst>
        </xdr:cNvPr>
        <xdr:cNvSpPr/>
      </xdr:nvSpPr>
      <xdr:spPr>
        <a:xfrm>
          <a:off x="30797500" y="5334000"/>
          <a:ext cx="825500" cy="203200"/>
        </a:xfrm>
        <a:prstGeom prst="rect">
          <a:avLst/>
        </a:prstGeom>
        <a:gradFill flip="none" rotWithShape="1">
          <a:gsLst>
            <a:gs pos="0">
              <a:srgbClr val="9442A7"/>
            </a:gs>
            <a:gs pos="30000">
              <a:srgbClr val="E4BDEE"/>
            </a:gs>
            <a:gs pos="65000">
              <a:srgbClr val="580D5C"/>
            </a:gs>
            <a:gs pos="100000">
              <a:srgbClr val="FD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32</xdr:col>
      <xdr:colOff>0</xdr:colOff>
      <xdr:row>24</xdr:row>
      <xdr:rowOff>0</xdr:rowOff>
    </xdr:from>
    <xdr:to>
      <xdr:col>33</xdr:col>
      <xdr:colOff>0</xdr:colOff>
      <xdr:row>25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9FAB72F-DF78-F141-A0C9-2E1E5E112F4F}"/>
            </a:ext>
          </a:extLst>
        </xdr:cNvPr>
        <xdr:cNvSpPr/>
      </xdr:nvSpPr>
      <xdr:spPr>
        <a:xfrm>
          <a:off x="30797500" y="4927600"/>
          <a:ext cx="825500" cy="203200"/>
        </a:xfrm>
        <a:prstGeom prst="rect">
          <a:avLst/>
        </a:prstGeom>
        <a:gradFill flip="none" rotWithShape="1">
          <a:gsLst>
            <a:gs pos="0">
              <a:schemeClr val="bg1"/>
            </a:gs>
            <a:gs pos="30000">
              <a:srgbClr val="DC9CDF"/>
            </a:gs>
            <a:gs pos="65000">
              <a:srgbClr val="8A2A8F"/>
            </a:gs>
            <a:gs pos="100000">
              <a:srgbClr val="570D5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7BB5C83-C051-0646-ADC0-EB3A8BE0DE2C}"/>
            </a:ext>
          </a:extLst>
        </xdr:cNvPr>
        <xdr:cNvSpPr/>
      </xdr:nvSpPr>
      <xdr:spPr>
        <a:xfrm>
          <a:off x="1079500" y="635000"/>
          <a:ext cx="825500" cy="203200"/>
        </a:xfrm>
        <a:prstGeom prst="rect">
          <a:avLst/>
        </a:prstGeom>
        <a:gradFill flip="none" rotWithShape="1">
          <a:gsLst>
            <a:gs pos="0">
              <a:srgbClr val="503F3B"/>
            </a:gs>
            <a:gs pos="30000">
              <a:srgbClr val="422F13"/>
            </a:gs>
            <a:gs pos="65000">
              <a:srgbClr val="36220E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C6F28B0-1EA8-8543-A901-D5EA98FE3DEA}"/>
            </a:ext>
          </a:extLst>
        </xdr:cNvPr>
        <xdr:cNvSpPr/>
      </xdr:nvSpPr>
      <xdr:spPr>
        <a:xfrm>
          <a:off x="6159500" y="1651000"/>
          <a:ext cx="825500" cy="203200"/>
        </a:xfrm>
        <a:prstGeom prst="rect">
          <a:avLst/>
        </a:prstGeom>
        <a:gradFill flip="none" rotWithShape="1">
          <a:gsLst>
            <a:gs pos="0">
              <a:srgbClr val="C10026"/>
            </a:gs>
            <a:gs pos="50000">
              <a:srgbClr val="DC1D2F"/>
            </a:gs>
            <a:gs pos="100000">
              <a:srgbClr val="F9545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8</xdr:col>
      <xdr:colOff>0</xdr:colOff>
      <xdr:row>24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3F9F3BF-CAE6-D644-B335-CBF1B8330814}"/>
            </a:ext>
          </a:extLst>
        </xdr:cNvPr>
        <xdr:cNvSpPr/>
      </xdr:nvSpPr>
      <xdr:spPr>
        <a:xfrm>
          <a:off x="6159500" y="4699000"/>
          <a:ext cx="825500" cy="203200"/>
        </a:xfrm>
        <a:prstGeom prst="rect">
          <a:avLst/>
        </a:prstGeom>
        <a:gradFill flip="none" rotWithShape="1">
          <a:gsLst>
            <a:gs pos="0">
              <a:srgbClr val="171C42"/>
            </a:gs>
            <a:gs pos="50000">
              <a:srgbClr val="162165"/>
            </a:gs>
            <a:gs pos="100000">
              <a:srgbClr val="3C449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8DFD5AE-823A-AB4F-88D4-937CE608F049}"/>
            </a:ext>
          </a:extLst>
        </xdr:cNvPr>
        <xdr:cNvSpPr/>
      </xdr:nvSpPr>
      <xdr:spPr>
        <a:xfrm>
          <a:off x="6159500" y="635000"/>
          <a:ext cx="825500" cy="222250"/>
        </a:xfrm>
        <a:prstGeom prst="rect">
          <a:avLst/>
        </a:prstGeom>
        <a:gradFill flip="none" rotWithShape="1">
          <a:gsLst>
            <a:gs pos="0">
              <a:srgbClr val="B00139"/>
            </a:gs>
            <a:gs pos="48000">
              <a:srgbClr val="CA2655"/>
            </a:gs>
            <a:gs pos="100000">
              <a:srgbClr val="F998B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36BC62B-3D3F-C341-9D89-F2323C0F988F}"/>
            </a:ext>
          </a:extLst>
        </xdr:cNvPr>
        <xdr:cNvSpPr/>
      </xdr:nvSpPr>
      <xdr:spPr>
        <a:xfrm>
          <a:off x="6159500" y="1041400"/>
          <a:ext cx="825500" cy="203200"/>
        </a:xfrm>
        <a:prstGeom prst="rect">
          <a:avLst/>
        </a:prstGeom>
        <a:gradFill flip="none" rotWithShape="1">
          <a:gsLst>
            <a:gs pos="0">
              <a:srgbClr val="F94F1B"/>
            </a:gs>
            <a:gs pos="50000">
              <a:srgbClr val="FD915C"/>
            </a:gs>
            <a:gs pos="100000">
              <a:srgbClr val="F89C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02A778-E99D-9C49-8A51-AA574D3FD3A4}"/>
            </a:ext>
          </a:extLst>
        </xdr:cNvPr>
        <xdr:cNvSpPr/>
      </xdr:nvSpPr>
      <xdr:spPr>
        <a:xfrm>
          <a:off x="6159500" y="1244600"/>
          <a:ext cx="825500" cy="203200"/>
        </a:xfrm>
        <a:prstGeom prst="rect">
          <a:avLst/>
        </a:prstGeom>
        <a:gradFill flip="none" rotWithShape="1">
          <a:gsLst>
            <a:gs pos="32000">
              <a:srgbClr val="802A96"/>
            </a:gs>
            <a:gs pos="0">
              <a:srgbClr val="E3B6E7"/>
            </a:gs>
            <a:gs pos="67000">
              <a:srgbClr val="45004A"/>
            </a:gs>
            <a:gs pos="100000">
              <a:srgbClr val="75127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9E95B6A-9FD3-234B-9798-A89F8BA83042}"/>
            </a:ext>
          </a:extLst>
        </xdr:cNvPr>
        <xdr:cNvSpPr/>
      </xdr:nvSpPr>
      <xdr:spPr>
        <a:xfrm>
          <a:off x="6159500" y="1447800"/>
          <a:ext cx="825500" cy="203200"/>
        </a:xfrm>
        <a:prstGeom prst="rect">
          <a:avLst/>
        </a:prstGeom>
        <a:gradFill flip="none" rotWithShape="1">
          <a:gsLst>
            <a:gs pos="0">
              <a:srgbClr val="A19EA7"/>
            </a:gs>
            <a:gs pos="50000">
              <a:srgbClr val="393738"/>
            </a:gs>
            <a:gs pos="100000">
              <a:srgbClr val="2C2B2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CE1E7A4-8701-E248-9046-6F6032B61DC5}"/>
            </a:ext>
          </a:extLst>
        </xdr:cNvPr>
        <xdr:cNvSpPr/>
      </xdr:nvSpPr>
      <xdr:spPr>
        <a:xfrm>
          <a:off x="6159500" y="2260600"/>
          <a:ext cx="825500" cy="203200"/>
        </a:xfrm>
        <a:prstGeom prst="rect">
          <a:avLst/>
        </a:prstGeom>
        <a:gradFill flip="none" rotWithShape="1">
          <a:gsLst>
            <a:gs pos="0">
              <a:srgbClr val="BFE1ED"/>
            </a:gs>
            <a:gs pos="50000">
              <a:srgbClr val="A6BAE3"/>
            </a:gs>
            <a:gs pos="100000">
              <a:srgbClr val="5869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9F5EFE7-8E44-714D-88BC-3447AAF4213E}"/>
            </a:ext>
          </a:extLst>
        </xdr:cNvPr>
        <xdr:cNvSpPr/>
      </xdr:nvSpPr>
      <xdr:spPr>
        <a:xfrm>
          <a:off x="6159500" y="2463800"/>
          <a:ext cx="825500" cy="203200"/>
        </a:xfrm>
        <a:prstGeom prst="rect">
          <a:avLst/>
        </a:prstGeom>
        <a:gradFill flip="none" rotWithShape="1">
          <a:gsLst>
            <a:gs pos="0">
              <a:srgbClr val="F4BDA0"/>
            </a:gs>
            <a:gs pos="50000">
              <a:srgbClr val="7E201C"/>
            </a:gs>
            <a:gs pos="100000">
              <a:srgbClr val="962E2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D15B37A9-863E-3041-9803-00FB0BCDA133}"/>
            </a:ext>
          </a:extLst>
        </xdr:cNvPr>
        <xdr:cNvSpPr/>
      </xdr:nvSpPr>
      <xdr:spPr>
        <a:xfrm>
          <a:off x="6159500" y="2870200"/>
          <a:ext cx="825500" cy="203200"/>
        </a:xfrm>
        <a:prstGeom prst="rect">
          <a:avLst/>
        </a:prstGeom>
        <a:gradFill flip="none" rotWithShape="1">
          <a:gsLst>
            <a:gs pos="0">
              <a:srgbClr val="F9780F"/>
            </a:gs>
            <a:gs pos="50000">
              <a:srgbClr val="FB9F2E"/>
            </a:gs>
            <a:gs pos="100000">
              <a:srgbClr val="FDE73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</xdr:row>
      <xdr:rowOff>0</xdr:rowOff>
    </xdr:from>
    <xdr:to>
      <xdr:col>8</xdr:col>
      <xdr:colOff>0</xdr:colOff>
      <xdr:row>17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EC0C345-3A7E-074C-A45D-9D6734462266}"/>
            </a:ext>
          </a:extLst>
        </xdr:cNvPr>
        <xdr:cNvSpPr/>
      </xdr:nvSpPr>
      <xdr:spPr>
        <a:xfrm>
          <a:off x="6159500" y="3276600"/>
          <a:ext cx="825500" cy="203200"/>
        </a:xfrm>
        <a:prstGeom prst="rect">
          <a:avLst/>
        </a:prstGeom>
        <a:gradFill flip="none" rotWithShape="1">
          <a:gsLst>
            <a:gs pos="0">
              <a:srgbClr val="8FA745"/>
            </a:gs>
            <a:gs pos="50000">
              <a:srgbClr val="CFED95"/>
            </a:gs>
            <a:gs pos="100000">
              <a:srgbClr val="2C521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8D6A4FE-7AC2-2E49-BE93-B10AE97DAC08}"/>
            </a:ext>
          </a:extLst>
        </xdr:cNvPr>
        <xdr:cNvSpPr/>
      </xdr:nvSpPr>
      <xdr:spPr>
        <a:xfrm>
          <a:off x="6159500" y="3479800"/>
          <a:ext cx="825500" cy="203200"/>
        </a:xfrm>
        <a:prstGeom prst="rect">
          <a:avLst/>
        </a:prstGeom>
        <a:gradFill flip="none" rotWithShape="1">
          <a:gsLst>
            <a:gs pos="0">
              <a:srgbClr val="A6BAE3"/>
            </a:gs>
            <a:gs pos="50000">
              <a:srgbClr val="3D4496"/>
            </a:gs>
            <a:gs pos="100000">
              <a:srgbClr val="1B146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19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B58D827-EB0E-DA4D-9D1A-A43D7E3440C4}"/>
            </a:ext>
          </a:extLst>
        </xdr:cNvPr>
        <xdr:cNvSpPr/>
      </xdr:nvSpPr>
      <xdr:spPr>
        <a:xfrm>
          <a:off x="6159500" y="3683000"/>
          <a:ext cx="825500" cy="203200"/>
        </a:xfrm>
        <a:prstGeom prst="rect">
          <a:avLst/>
        </a:prstGeom>
        <a:gradFill flip="none" rotWithShape="1">
          <a:gsLst>
            <a:gs pos="0">
              <a:srgbClr val="50410C"/>
            </a:gs>
            <a:gs pos="50000">
              <a:srgbClr val="78693E"/>
            </a:gs>
            <a:gs pos="100000">
              <a:srgbClr val="9F99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0</xdr:colOff>
      <xdr:row>21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D7D31A6-22E7-8448-B3D4-DDF04DBBB97C}"/>
            </a:ext>
          </a:extLst>
        </xdr:cNvPr>
        <xdr:cNvSpPr/>
      </xdr:nvSpPr>
      <xdr:spPr>
        <a:xfrm>
          <a:off x="6159500" y="4089400"/>
          <a:ext cx="825500" cy="203200"/>
        </a:xfrm>
        <a:prstGeom prst="rect">
          <a:avLst/>
        </a:prstGeom>
        <a:gradFill flip="none" rotWithShape="1">
          <a:gsLst>
            <a:gs pos="0">
              <a:srgbClr val="A4314B"/>
            </a:gs>
            <a:gs pos="50000">
              <a:srgbClr val="FED5D5"/>
            </a:gs>
            <a:gs pos="100000">
              <a:srgbClr val="64182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8</xdr:col>
      <xdr:colOff>0</xdr:colOff>
      <xdr:row>25</xdr:row>
      <xdr:rowOff>203200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154F580-B5CF-B743-A982-82CB11549CAD}"/>
            </a:ext>
          </a:extLst>
        </xdr:cNvPr>
        <xdr:cNvSpPr/>
      </xdr:nvSpPr>
      <xdr:spPr>
        <a:xfrm>
          <a:off x="6159500" y="5118100"/>
          <a:ext cx="825500" cy="203200"/>
        </a:xfrm>
        <a:prstGeom prst="rect">
          <a:avLst/>
        </a:prstGeom>
        <a:gradFill flip="none" rotWithShape="1">
          <a:gsLst>
            <a:gs pos="0">
              <a:srgbClr val="7C4126"/>
            </a:gs>
            <a:gs pos="50000">
              <a:srgbClr val="B97147"/>
            </a:gs>
            <a:gs pos="100000">
              <a:srgbClr val="EED7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0</xdr:colOff>
      <xdr:row>26</xdr:row>
      <xdr:rowOff>203200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EBCAF89-43BF-334D-8717-8A3383FB83BB}"/>
            </a:ext>
          </a:extLst>
        </xdr:cNvPr>
        <xdr:cNvSpPr/>
      </xdr:nvSpPr>
      <xdr:spPr>
        <a:xfrm>
          <a:off x="6159500" y="5334000"/>
          <a:ext cx="825500" cy="203200"/>
        </a:xfrm>
        <a:prstGeom prst="rect">
          <a:avLst/>
        </a:prstGeom>
        <a:gradFill flip="none" rotWithShape="1">
          <a:gsLst>
            <a:gs pos="0">
              <a:srgbClr val="F30008"/>
            </a:gs>
            <a:gs pos="50000">
              <a:srgbClr val="FFB49C"/>
            </a:gs>
            <a:gs pos="100000">
              <a:srgbClr val="F9776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0</xdr:colOff>
      <xdr:row>27</xdr:row>
      <xdr:rowOff>203200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A27D535C-1D61-7141-8293-14B62BC0F58E}"/>
            </a:ext>
          </a:extLst>
        </xdr:cNvPr>
        <xdr:cNvSpPr/>
      </xdr:nvSpPr>
      <xdr:spPr>
        <a:xfrm>
          <a:off x="6159500" y="5549900"/>
          <a:ext cx="825500" cy="203200"/>
        </a:xfrm>
        <a:prstGeom prst="rect">
          <a:avLst/>
        </a:prstGeom>
        <a:gradFill flip="none" rotWithShape="1">
          <a:gsLst>
            <a:gs pos="30000">
              <a:srgbClr val="9B092A"/>
            </a:gs>
            <a:gs pos="0">
              <a:srgbClr val="AD0027"/>
            </a:gs>
            <a:gs pos="67000">
              <a:srgbClr val="CA2655"/>
            </a:gs>
            <a:gs pos="100000">
              <a:srgbClr val="F27CA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8</xdr:col>
      <xdr:colOff>0</xdr:colOff>
      <xdr:row>40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396FBB8-0CEE-7B43-8773-1219A1C1C853}"/>
            </a:ext>
          </a:extLst>
        </xdr:cNvPr>
        <xdr:cNvSpPr/>
      </xdr:nvSpPr>
      <xdr:spPr>
        <a:xfrm>
          <a:off x="6159500" y="8039100"/>
          <a:ext cx="825500" cy="203200"/>
        </a:xfrm>
        <a:prstGeom prst="rect">
          <a:avLst/>
        </a:prstGeom>
        <a:gradFill flip="none" rotWithShape="1">
          <a:gsLst>
            <a:gs pos="30000">
              <a:srgbClr val="2DA557"/>
            </a:gs>
            <a:gs pos="0">
              <a:srgbClr val="125A33"/>
            </a:gs>
            <a:gs pos="67000">
              <a:srgbClr val="47C46A"/>
            </a:gs>
            <a:gs pos="100000">
              <a:srgbClr val="9AEA9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0</xdr:colOff>
      <xdr:row>29</xdr:row>
      <xdr:rowOff>203200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8A5CAFC-A61F-E94F-869B-437D74DE2324}"/>
            </a:ext>
          </a:extLst>
        </xdr:cNvPr>
        <xdr:cNvSpPr/>
      </xdr:nvSpPr>
      <xdr:spPr>
        <a:xfrm>
          <a:off x="6159500" y="5981700"/>
          <a:ext cx="825500" cy="203200"/>
        </a:xfrm>
        <a:prstGeom prst="rect">
          <a:avLst/>
        </a:prstGeom>
        <a:gradFill flip="none" rotWithShape="1">
          <a:gsLst>
            <a:gs pos="0">
              <a:srgbClr val="813D1B"/>
            </a:gs>
            <a:gs pos="50000">
              <a:srgbClr val="A1541A"/>
            </a:gs>
            <a:gs pos="100000">
              <a:srgbClr val="C4742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8</xdr:col>
      <xdr:colOff>0</xdr:colOff>
      <xdr:row>33</xdr:row>
      <xdr:rowOff>203200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D22E9FA-5B6E-B14B-ADB5-91ADCC0DDB06}"/>
            </a:ext>
          </a:extLst>
        </xdr:cNvPr>
        <xdr:cNvSpPr/>
      </xdr:nvSpPr>
      <xdr:spPr>
        <a:xfrm>
          <a:off x="6159500" y="6807200"/>
          <a:ext cx="825500" cy="203200"/>
        </a:xfrm>
        <a:prstGeom prst="rect">
          <a:avLst/>
        </a:prstGeom>
        <a:gradFill flip="none" rotWithShape="1">
          <a:gsLst>
            <a:gs pos="0">
              <a:srgbClr val="AD0027"/>
            </a:gs>
            <a:gs pos="50000">
              <a:srgbClr val="6B0027"/>
            </a:gs>
            <a:gs pos="100000">
              <a:srgbClr val="50091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C6EA5E5-8E91-FE48-9F6C-4FAED64F99F3}"/>
            </a:ext>
          </a:extLst>
        </xdr:cNvPr>
        <xdr:cNvSpPr/>
      </xdr:nvSpPr>
      <xdr:spPr>
        <a:xfrm>
          <a:off x="6159500" y="7226300"/>
          <a:ext cx="825500" cy="203200"/>
        </a:xfrm>
        <a:prstGeom prst="rect">
          <a:avLst/>
        </a:prstGeom>
        <a:gradFill flip="none" rotWithShape="1">
          <a:gsLst>
            <a:gs pos="0">
              <a:srgbClr val="A6A7E4"/>
            </a:gs>
            <a:gs pos="50000">
              <a:srgbClr val="1B1462"/>
            </a:gs>
            <a:gs pos="100000">
              <a:srgbClr val="3D449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44</xdr:col>
      <xdr:colOff>386316</xdr:colOff>
      <xdr:row>60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73C4A6-E4DE-4249-9F8F-F2B013D0A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708316" cy="123317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4</xdr:row>
      <xdr:rowOff>123825</xdr:rowOff>
    </xdr:from>
    <xdr:to>
      <xdr:col>10</xdr:col>
      <xdr:colOff>428625</xdr:colOff>
      <xdr:row>21</xdr:row>
      <xdr:rowOff>171450</xdr:rowOff>
    </xdr:to>
    <xdr:pic>
      <xdr:nvPicPr>
        <xdr:cNvPr id="2" name="Picture 1" descr="Skin Tone Cross Stitch Thread Table by Lord Libidan">
          <a:extLst>
            <a:ext uri="{FF2B5EF4-FFF2-40B4-BE49-F238E27FC236}">
              <a16:creationId xmlns:a16="http://schemas.microsoft.com/office/drawing/2014/main" id="{BD0DB8F9-2B9C-41A0-AE07-5FC7285F7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942975"/>
          <a:ext cx="6248400" cy="344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223836</xdr:colOff>
      <xdr:row>4</xdr:row>
      <xdr:rowOff>76200</xdr:rowOff>
    </xdr:from>
    <xdr:to>
      <xdr:col>21</xdr:col>
      <xdr:colOff>361949</xdr:colOff>
      <xdr:row>24</xdr:row>
      <xdr:rowOff>104775</xdr:rowOff>
    </xdr:to>
    <xdr:pic>
      <xdr:nvPicPr>
        <xdr:cNvPr id="4" name="Picture 3" descr="Hair Color Cross Stitch Thread Table by Lord Libidan">
          <a:extLst>
            <a:ext uri="{FF2B5EF4-FFF2-40B4-BE49-F238E27FC236}">
              <a16:creationId xmlns:a16="http://schemas.microsoft.com/office/drawing/2014/main" id="{B0F73594-6FDE-4255-9386-8525E735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3436" y="895350"/>
          <a:ext cx="6310313" cy="403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9</xdr:col>
      <xdr:colOff>647700</xdr:colOff>
      <xdr:row>6</xdr:row>
      <xdr:rowOff>12700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A5FC83B4-7B36-C749-8BEF-2D75CF106100}"/>
            </a:ext>
          </a:extLst>
        </xdr:cNvPr>
        <xdr:cNvSpPr/>
      </xdr:nvSpPr>
      <xdr:spPr>
        <a:xfrm>
          <a:off x="1930400" y="609600"/>
          <a:ext cx="3467100" cy="215900"/>
        </a:xfrm>
        <a:prstGeom prst="rect">
          <a:avLst/>
        </a:prstGeom>
        <a:gradFill flip="none" rotWithShape="1">
          <a:gsLst>
            <a:gs pos="0">
              <a:srgbClr val="787E5C"/>
            </a:gs>
            <a:gs pos="31000">
              <a:srgbClr val="B0A87B"/>
            </a:gs>
            <a:gs pos="65000">
              <a:srgbClr val="FEDEDD"/>
            </a:gs>
            <a:gs pos="100000">
              <a:srgbClr val="EFA5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10</xdr:col>
      <xdr:colOff>0</xdr:colOff>
      <xdr:row>9</xdr:row>
      <xdr:rowOff>12700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C299375-5562-5B4D-AE60-C5B9ECCA0CAC}"/>
            </a:ext>
          </a:extLst>
        </xdr:cNvPr>
        <xdr:cNvSpPr/>
      </xdr:nvSpPr>
      <xdr:spPr>
        <a:xfrm>
          <a:off x="1930400" y="1130300"/>
          <a:ext cx="3467100" cy="215900"/>
        </a:xfrm>
        <a:prstGeom prst="rect">
          <a:avLst/>
        </a:prstGeom>
        <a:gradFill flip="none" rotWithShape="1">
          <a:gsLst>
            <a:gs pos="0">
              <a:srgbClr val="97D8D3"/>
            </a:gs>
            <a:gs pos="31000">
              <a:srgbClr val="D7F0A8"/>
            </a:gs>
            <a:gs pos="65000">
              <a:srgbClr val="FFF7E8"/>
            </a:gs>
            <a:gs pos="100000">
              <a:srgbClr val="FD6D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647700</xdr:colOff>
      <xdr:row>12</xdr:row>
      <xdr:rowOff>12700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C54007A6-08D2-0A40-8D78-677C179B6B91}"/>
            </a:ext>
          </a:extLst>
        </xdr:cNvPr>
        <xdr:cNvSpPr/>
      </xdr:nvSpPr>
      <xdr:spPr>
        <a:xfrm>
          <a:off x="1930400" y="1663700"/>
          <a:ext cx="3467100" cy="215900"/>
        </a:xfrm>
        <a:prstGeom prst="rect">
          <a:avLst/>
        </a:prstGeom>
        <a:gradFill flip="none" rotWithShape="1">
          <a:gsLst>
            <a:gs pos="0">
              <a:srgbClr val="BEDE75"/>
            </a:gs>
            <a:gs pos="31000">
              <a:srgbClr val="D8EAF2"/>
            </a:gs>
            <a:gs pos="65000">
              <a:srgbClr val="D53E67"/>
            </a:gs>
            <a:gs pos="100000">
              <a:srgbClr val="C72A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0</xdr:colOff>
      <xdr:row>15</xdr:row>
      <xdr:rowOff>12700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F2D24A54-9856-3048-83BB-23D997C47298}"/>
            </a:ext>
          </a:extLst>
        </xdr:cNvPr>
        <xdr:cNvSpPr/>
      </xdr:nvSpPr>
      <xdr:spPr>
        <a:xfrm>
          <a:off x="1930400" y="2184400"/>
          <a:ext cx="3467100" cy="215900"/>
        </a:xfrm>
        <a:prstGeom prst="rect">
          <a:avLst/>
        </a:prstGeom>
        <a:gradFill flip="none" rotWithShape="1">
          <a:gsLst>
            <a:gs pos="0">
              <a:srgbClr val="6B2159"/>
            </a:gs>
            <a:gs pos="31000">
              <a:srgbClr val="934D78"/>
            </a:gs>
            <a:gs pos="65000">
              <a:srgbClr val="CBC959"/>
            </a:gs>
            <a:gs pos="100000">
              <a:srgbClr val="CFC3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9</xdr:col>
      <xdr:colOff>647700</xdr:colOff>
      <xdr:row>18</xdr:row>
      <xdr:rowOff>12700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51429E1-72E4-EA46-8445-167CC99A8220}"/>
            </a:ext>
          </a:extLst>
        </xdr:cNvPr>
        <xdr:cNvSpPr/>
      </xdr:nvSpPr>
      <xdr:spPr>
        <a:xfrm>
          <a:off x="1930400" y="2705100"/>
          <a:ext cx="3467100" cy="215900"/>
        </a:xfrm>
        <a:prstGeom prst="rect">
          <a:avLst/>
        </a:prstGeom>
        <a:gradFill flip="none" rotWithShape="1">
          <a:gsLst>
            <a:gs pos="0">
              <a:srgbClr val="584029"/>
            </a:gs>
            <a:gs pos="31000">
              <a:srgbClr val="9D8868"/>
            </a:gs>
            <a:gs pos="65000">
              <a:srgbClr val="882842"/>
            </a:gs>
            <a:gs pos="100000">
              <a:srgbClr val="BC757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647700</xdr:colOff>
      <xdr:row>21</xdr:row>
      <xdr:rowOff>12700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3227878-3C30-3A41-A6DF-5E2FA9E51EF4}"/>
            </a:ext>
          </a:extLst>
        </xdr:cNvPr>
        <xdr:cNvSpPr/>
      </xdr:nvSpPr>
      <xdr:spPr>
        <a:xfrm>
          <a:off x="1930400" y="3225800"/>
          <a:ext cx="3467100" cy="215900"/>
        </a:xfrm>
        <a:prstGeom prst="rect">
          <a:avLst/>
        </a:prstGeom>
        <a:gradFill flip="none" rotWithShape="1">
          <a:gsLst>
            <a:gs pos="0">
              <a:srgbClr val="4C4C1C"/>
            </a:gs>
            <a:gs pos="31000">
              <a:srgbClr val="999E75"/>
            </a:gs>
            <a:gs pos="65000">
              <a:srgbClr val="866A77"/>
            </a:gs>
            <a:gs pos="100000">
              <a:srgbClr val="AF989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10</xdr:col>
      <xdr:colOff>0</xdr:colOff>
      <xdr:row>24</xdr:row>
      <xdr:rowOff>12700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E0F48FB-321B-3149-BB36-0F2FDA210FDB}"/>
            </a:ext>
          </a:extLst>
        </xdr:cNvPr>
        <xdr:cNvSpPr/>
      </xdr:nvSpPr>
      <xdr:spPr>
        <a:xfrm>
          <a:off x="1930400" y="3746500"/>
          <a:ext cx="3467100" cy="215900"/>
        </a:xfrm>
        <a:prstGeom prst="rect">
          <a:avLst/>
        </a:prstGeom>
        <a:gradFill flip="none" rotWithShape="1">
          <a:gsLst>
            <a:gs pos="0">
              <a:srgbClr val="D2DE75"/>
            </a:gs>
            <a:gs pos="31000">
              <a:srgbClr val="617674"/>
            </a:gs>
            <a:gs pos="66000">
              <a:srgbClr val="66924A"/>
            </a:gs>
            <a:gs pos="100000">
              <a:srgbClr val="44729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0</xdr:colOff>
      <xdr:row>27</xdr:row>
      <xdr:rowOff>12700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6D19A52-9A56-3A4A-8633-43A2EF163295}"/>
            </a:ext>
          </a:extLst>
        </xdr:cNvPr>
        <xdr:cNvSpPr/>
      </xdr:nvSpPr>
      <xdr:spPr>
        <a:xfrm>
          <a:off x="1930400" y="4267200"/>
          <a:ext cx="3467100" cy="215900"/>
        </a:xfrm>
        <a:prstGeom prst="rect">
          <a:avLst/>
        </a:prstGeom>
        <a:gradFill flip="none" rotWithShape="1">
          <a:gsLst>
            <a:gs pos="0">
              <a:srgbClr val="D63E67"/>
            </a:gs>
            <a:gs pos="31000">
              <a:srgbClr val="05525C"/>
            </a:gs>
            <a:gs pos="64000">
              <a:srgbClr val="73D0B8"/>
            </a:gs>
            <a:gs pos="100000">
              <a:srgbClr val="4E5B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647700</xdr:colOff>
      <xdr:row>30</xdr:row>
      <xdr:rowOff>12700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9FCD420D-D939-734B-A037-43B8ED8BBC38}"/>
            </a:ext>
          </a:extLst>
        </xdr:cNvPr>
        <xdr:cNvSpPr/>
      </xdr:nvSpPr>
      <xdr:spPr>
        <a:xfrm>
          <a:off x="1930400" y="4787900"/>
          <a:ext cx="3467100" cy="215900"/>
        </a:xfrm>
        <a:prstGeom prst="rect">
          <a:avLst/>
        </a:prstGeom>
        <a:gradFill flip="none" rotWithShape="1">
          <a:gsLst>
            <a:gs pos="0">
              <a:srgbClr val="BB9D54"/>
            </a:gs>
            <a:gs pos="31000">
              <a:srgbClr val="FEF6B6"/>
            </a:gs>
            <a:gs pos="65000">
              <a:srgbClr val="BEB8AC"/>
            </a:gs>
            <a:gs pos="100000">
              <a:srgbClr val="E8AC9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32</xdr:row>
      <xdr:rowOff>0</xdr:rowOff>
    </xdr:from>
    <xdr:to>
      <xdr:col>10</xdr:col>
      <xdr:colOff>0</xdr:colOff>
      <xdr:row>33</xdr:row>
      <xdr:rowOff>12700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D008D8D-E96D-6642-BA53-97EBC137D2CA}"/>
            </a:ext>
          </a:extLst>
        </xdr:cNvPr>
        <xdr:cNvSpPr/>
      </xdr:nvSpPr>
      <xdr:spPr>
        <a:xfrm>
          <a:off x="1930400" y="5308600"/>
          <a:ext cx="3467100" cy="215900"/>
        </a:xfrm>
        <a:prstGeom prst="rect">
          <a:avLst/>
        </a:prstGeom>
        <a:gradFill flip="none" rotWithShape="1">
          <a:gsLst>
            <a:gs pos="0">
              <a:srgbClr val="5D5D54"/>
            </a:gs>
            <a:gs pos="31000">
              <a:srgbClr val="BB6863"/>
            </a:gs>
            <a:gs pos="65000">
              <a:srgbClr val="ACC238"/>
            </a:gs>
            <a:gs pos="100000">
              <a:srgbClr val="C697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9</xdr:col>
      <xdr:colOff>647700</xdr:colOff>
      <xdr:row>36</xdr:row>
      <xdr:rowOff>12700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94B6609-6D92-9C42-B8A5-D8C4D8E91408}"/>
            </a:ext>
          </a:extLst>
        </xdr:cNvPr>
        <xdr:cNvSpPr/>
      </xdr:nvSpPr>
      <xdr:spPr>
        <a:xfrm>
          <a:off x="1930400" y="5829300"/>
          <a:ext cx="3467100" cy="215900"/>
        </a:xfrm>
        <a:prstGeom prst="rect">
          <a:avLst/>
        </a:prstGeom>
        <a:gradFill flip="none" rotWithShape="1">
          <a:gsLst>
            <a:gs pos="0">
              <a:srgbClr val="CBC959"/>
            </a:gs>
            <a:gs pos="31000">
              <a:srgbClr val="F2484D"/>
            </a:gs>
            <a:gs pos="65000">
              <a:srgbClr val="807867"/>
            </a:gs>
            <a:gs pos="100000">
              <a:srgbClr val="C1573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37</xdr:row>
      <xdr:rowOff>101600</xdr:rowOff>
    </xdr:from>
    <xdr:to>
      <xdr:col>10</xdr:col>
      <xdr:colOff>0</xdr:colOff>
      <xdr:row>39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AEC32534-CB14-8648-A604-374C18487260}"/>
            </a:ext>
          </a:extLst>
        </xdr:cNvPr>
        <xdr:cNvSpPr/>
      </xdr:nvSpPr>
      <xdr:spPr>
        <a:xfrm>
          <a:off x="1930400" y="6337300"/>
          <a:ext cx="3467100" cy="215900"/>
        </a:xfrm>
        <a:prstGeom prst="rect">
          <a:avLst/>
        </a:prstGeom>
        <a:gradFill flip="none" rotWithShape="1">
          <a:gsLst>
            <a:gs pos="0">
              <a:srgbClr val="D1883C"/>
            </a:gs>
            <a:gs pos="31000">
              <a:srgbClr val="C62B37"/>
            </a:gs>
            <a:gs pos="65000">
              <a:srgbClr val="432618"/>
            </a:gs>
            <a:gs pos="99000">
              <a:srgbClr val="4C4B1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41</xdr:row>
      <xdr:rowOff>0</xdr:rowOff>
    </xdr:from>
    <xdr:to>
      <xdr:col>10</xdr:col>
      <xdr:colOff>0</xdr:colOff>
      <xdr:row>42</xdr:row>
      <xdr:rowOff>12700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E0B08E9-134C-3548-A22B-6EBC38C16A6B}"/>
            </a:ext>
          </a:extLst>
        </xdr:cNvPr>
        <xdr:cNvSpPr/>
      </xdr:nvSpPr>
      <xdr:spPr>
        <a:xfrm>
          <a:off x="1930400" y="6870700"/>
          <a:ext cx="3467100" cy="215900"/>
        </a:xfrm>
        <a:prstGeom prst="rect">
          <a:avLst/>
        </a:prstGeom>
        <a:gradFill flip="none" rotWithShape="1">
          <a:gsLst>
            <a:gs pos="0">
              <a:srgbClr val="9A9B9C"/>
            </a:gs>
            <a:gs pos="31000">
              <a:srgbClr val="4E5CA7"/>
            </a:gs>
            <a:gs pos="65000">
              <a:srgbClr val="C72B38"/>
            </a:gs>
            <a:gs pos="100000">
              <a:srgbClr val="0D275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44</xdr:row>
      <xdr:rowOff>12700</xdr:rowOff>
    </xdr:from>
    <xdr:to>
      <xdr:col>9</xdr:col>
      <xdr:colOff>647700</xdr:colOff>
      <xdr:row>45</xdr:row>
      <xdr:rowOff>25400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1C4532DA-1DC1-4D4D-9A87-800E098C1063}"/>
            </a:ext>
          </a:extLst>
        </xdr:cNvPr>
        <xdr:cNvSpPr/>
      </xdr:nvSpPr>
      <xdr:spPr>
        <a:xfrm>
          <a:off x="1930400" y="7404100"/>
          <a:ext cx="3467100" cy="215900"/>
        </a:xfrm>
        <a:prstGeom prst="rect">
          <a:avLst/>
        </a:prstGeom>
        <a:gradFill flip="none" rotWithShape="1">
          <a:gsLst>
            <a:gs pos="0">
              <a:srgbClr val="FFFEFF"/>
            </a:gs>
            <a:gs pos="31000">
              <a:srgbClr val="494749"/>
            </a:gs>
            <a:gs pos="65000">
              <a:srgbClr val="711032"/>
            </a:gs>
            <a:gs pos="100000">
              <a:srgbClr val="999B9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46</xdr:row>
      <xdr:rowOff>101600</xdr:rowOff>
    </xdr:from>
    <xdr:to>
      <xdr:col>9</xdr:col>
      <xdr:colOff>647700</xdr:colOff>
      <xdr:row>48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0F3F370-76D8-3D48-B9B4-AB1F0D2E6CCA}"/>
            </a:ext>
          </a:extLst>
        </xdr:cNvPr>
        <xdr:cNvSpPr/>
      </xdr:nvSpPr>
      <xdr:spPr>
        <a:xfrm>
          <a:off x="1930400" y="7899400"/>
          <a:ext cx="3467100" cy="215900"/>
        </a:xfrm>
        <a:prstGeom prst="rect">
          <a:avLst/>
        </a:prstGeom>
        <a:gradFill flip="none" rotWithShape="1">
          <a:gsLst>
            <a:gs pos="0">
              <a:srgbClr val="116A75"/>
            </a:gs>
            <a:gs pos="31000">
              <a:srgbClr val="6D6369"/>
            </a:gs>
            <a:gs pos="65000">
              <a:srgbClr val="EBC5EB"/>
            </a:gs>
            <a:gs pos="100000">
              <a:srgbClr val="6B22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10</xdr:col>
      <xdr:colOff>0</xdr:colOff>
      <xdr:row>51</xdr:row>
      <xdr:rowOff>25400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6F36E2B-CD87-1E47-ACEE-82AC3BEFE7BD}"/>
            </a:ext>
          </a:extLst>
        </xdr:cNvPr>
        <xdr:cNvSpPr/>
      </xdr:nvSpPr>
      <xdr:spPr>
        <a:xfrm>
          <a:off x="1930400" y="8432800"/>
          <a:ext cx="3467100" cy="228600"/>
        </a:xfrm>
        <a:prstGeom prst="rect">
          <a:avLst/>
        </a:prstGeom>
        <a:gradFill flip="none" rotWithShape="1">
          <a:gsLst>
            <a:gs pos="0">
              <a:srgbClr val="593C2C"/>
            </a:gs>
            <a:gs pos="31000">
              <a:srgbClr val="795939"/>
            </a:gs>
            <a:gs pos="65000">
              <a:srgbClr val="93A0AF"/>
            </a:gs>
            <a:gs pos="100000">
              <a:srgbClr val="495C6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53</xdr:row>
      <xdr:rowOff>0</xdr:rowOff>
    </xdr:from>
    <xdr:to>
      <xdr:col>10</xdr:col>
      <xdr:colOff>0</xdr:colOff>
      <xdr:row>54</xdr:row>
      <xdr:rowOff>25400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676080A4-454B-A543-A73D-070D00B76769}"/>
            </a:ext>
          </a:extLst>
        </xdr:cNvPr>
        <xdr:cNvSpPr/>
      </xdr:nvSpPr>
      <xdr:spPr>
        <a:xfrm>
          <a:off x="1930400" y="8953500"/>
          <a:ext cx="3467100" cy="228600"/>
        </a:xfrm>
        <a:prstGeom prst="rect">
          <a:avLst/>
        </a:prstGeom>
        <a:gradFill flip="none" rotWithShape="1">
          <a:gsLst>
            <a:gs pos="0">
              <a:srgbClr val="593B2D"/>
            </a:gs>
            <a:gs pos="31000">
              <a:srgbClr val="7E4231"/>
            </a:gs>
            <a:gs pos="65000">
              <a:srgbClr val="F7EFD9"/>
            </a:gs>
            <a:gs pos="100000">
              <a:srgbClr val="970B2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10</xdr:col>
      <xdr:colOff>0</xdr:colOff>
      <xdr:row>57</xdr:row>
      <xdr:rowOff>12700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BCE049E-F705-5842-9369-61BA14520444}"/>
            </a:ext>
          </a:extLst>
        </xdr:cNvPr>
        <xdr:cNvSpPr/>
      </xdr:nvSpPr>
      <xdr:spPr>
        <a:xfrm>
          <a:off x="1930400" y="9474200"/>
          <a:ext cx="3467100" cy="215900"/>
        </a:xfrm>
        <a:prstGeom prst="rect">
          <a:avLst/>
        </a:prstGeom>
        <a:gradFill flip="none" rotWithShape="1">
          <a:gsLst>
            <a:gs pos="0">
              <a:srgbClr val="DE3E40"/>
            </a:gs>
            <a:gs pos="31000">
              <a:srgbClr val="56826E"/>
            </a:gs>
            <a:gs pos="65000">
              <a:srgbClr val="921238"/>
            </a:gs>
            <a:gs pos="100000">
              <a:srgbClr val="EF324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59</xdr:row>
      <xdr:rowOff>12700</xdr:rowOff>
    </xdr:from>
    <xdr:to>
      <xdr:col>10</xdr:col>
      <xdr:colOff>0</xdr:colOff>
      <xdr:row>60</xdr:row>
      <xdr:rowOff>25400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898E78FA-D0B0-D443-852B-F5958138498E}"/>
            </a:ext>
          </a:extLst>
        </xdr:cNvPr>
        <xdr:cNvSpPr/>
      </xdr:nvSpPr>
      <xdr:spPr>
        <a:xfrm>
          <a:off x="1930400" y="10007600"/>
          <a:ext cx="3467100" cy="215900"/>
        </a:xfrm>
        <a:prstGeom prst="rect">
          <a:avLst/>
        </a:prstGeom>
        <a:gradFill flip="none" rotWithShape="1">
          <a:gsLst>
            <a:gs pos="0">
              <a:srgbClr val="54322D"/>
            </a:gs>
            <a:gs pos="33000">
              <a:srgbClr val="AC8582"/>
            </a:gs>
            <a:gs pos="65000">
              <a:srgbClr val="4C4B1E"/>
            </a:gs>
            <a:gs pos="100000">
              <a:srgbClr val="80093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62</xdr:row>
      <xdr:rowOff>12700</xdr:rowOff>
    </xdr:from>
    <xdr:to>
      <xdr:col>10</xdr:col>
      <xdr:colOff>0</xdr:colOff>
      <xdr:row>63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3AEFA27E-9417-1E43-B7FD-7D5CB629E8C4}"/>
            </a:ext>
          </a:extLst>
        </xdr:cNvPr>
        <xdr:cNvSpPr/>
      </xdr:nvSpPr>
      <xdr:spPr>
        <a:xfrm>
          <a:off x="1930400" y="10528300"/>
          <a:ext cx="3467100" cy="190500"/>
        </a:xfrm>
        <a:prstGeom prst="rect">
          <a:avLst/>
        </a:prstGeom>
        <a:gradFill flip="none" rotWithShape="1">
          <a:gsLst>
            <a:gs pos="0">
              <a:srgbClr val="4A3121"/>
            </a:gs>
            <a:gs pos="31000">
              <a:srgbClr val="1D362B"/>
            </a:gs>
            <a:gs pos="65000">
              <a:srgbClr val="970B2C"/>
            </a:gs>
            <a:gs pos="100000">
              <a:srgbClr val="BE0F3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65</xdr:row>
      <xdr:rowOff>0</xdr:rowOff>
    </xdr:from>
    <xdr:to>
      <xdr:col>10</xdr:col>
      <xdr:colOff>0</xdr:colOff>
      <xdr:row>66</xdr:row>
      <xdr:rowOff>12700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3D37B8C1-9573-424E-91CC-A5B374204225}"/>
            </a:ext>
          </a:extLst>
        </xdr:cNvPr>
        <xdr:cNvSpPr/>
      </xdr:nvSpPr>
      <xdr:spPr>
        <a:xfrm>
          <a:off x="1930400" y="11036300"/>
          <a:ext cx="3467100" cy="2159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FEFFFF"/>
            </a:gs>
            <a:gs pos="65000">
              <a:srgbClr val="CDEFA6"/>
            </a:gs>
            <a:gs pos="100000">
              <a:srgbClr val="0E9255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68</xdr:row>
      <xdr:rowOff>25400</xdr:rowOff>
    </xdr:from>
    <xdr:to>
      <xdr:col>10</xdr:col>
      <xdr:colOff>0</xdr:colOff>
      <xdr:row>69</xdr:row>
      <xdr:rowOff>12700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A21F022-0A92-DF4A-968F-B828F1B195EE}"/>
            </a:ext>
          </a:extLst>
        </xdr:cNvPr>
        <xdr:cNvSpPr/>
      </xdr:nvSpPr>
      <xdr:spPr>
        <a:xfrm>
          <a:off x="1930400" y="11582400"/>
          <a:ext cx="3467100" cy="190500"/>
        </a:xfrm>
        <a:prstGeom prst="rect">
          <a:avLst/>
        </a:prstGeom>
        <a:gradFill flip="none" rotWithShape="1">
          <a:gsLst>
            <a:gs pos="0">
              <a:srgbClr val="A29A86"/>
            </a:gs>
            <a:gs pos="30000">
              <a:srgbClr val="313324"/>
            </a:gs>
            <a:gs pos="65000">
              <a:srgbClr val="D2B468"/>
            </a:gs>
            <a:gs pos="100000">
              <a:srgbClr val="412F1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12700</xdr:rowOff>
    </xdr:from>
    <xdr:to>
      <xdr:col>10</xdr:col>
      <xdr:colOff>0</xdr:colOff>
      <xdr:row>72</xdr:row>
      <xdr:rowOff>25400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0E68E54-61AE-884D-A828-6947D02AF5D6}"/>
            </a:ext>
          </a:extLst>
        </xdr:cNvPr>
        <xdr:cNvSpPr/>
      </xdr:nvSpPr>
      <xdr:spPr>
        <a:xfrm>
          <a:off x="1930400" y="12090400"/>
          <a:ext cx="3467100" cy="215900"/>
        </a:xfrm>
        <a:prstGeom prst="rect">
          <a:avLst/>
        </a:prstGeom>
        <a:gradFill flip="none" rotWithShape="1">
          <a:gsLst>
            <a:gs pos="0">
              <a:srgbClr val="492F20"/>
            </a:gs>
            <a:gs pos="31000">
              <a:srgbClr val="6A2257"/>
            </a:gs>
            <a:gs pos="65000">
              <a:srgbClr val="39393C"/>
            </a:gs>
            <a:gs pos="100000">
              <a:srgbClr val="7E423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74</xdr:row>
      <xdr:rowOff>0</xdr:rowOff>
    </xdr:from>
    <xdr:to>
      <xdr:col>10</xdr:col>
      <xdr:colOff>0</xdr:colOff>
      <xdr:row>75</xdr:row>
      <xdr:rowOff>12700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4303100A-9EDC-BF48-A411-E3296A0CBF22}"/>
            </a:ext>
          </a:extLst>
        </xdr:cNvPr>
        <xdr:cNvSpPr/>
      </xdr:nvSpPr>
      <xdr:spPr>
        <a:xfrm>
          <a:off x="1930400" y="12598400"/>
          <a:ext cx="3467100" cy="215900"/>
        </a:xfrm>
        <a:prstGeom prst="rect">
          <a:avLst/>
        </a:prstGeom>
        <a:gradFill flip="none" rotWithShape="1">
          <a:gsLst>
            <a:gs pos="0">
              <a:srgbClr val="B3BDEA"/>
            </a:gs>
            <a:gs pos="31000">
              <a:srgbClr val="D49EE1"/>
            </a:gs>
            <a:gs pos="65000">
              <a:srgbClr val="887673"/>
            </a:gs>
            <a:gs pos="100000">
              <a:srgbClr val="B99F7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20</xdr:col>
      <xdr:colOff>0</xdr:colOff>
      <xdr:row>12</xdr:row>
      <xdr:rowOff>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FD98C0F4-3714-B84C-BBD6-6660113D9873}"/>
            </a:ext>
          </a:extLst>
        </xdr:cNvPr>
        <xdr:cNvSpPr/>
      </xdr:nvSpPr>
      <xdr:spPr>
        <a:xfrm>
          <a:off x="1892300" y="1828800"/>
          <a:ext cx="3556000" cy="203200"/>
        </a:xfrm>
        <a:prstGeom prst="rect">
          <a:avLst/>
        </a:prstGeom>
        <a:gradFill flip="none" rotWithShape="1">
          <a:gsLst>
            <a:gs pos="0">
              <a:srgbClr val="EAC5EB"/>
            </a:gs>
            <a:gs pos="31000">
              <a:srgbClr val="9442A7"/>
            </a:gs>
            <a:gs pos="65000">
              <a:srgbClr val="570D5B"/>
            </a:gs>
            <a:gs pos="100000">
              <a:srgbClr val="8A2A8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</xdr:row>
      <xdr:rowOff>177800</xdr:rowOff>
    </xdr:from>
    <xdr:to>
      <xdr:col>18</xdr:col>
      <xdr:colOff>0</xdr:colOff>
      <xdr:row>6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7145DE3B-8E52-6748-9B5B-CE2BCE835AD8}"/>
            </a:ext>
          </a:extLst>
        </xdr:cNvPr>
        <xdr:cNvSpPr/>
      </xdr:nvSpPr>
      <xdr:spPr>
        <a:xfrm>
          <a:off x="1892300" y="584200"/>
          <a:ext cx="2603500" cy="228600"/>
        </a:xfrm>
        <a:prstGeom prst="rect">
          <a:avLst/>
        </a:prstGeom>
        <a:gradFill flip="none" rotWithShape="1">
          <a:gsLst>
            <a:gs pos="0">
              <a:srgbClr val="BF1B48"/>
            </a:gs>
            <a:gs pos="47000">
              <a:srgbClr val="D63F68"/>
            </a:gs>
            <a:gs pos="100000">
              <a:srgbClr val="FBAB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44</xdr:row>
      <xdr:rowOff>12700</xdr:rowOff>
    </xdr:from>
    <xdr:to>
      <xdr:col>20</xdr:col>
      <xdr:colOff>0</xdr:colOff>
      <xdr:row>45</xdr:row>
      <xdr:rowOff>12700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AA2C2D5-49DC-C74D-993E-8D084BD1D60A}"/>
            </a:ext>
          </a:extLst>
        </xdr:cNvPr>
        <xdr:cNvSpPr/>
      </xdr:nvSpPr>
      <xdr:spPr>
        <a:xfrm>
          <a:off x="1892300" y="8547100"/>
          <a:ext cx="3556000" cy="2032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31000">
              <a:srgbClr val="AC1C36"/>
            </a:gs>
            <a:gs pos="65000">
              <a:srgbClr val="D63E68"/>
            </a:gs>
            <a:gs pos="100000">
              <a:srgbClr val="F793B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20</xdr:col>
      <xdr:colOff>0</xdr:colOff>
      <xdr:row>57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92D3F95-5EBC-A746-83AE-B3E8998784A4}"/>
            </a:ext>
          </a:extLst>
        </xdr:cNvPr>
        <xdr:cNvSpPr/>
      </xdr:nvSpPr>
      <xdr:spPr>
        <a:xfrm>
          <a:off x="1892300" y="10972800"/>
          <a:ext cx="3556000" cy="203200"/>
        </a:xfrm>
        <a:prstGeom prst="rect">
          <a:avLst/>
        </a:prstGeom>
        <a:gradFill flip="none" rotWithShape="1">
          <a:gsLst>
            <a:gs pos="0">
              <a:srgbClr val="0F6B44"/>
            </a:gs>
            <a:gs pos="31000">
              <a:srgbClr val="33B26B"/>
            </a:gs>
            <a:gs pos="65000">
              <a:srgbClr val="55CB7D"/>
            </a:gs>
            <a:gs pos="100000">
              <a:srgbClr val="A9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8</xdr:row>
      <xdr:rowOff>0</xdr:rowOff>
    </xdr:from>
    <xdr:to>
      <xdr:col>18</xdr:col>
      <xdr:colOff>0</xdr:colOff>
      <xdr:row>9</xdr:row>
      <xdr:rowOff>12700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79114422-DB61-F742-9BB1-0B9E94513007}"/>
            </a:ext>
          </a:extLst>
        </xdr:cNvPr>
        <xdr:cNvSpPr/>
      </xdr:nvSpPr>
      <xdr:spPr>
        <a:xfrm>
          <a:off x="1892300" y="1219200"/>
          <a:ext cx="2603500" cy="215900"/>
        </a:xfrm>
        <a:prstGeom prst="rect">
          <a:avLst/>
        </a:prstGeom>
        <a:gradFill flip="none" rotWithShape="1">
          <a:gsLst>
            <a:gs pos="0">
              <a:srgbClr val="FC6620"/>
            </a:gs>
            <a:gs pos="47000">
              <a:srgbClr val="FEA370"/>
            </a:gs>
            <a:gs pos="100000">
              <a:srgbClr val="FAAC5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</xdr:row>
      <xdr:rowOff>25400</xdr:rowOff>
    </xdr:from>
    <xdr:to>
      <xdr:col>18</xdr:col>
      <xdr:colOff>0</xdr:colOff>
      <xdr:row>15</xdr:row>
      <xdr:rowOff>12700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41A912E-C69A-1740-A7E7-06F650F9E35C}"/>
            </a:ext>
          </a:extLst>
        </xdr:cNvPr>
        <xdr:cNvSpPr/>
      </xdr:nvSpPr>
      <xdr:spPr>
        <a:xfrm>
          <a:off x="1892300" y="2463800"/>
          <a:ext cx="2603500" cy="190500"/>
        </a:xfrm>
        <a:prstGeom prst="rect">
          <a:avLst/>
        </a:prstGeom>
        <a:gradFill flip="none" rotWithShape="1">
          <a:gsLst>
            <a:gs pos="0">
              <a:srgbClr val="B1AEB8"/>
            </a:gs>
            <a:gs pos="47000">
              <a:srgbClr val="4A4749"/>
            </a:gs>
            <a:gs pos="100000">
              <a:srgbClr val="3939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</xdr:row>
      <xdr:rowOff>165100</xdr:rowOff>
    </xdr:from>
    <xdr:to>
      <xdr:col>18</xdr:col>
      <xdr:colOff>0</xdr:colOff>
      <xdr:row>21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1A292E5-D9D4-4541-BD8B-D49751FA3880}"/>
            </a:ext>
          </a:extLst>
        </xdr:cNvPr>
        <xdr:cNvSpPr/>
      </xdr:nvSpPr>
      <xdr:spPr>
        <a:xfrm>
          <a:off x="1892300" y="3619500"/>
          <a:ext cx="2603500" cy="241300"/>
        </a:xfrm>
        <a:prstGeom prst="rect">
          <a:avLst/>
        </a:prstGeom>
        <a:gradFill flip="none" rotWithShape="1">
          <a:gsLst>
            <a:gs pos="0">
              <a:srgbClr val="F7CAB1"/>
            </a:gs>
            <a:gs pos="46000">
              <a:srgbClr val="912F25"/>
            </a:gs>
            <a:gs pos="100000">
              <a:srgbClr val="A9413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23</xdr:row>
      <xdr:rowOff>38100</xdr:rowOff>
    </xdr:from>
    <xdr:to>
      <xdr:col>18</xdr:col>
      <xdr:colOff>0</xdr:colOff>
      <xdr:row>24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91ED9F6-DF33-1B4C-B199-F5FF3FBF5A38}"/>
            </a:ext>
          </a:extLst>
        </xdr:cNvPr>
        <xdr:cNvSpPr/>
      </xdr:nvSpPr>
      <xdr:spPr>
        <a:xfrm>
          <a:off x="1892300" y="4305300"/>
          <a:ext cx="2603500" cy="165100"/>
        </a:xfrm>
        <a:prstGeom prst="rect">
          <a:avLst/>
        </a:prstGeom>
        <a:gradFill flip="none" rotWithShape="1">
          <a:gsLst>
            <a:gs pos="0">
              <a:srgbClr val="FC8A0F"/>
            </a:gs>
            <a:gs pos="47000">
              <a:srgbClr val="FDAF3C"/>
            </a:gs>
            <a:gs pos="100000">
              <a:srgbClr val="FCE9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26</xdr:row>
      <xdr:rowOff>12700</xdr:rowOff>
    </xdr:from>
    <xdr:to>
      <xdr:col>18</xdr:col>
      <xdr:colOff>0</xdr:colOff>
      <xdr:row>27</xdr:row>
      <xdr:rowOff>12700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A4AA0A0-FED2-7A48-AE80-A8DD52B5E35A}"/>
            </a:ext>
          </a:extLst>
        </xdr:cNvPr>
        <xdr:cNvSpPr/>
      </xdr:nvSpPr>
      <xdr:spPr>
        <a:xfrm>
          <a:off x="1892300" y="4889500"/>
          <a:ext cx="2603500" cy="203200"/>
        </a:xfrm>
        <a:prstGeom prst="rect">
          <a:avLst/>
        </a:prstGeom>
        <a:gradFill flip="none" rotWithShape="1">
          <a:gsLst>
            <a:gs pos="0">
              <a:srgbClr val="9EB456"/>
            </a:gs>
            <a:gs pos="47000">
              <a:srgbClr val="D8F0A8"/>
            </a:gs>
            <a:gs pos="100000">
              <a:srgbClr val="38632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32</xdr:row>
      <xdr:rowOff>0</xdr:rowOff>
    </xdr:from>
    <xdr:to>
      <xdr:col>18</xdr:col>
      <xdr:colOff>0</xdr:colOff>
      <xdr:row>33</xdr:row>
      <xdr:rowOff>12700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C20D9EFC-9B5A-7A48-96FE-BFF7C2B5A596}"/>
            </a:ext>
          </a:extLst>
        </xdr:cNvPr>
        <xdr:cNvSpPr/>
      </xdr:nvSpPr>
      <xdr:spPr>
        <a:xfrm>
          <a:off x="1892300" y="6096000"/>
          <a:ext cx="2603500" cy="215900"/>
        </a:xfrm>
        <a:prstGeom prst="rect">
          <a:avLst/>
        </a:prstGeom>
        <a:gradFill flip="none" rotWithShape="1">
          <a:gsLst>
            <a:gs pos="0">
              <a:srgbClr val="635209"/>
            </a:gs>
            <a:gs pos="47000">
              <a:srgbClr val="8A7B4E"/>
            </a:gs>
            <a:gs pos="100000">
              <a:srgbClr val="AFA87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35</xdr:row>
      <xdr:rowOff>0</xdr:rowOff>
    </xdr:from>
    <xdr:to>
      <xdr:col>18</xdr:col>
      <xdr:colOff>0</xdr:colOff>
      <xdr:row>36</xdr:row>
      <xdr:rowOff>12700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199FE6AF-F2EC-FE47-BC2F-B388FF30A510}"/>
            </a:ext>
          </a:extLst>
        </xdr:cNvPr>
        <xdr:cNvSpPr/>
      </xdr:nvSpPr>
      <xdr:spPr>
        <a:xfrm>
          <a:off x="1892300" y="6705600"/>
          <a:ext cx="2603500" cy="215900"/>
        </a:xfrm>
        <a:prstGeom prst="rect">
          <a:avLst/>
        </a:prstGeom>
        <a:gradFill flip="none" rotWithShape="1">
          <a:gsLst>
            <a:gs pos="0">
              <a:srgbClr val="B4445D"/>
            </a:gs>
            <a:gs pos="47000">
              <a:srgbClr val="FEDEDD"/>
            </a:gs>
            <a:gs pos="100000">
              <a:srgbClr val="7A253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38</xdr:row>
      <xdr:rowOff>12700</xdr:rowOff>
    </xdr:from>
    <xdr:to>
      <xdr:col>18</xdr:col>
      <xdr:colOff>0</xdr:colOff>
      <xdr:row>39</xdr:row>
      <xdr:rowOff>12700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B8E5845-93AB-F242-971D-03C779730D59}"/>
            </a:ext>
          </a:extLst>
        </xdr:cNvPr>
        <xdr:cNvSpPr/>
      </xdr:nvSpPr>
      <xdr:spPr>
        <a:xfrm>
          <a:off x="1892300" y="7327900"/>
          <a:ext cx="2603500" cy="203200"/>
        </a:xfrm>
        <a:prstGeom prst="rect">
          <a:avLst/>
        </a:prstGeom>
        <a:gradFill flip="none" rotWithShape="1">
          <a:gsLst>
            <a:gs pos="0">
              <a:srgbClr val="905231"/>
            </a:gs>
            <a:gs pos="47000">
              <a:srgbClr val="C8855A"/>
            </a:gs>
            <a:gs pos="100000">
              <a:srgbClr val="F3DE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41</xdr:row>
      <xdr:rowOff>12700</xdr:rowOff>
    </xdr:from>
    <xdr:to>
      <xdr:col>18</xdr:col>
      <xdr:colOff>0</xdr:colOff>
      <xdr:row>42</xdr:row>
      <xdr:rowOff>12700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3A723E2-B158-AB4C-B33E-27EDB9AF2F72}"/>
            </a:ext>
          </a:extLst>
        </xdr:cNvPr>
        <xdr:cNvSpPr/>
      </xdr:nvSpPr>
      <xdr:spPr>
        <a:xfrm>
          <a:off x="1892300" y="7937500"/>
          <a:ext cx="2603500" cy="203200"/>
        </a:xfrm>
        <a:prstGeom prst="rect">
          <a:avLst/>
        </a:prstGeom>
        <a:gradFill flip="none" rotWithShape="1">
          <a:gsLst>
            <a:gs pos="0">
              <a:srgbClr val="F80C01"/>
            </a:gs>
            <a:gs pos="47000">
              <a:srgbClr val="FFC2AD"/>
            </a:gs>
            <a:gs pos="100000">
              <a:srgbClr val="FE8E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46</xdr:row>
      <xdr:rowOff>190500</xdr:rowOff>
    </xdr:from>
    <xdr:to>
      <xdr:col>18</xdr:col>
      <xdr:colOff>0</xdr:colOff>
      <xdr:row>48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9CE8C6CB-4F57-1344-95D4-531ACC38600E}"/>
            </a:ext>
          </a:extLst>
        </xdr:cNvPr>
        <xdr:cNvSpPr/>
      </xdr:nvSpPr>
      <xdr:spPr>
        <a:xfrm>
          <a:off x="1892300" y="9131300"/>
          <a:ext cx="2603500" cy="215900"/>
        </a:xfrm>
        <a:prstGeom prst="rect">
          <a:avLst/>
        </a:prstGeom>
        <a:gradFill flip="none" rotWithShape="1">
          <a:gsLst>
            <a:gs pos="0">
              <a:srgbClr val="935026"/>
            </a:gs>
            <a:gs pos="47000">
              <a:srgbClr val="B26921"/>
            </a:gs>
            <a:gs pos="100000">
              <a:srgbClr val="D1883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25400</xdr:rowOff>
    </xdr:from>
    <xdr:to>
      <xdr:col>18</xdr:col>
      <xdr:colOff>0</xdr:colOff>
      <xdr:row>51</xdr:row>
      <xdr:rowOff>12700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4BE6A423-C83D-DA48-B22D-B565DBBBEFCF}"/>
            </a:ext>
          </a:extLst>
        </xdr:cNvPr>
        <xdr:cNvSpPr/>
      </xdr:nvSpPr>
      <xdr:spPr>
        <a:xfrm>
          <a:off x="1892300" y="9779000"/>
          <a:ext cx="2603500" cy="190500"/>
        </a:xfrm>
        <a:prstGeom prst="rect">
          <a:avLst/>
        </a:prstGeom>
        <a:gradFill flip="none" rotWithShape="1">
          <a:gsLst>
            <a:gs pos="0">
              <a:srgbClr val="BD1035"/>
            </a:gs>
            <a:gs pos="47000">
              <a:srgbClr val="800934"/>
            </a:gs>
            <a:gs pos="100000">
              <a:srgbClr val="66132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53</xdr:row>
      <xdr:rowOff>0</xdr:rowOff>
    </xdr:from>
    <xdr:to>
      <xdr:col>18</xdr:col>
      <xdr:colOff>0</xdr:colOff>
      <xdr:row>54</xdr:row>
      <xdr:rowOff>12700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78A8AA5F-BE60-7D46-9DAA-1D322FCB97C3}"/>
            </a:ext>
          </a:extLst>
        </xdr:cNvPr>
        <xdr:cNvSpPr/>
      </xdr:nvSpPr>
      <xdr:spPr>
        <a:xfrm>
          <a:off x="1892300" y="10363200"/>
          <a:ext cx="2603500" cy="215900"/>
        </a:xfrm>
        <a:prstGeom prst="rect">
          <a:avLst/>
        </a:prstGeom>
        <a:gradFill flip="none" rotWithShape="1">
          <a:gsLst>
            <a:gs pos="0">
              <a:srgbClr val="B4B9EA"/>
            </a:gs>
            <a:gs pos="47000">
              <a:srgbClr val="262276"/>
            </a:gs>
            <a:gs pos="100000">
              <a:srgbClr val="4F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</xdr:row>
      <xdr:rowOff>12700</xdr:rowOff>
    </xdr:from>
    <xdr:to>
      <xdr:col>18</xdr:col>
      <xdr:colOff>0</xdr:colOff>
      <xdr:row>18</xdr:row>
      <xdr:rowOff>12700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5C70C48-81AA-664B-B81B-9EC667F73642}"/>
            </a:ext>
          </a:extLst>
        </xdr:cNvPr>
        <xdr:cNvSpPr/>
      </xdr:nvSpPr>
      <xdr:spPr>
        <a:xfrm>
          <a:off x="1892300" y="3060700"/>
          <a:ext cx="2603500" cy="203200"/>
        </a:xfrm>
        <a:prstGeom prst="rect">
          <a:avLst/>
        </a:prstGeom>
        <a:gradFill flip="none" rotWithShape="1">
          <a:gsLst>
            <a:gs pos="0">
              <a:srgbClr val="CAE7F1"/>
            </a:gs>
            <a:gs pos="47000">
              <a:srgbClr val="B5C8E9"/>
            </a:gs>
            <a:gs pos="100000">
              <a:srgbClr val="6B7FC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12700</xdr:rowOff>
    </xdr:from>
    <xdr:to>
      <xdr:col>18</xdr:col>
      <xdr:colOff>0</xdr:colOff>
      <xdr:row>30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37278A3-68F2-DA48-A973-BC4B4FE73533}"/>
            </a:ext>
          </a:extLst>
        </xdr:cNvPr>
        <xdr:cNvSpPr/>
      </xdr:nvSpPr>
      <xdr:spPr>
        <a:xfrm>
          <a:off x="1892300" y="5499100"/>
          <a:ext cx="2603500" cy="190500"/>
        </a:xfrm>
        <a:prstGeom prst="rect">
          <a:avLst/>
        </a:prstGeom>
        <a:gradFill flip="none" rotWithShape="1">
          <a:gsLst>
            <a:gs pos="0">
              <a:srgbClr val="B6C7E9"/>
            </a:gs>
            <a:gs pos="47000">
              <a:srgbClr val="4E5CA7"/>
            </a:gs>
            <a:gs pos="100000">
              <a:srgbClr val="27227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177CF19E-4CA7-8246-8B7D-B6D93429E82A}"/>
            </a:ext>
          </a:extLst>
        </xdr:cNvPr>
        <xdr:cNvSpPr/>
      </xdr:nvSpPr>
      <xdr:spPr>
        <a:xfrm>
          <a:off x="1892300" y="4889500"/>
          <a:ext cx="35306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12700</xdr:rowOff>
    </xdr:from>
    <xdr:to>
      <xdr:col>30</xdr:col>
      <xdr:colOff>0</xdr:colOff>
      <xdr:row>30</xdr:row>
      <xdr:rowOff>12700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88AFEF70-5652-114C-9666-EA15064A2EA7}"/>
            </a:ext>
          </a:extLst>
        </xdr:cNvPr>
        <xdr:cNvSpPr/>
      </xdr:nvSpPr>
      <xdr:spPr>
        <a:xfrm>
          <a:off x="1892300" y="5511800"/>
          <a:ext cx="3530600" cy="2032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</xdr:row>
      <xdr:rowOff>38100</xdr:rowOff>
    </xdr:from>
    <xdr:to>
      <xdr:col>28</xdr:col>
      <xdr:colOff>0</xdr:colOff>
      <xdr:row>12</xdr:row>
      <xdr:rowOff>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96674C9-B243-9C4F-8F94-5B86282E44DB}"/>
            </a:ext>
          </a:extLst>
        </xdr:cNvPr>
        <xdr:cNvSpPr/>
      </xdr:nvSpPr>
      <xdr:spPr>
        <a:xfrm>
          <a:off x="1892300" y="1866900"/>
          <a:ext cx="2578100" cy="1651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38100</xdr:rowOff>
    </xdr:from>
    <xdr:to>
      <xdr:col>28</xdr:col>
      <xdr:colOff>0</xdr:colOff>
      <xdr:row>21</xdr:row>
      <xdr:rowOff>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68E1FE87-3EAE-4C43-BF23-3C0ACF482467}"/>
            </a:ext>
          </a:extLst>
        </xdr:cNvPr>
        <xdr:cNvSpPr/>
      </xdr:nvSpPr>
      <xdr:spPr>
        <a:xfrm>
          <a:off x="1892300" y="3695700"/>
          <a:ext cx="2578100" cy="1651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38</xdr:row>
      <xdr:rowOff>38100</xdr:rowOff>
    </xdr:from>
    <xdr:to>
      <xdr:col>28</xdr:col>
      <xdr:colOff>0</xdr:colOff>
      <xdr:row>39</xdr:row>
      <xdr:rowOff>0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1D9C32B0-CCE5-D64B-BB71-BF6F9FCD7F1C}"/>
            </a:ext>
          </a:extLst>
        </xdr:cNvPr>
        <xdr:cNvSpPr/>
      </xdr:nvSpPr>
      <xdr:spPr>
        <a:xfrm>
          <a:off x="1892300" y="7366000"/>
          <a:ext cx="2578100" cy="165100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</xdr:row>
      <xdr:rowOff>0</xdr:rowOff>
    </xdr:from>
    <xdr:to>
      <xdr:col>30</xdr:col>
      <xdr:colOff>0</xdr:colOff>
      <xdr:row>9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7202E734-C6BB-A946-B366-B38192AF2C7E}"/>
            </a:ext>
          </a:extLst>
        </xdr:cNvPr>
        <xdr:cNvSpPr/>
      </xdr:nvSpPr>
      <xdr:spPr>
        <a:xfrm>
          <a:off x="1892300" y="1219200"/>
          <a:ext cx="35306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479511A-BEE7-4D48-8240-010A5E0D3636}"/>
            </a:ext>
          </a:extLst>
        </xdr:cNvPr>
        <xdr:cNvSpPr/>
      </xdr:nvSpPr>
      <xdr:spPr>
        <a:xfrm>
          <a:off x="1892300" y="3048000"/>
          <a:ext cx="35306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32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41F86694-BB86-E64F-B272-7F0A9E393262}"/>
            </a:ext>
          </a:extLst>
        </xdr:cNvPr>
        <xdr:cNvSpPr/>
      </xdr:nvSpPr>
      <xdr:spPr>
        <a:xfrm>
          <a:off x="1892300" y="6108700"/>
          <a:ext cx="35306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35</xdr:row>
      <xdr:rowOff>0</xdr:rowOff>
    </xdr:from>
    <xdr:to>
      <xdr:col>30</xdr:col>
      <xdr:colOff>0</xdr:colOff>
      <xdr:row>36</xdr:row>
      <xdr:rowOff>0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BCB543D3-2F97-314E-8AA0-1D1D1DCDF493}"/>
            </a:ext>
          </a:extLst>
        </xdr:cNvPr>
        <xdr:cNvSpPr/>
      </xdr:nvSpPr>
      <xdr:spPr>
        <a:xfrm>
          <a:off x="1892300" y="6718300"/>
          <a:ext cx="35306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44</xdr:row>
      <xdr:rowOff>0</xdr:rowOff>
    </xdr:from>
    <xdr:to>
      <xdr:col>30</xdr:col>
      <xdr:colOff>0</xdr:colOff>
      <xdr:row>45</xdr:row>
      <xdr:rowOff>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19A2EE0C-240B-F14E-A020-67A5D60D6461}"/>
            </a:ext>
          </a:extLst>
        </xdr:cNvPr>
        <xdr:cNvSpPr/>
      </xdr:nvSpPr>
      <xdr:spPr>
        <a:xfrm>
          <a:off x="1892300" y="8547100"/>
          <a:ext cx="3530600" cy="2032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47</xdr:row>
      <xdr:rowOff>0</xdr:rowOff>
    </xdr:from>
    <xdr:to>
      <xdr:col>30</xdr:col>
      <xdr:colOff>0</xdr:colOff>
      <xdr:row>48</xdr:row>
      <xdr:rowOff>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7FD51C6-A3BB-ED42-8B2D-F764A9DD9AB1}"/>
            </a:ext>
          </a:extLst>
        </xdr:cNvPr>
        <xdr:cNvSpPr/>
      </xdr:nvSpPr>
      <xdr:spPr>
        <a:xfrm>
          <a:off x="1892300" y="9156700"/>
          <a:ext cx="35306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30</xdr:col>
      <xdr:colOff>0</xdr:colOff>
      <xdr:row>54</xdr:row>
      <xdr:rowOff>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B5672AF8-0356-4F40-8BF3-FAD4205AE105}"/>
            </a:ext>
          </a:extLst>
        </xdr:cNvPr>
        <xdr:cNvSpPr/>
      </xdr:nvSpPr>
      <xdr:spPr>
        <a:xfrm>
          <a:off x="1892300" y="10375900"/>
          <a:ext cx="353060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30</xdr:col>
      <xdr:colOff>0</xdr:colOff>
      <xdr:row>51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30B54BFF-4571-2E44-94CF-99138F37717E}"/>
            </a:ext>
          </a:extLst>
        </xdr:cNvPr>
        <xdr:cNvSpPr/>
      </xdr:nvSpPr>
      <xdr:spPr>
        <a:xfrm>
          <a:off x="1892300" y="9766300"/>
          <a:ext cx="35306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D5B93571-D51F-8545-88A7-14D2740FC9A2}"/>
            </a:ext>
          </a:extLst>
        </xdr:cNvPr>
        <xdr:cNvSpPr/>
      </xdr:nvSpPr>
      <xdr:spPr>
        <a:xfrm>
          <a:off x="1892300" y="3048000"/>
          <a:ext cx="35306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</xdr:row>
      <xdr:rowOff>38100</xdr:rowOff>
    </xdr:from>
    <xdr:to>
      <xdr:col>28</xdr:col>
      <xdr:colOff>0</xdr:colOff>
      <xdr:row>15</xdr:row>
      <xdr:rowOff>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44B85D0C-12AE-464C-8018-119436D1F0FE}"/>
            </a:ext>
          </a:extLst>
        </xdr:cNvPr>
        <xdr:cNvSpPr/>
      </xdr:nvSpPr>
      <xdr:spPr>
        <a:xfrm>
          <a:off x="1892300" y="2476500"/>
          <a:ext cx="2578100" cy="1651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23</xdr:row>
      <xdr:rowOff>38100</xdr:rowOff>
    </xdr:from>
    <xdr:to>
      <xdr:col>28</xdr:col>
      <xdr:colOff>0</xdr:colOff>
      <xdr:row>24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55C1DC08-8376-5943-86A5-98A3305F89C3}"/>
            </a:ext>
          </a:extLst>
        </xdr:cNvPr>
        <xdr:cNvSpPr/>
      </xdr:nvSpPr>
      <xdr:spPr>
        <a:xfrm>
          <a:off x="1892300" y="4305300"/>
          <a:ext cx="2578100" cy="1651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41</xdr:row>
      <xdr:rowOff>38100</xdr:rowOff>
    </xdr:from>
    <xdr:to>
      <xdr:col>28</xdr:col>
      <xdr:colOff>0</xdr:colOff>
      <xdr:row>42</xdr:row>
      <xdr:rowOff>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2E5A8893-E20A-A74C-9337-7C51B797486A}"/>
            </a:ext>
          </a:extLst>
        </xdr:cNvPr>
        <xdr:cNvSpPr/>
      </xdr:nvSpPr>
      <xdr:spPr>
        <a:xfrm>
          <a:off x="1892300" y="7975600"/>
          <a:ext cx="2578100" cy="165100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</xdr:row>
      <xdr:rowOff>0</xdr:rowOff>
    </xdr:from>
    <xdr:to>
      <xdr:col>30</xdr:col>
      <xdr:colOff>0</xdr:colOff>
      <xdr:row>9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BAF3F4A2-9BFE-9740-AC58-D1E1C12091B5}"/>
            </a:ext>
          </a:extLst>
        </xdr:cNvPr>
        <xdr:cNvSpPr/>
      </xdr:nvSpPr>
      <xdr:spPr>
        <a:xfrm>
          <a:off x="1892300" y="1219200"/>
          <a:ext cx="3530600" cy="2032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</xdr:row>
      <xdr:rowOff>0</xdr:rowOff>
    </xdr:from>
    <xdr:to>
      <xdr:col>30</xdr:col>
      <xdr:colOff>0</xdr:colOff>
      <xdr:row>12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005B979-D54E-C840-9B20-C4639A584068}"/>
            </a:ext>
          </a:extLst>
        </xdr:cNvPr>
        <xdr:cNvSpPr/>
      </xdr:nvSpPr>
      <xdr:spPr>
        <a:xfrm>
          <a:off x="1892300" y="1828800"/>
          <a:ext cx="35306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30</xdr:col>
      <xdr:colOff>0</xdr:colOff>
      <xdr:row>21</xdr:row>
      <xdr:rowOff>0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4AE4EA8-B0B4-7049-94EA-8315C4A58484}"/>
            </a:ext>
          </a:extLst>
        </xdr:cNvPr>
        <xdr:cNvSpPr/>
      </xdr:nvSpPr>
      <xdr:spPr>
        <a:xfrm>
          <a:off x="1892300" y="3657600"/>
          <a:ext cx="35306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32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603D29BA-B2C8-2142-BF26-1D26BD54EA87}"/>
            </a:ext>
          </a:extLst>
        </xdr:cNvPr>
        <xdr:cNvSpPr/>
      </xdr:nvSpPr>
      <xdr:spPr>
        <a:xfrm>
          <a:off x="1892300" y="6108700"/>
          <a:ext cx="35306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35</xdr:row>
      <xdr:rowOff>0</xdr:rowOff>
    </xdr:from>
    <xdr:to>
      <xdr:col>30</xdr:col>
      <xdr:colOff>0</xdr:colOff>
      <xdr:row>36</xdr:row>
      <xdr:rowOff>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D823292E-27E2-554C-BEFF-39B4DD27E610}"/>
            </a:ext>
          </a:extLst>
        </xdr:cNvPr>
        <xdr:cNvSpPr/>
      </xdr:nvSpPr>
      <xdr:spPr>
        <a:xfrm>
          <a:off x="1892300" y="6718300"/>
          <a:ext cx="35306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38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2D3549AF-4860-B64B-8ED7-EBC1CD3AFBFD}"/>
            </a:ext>
          </a:extLst>
        </xdr:cNvPr>
        <xdr:cNvSpPr/>
      </xdr:nvSpPr>
      <xdr:spPr>
        <a:xfrm>
          <a:off x="1892300" y="7327900"/>
          <a:ext cx="35306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44</xdr:row>
      <xdr:rowOff>12700</xdr:rowOff>
    </xdr:from>
    <xdr:to>
      <xdr:col>30</xdr:col>
      <xdr:colOff>0</xdr:colOff>
      <xdr:row>45</xdr:row>
      <xdr:rowOff>12700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997AB72-F272-8B46-B9FF-F75CE379A902}"/>
            </a:ext>
          </a:extLst>
        </xdr:cNvPr>
        <xdr:cNvSpPr/>
      </xdr:nvSpPr>
      <xdr:spPr>
        <a:xfrm>
          <a:off x="1892300" y="8559800"/>
          <a:ext cx="3530600" cy="2032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47</xdr:row>
      <xdr:rowOff>0</xdr:rowOff>
    </xdr:from>
    <xdr:to>
      <xdr:col>30</xdr:col>
      <xdr:colOff>0</xdr:colOff>
      <xdr:row>48</xdr:row>
      <xdr:rowOff>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A7CF634E-5DE9-3142-B3A7-AC4E3650CDD4}"/>
            </a:ext>
          </a:extLst>
        </xdr:cNvPr>
        <xdr:cNvSpPr/>
      </xdr:nvSpPr>
      <xdr:spPr>
        <a:xfrm>
          <a:off x="1892300" y="9156700"/>
          <a:ext cx="3530600" cy="2032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30</xdr:col>
      <xdr:colOff>0</xdr:colOff>
      <xdr:row>51</xdr:row>
      <xdr:rowOff>0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76953FBB-BBFA-664D-A2EC-E95CD8CC379B}"/>
            </a:ext>
          </a:extLst>
        </xdr:cNvPr>
        <xdr:cNvSpPr/>
      </xdr:nvSpPr>
      <xdr:spPr>
        <a:xfrm>
          <a:off x="1892300" y="9766300"/>
          <a:ext cx="35306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30</xdr:col>
      <xdr:colOff>0</xdr:colOff>
      <xdr:row>57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7B898E12-94F4-CD49-95CD-D37FCBD66987}"/>
            </a:ext>
          </a:extLst>
        </xdr:cNvPr>
        <xdr:cNvSpPr/>
      </xdr:nvSpPr>
      <xdr:spPr>
        <a:xfrm>
          <a:off x="1892300" y="10985500"/>
          <a:ext cx="353060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53</xdr:row>
      <xdr:rowOff>0</xdr:rowOff>
    </xdr:from>
    <xdr:to>
      <xdr:col>30</xdr:col>
      <xdr:colOff>0</xdr:colOff>
      <xdr:row>54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7B7440EB-90D3-C842-B90F-BBF56F8B1A43}"/>
            </a:ext>
          </a:extLst>
        </xdr:cNvPr>
        <xdr:cNvSpPr/>
      </xdr:nvSpPr>
      <xdr:spPr>
        <a:xfrm>
          <a:off x="1892300" y="10375900"/>
          <a:ext cx="35306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</xdr:row>
      <xdr:rowOff>12700</xdr:rowOff>
    </xdr:from>
    <xdr:to>
      <xdr:col>30</xdr:col>
      <xdr:colOff>0</xdr:colOff>
      <xdr:row>6</xdr:row>
      <xdr:rowOff>0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CFF61FD2-35DB-D74F-979D-5C90F4CC3266}"/>
            </a:ext>
          </a:extLst>
        </xdr:cNvPr>
        <xdr:cNvSpPr/>
      </xdr:nvSpPr>
      <xdr:spPr>
        <a:xfrm>
          <a:off x="1892300" y="622300"/>
          <a:ext cx="3530600" cy="1905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80</xdr:row>
      <xdr:rowOff>0</xdr:rowOff>
    </xdr:from>
    <xdr:to>
      <xdr:col>30</xdr:col>
      <xdr:colOff>0</xdr:colOff>
      <xdr:row>81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EB3F8646-3314-8945-A01E-BCB89236B84A}"/>
            </a:ext>
          </a:extLst>
        </xdr:cNvPr>
        <xdr:cNvSpPr/>
      </xdr:nvSpPr>
      <xdr:spPr>
        <a:xfrm>
          <a:off x="1892300" y="4889500"/>
          <a:ext cx="3530600" cy="203200"/>
        </a:xfrm>
        <a:prstGeom prst="rect">
          <a:avLst/>
        </a:prstGeom>
        <a:gradFill flip="none" rotWithShape="1">
          <a:gsLst>
            <a:gs pos="0">
              <a:srgbClr val="43B59E"/>
            </a:gs>
            <a:gs pos="31000">
              <a:srgbClr val="62B32F"/>
            </a:gs>
            <a:gs pos="64000">
              <a:srgbClr val="9CC72C"/>
            </a:gs>
            <a:gs pos="100000">
              <a:srgbClr val="838A2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83</xdr:row>
      <xdr:rowOff>12700</xdr:rowOff>
    </xdr:from>
    <xdr:to>
      <xdr:col>30</xdr:col>
      <xdr:colOff>0</xdr:colOff>
      <xdr:row>84</xdr:row>
      <xdr:rowOff>12700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45BC1B79-4326-3545-B2AA-206D99E80B9B}"/>
            </a:ext>
          </a:extLst>
        </xdr:cNvPr>
        <xdr:cNvSpPr/>
      </xdr:nvSpPr>
      <xdr:spPr>
        <a:xfrm>
          <a:off x="1892300" y="5511800"/>
          <a:ext cx="3530600" cy="203200"/>
        </a:xfrm>
        <a:prstGeom prst="rect">
          <a:avLst/>
        </a:prstGeom>
        <a:gradFill flip="none" rotWithShape="1">
          <a:gsLst>
            <a:gs pos="0">
              <a:srgbClr val="A5E4D5"/>
            </a:gs>
            <a:gs pos="31000">
              <a:srgbClr val="BAE4B6"/>
            </a:gs>
            <a:gs pos="65000">
              <a:srgbClr val="D7EFA8"/>
            </a:gs>
            <a:gs pos="100000">
              <a:srgbClr val="E1F4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65</xdr:row>
      <xdr:rowOff>38100</xdr:rowOff>
    </xdr:from>
    <xdr:to>
      <xdr:col>28</xdr:col>
      <xdr:colOff>0</xdr:colOff>
      <xdr:row>66</xdr:row>
      <xdr:rowOff>0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B56B646C-8830-D240-8309-EC922FBC1009}"/>
            </a:ext>
          </a:extLst>
        </xdr:cNvPr>
        <xdr:cNvSpPr/>
      </xdr:nvSpPr>
      <xdr:spPr>
        <a:xfrm>
          <a:off x="1892300" y="1866900"/>
          <a:ext cx="2578100" cy="1651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38100</xdr:rowOff>
    </xdr:from>
    <xdr:to>
      <xdr:col>28</xdr:col>
      <xdr:colOff>0</xdr:colOff>
      <xdr:row>75</xdr:row>
      <xdr:rowOff>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FA3484D-359E-A240-8338-F028F577DE0C}"/>
            </a:ext>
          </a:extLst>
        </xdr:cNvPr>
        <xdr:cNvSpPr/>
      </xdr:nvSpPr>
      <xdr:spPr>
        <a:xfrm>
          <a:off x="1892300" y="3695700"/>
          <a:ext cx="2578100" cy="1651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38100</xdr:rowOff>
    </xdr:from>
    <xdr:to>
      <xdr:col>28</xdr:col>
      <xdr:colOff>0</xdr:colOff>
      <xdr:row>93</xdr:row>
      <xdr:rowOff>0</xdr:rowOff>
    </xdr:to>
    <xdr:sp macro="" textlink="">
      <xdr:nvSpPr>
        <xdr:cNvPr id="115" name="Rectangle 114">
          <a:extLst>
            <a:ext uri="{FF2B5EF4-FFF2-40B4-BE49-F238E27FC236}">
              <a16:creationId xmlns:a16="http://schemas.microsoft.com/office/drawing/2014/main" id="{0811F7F9-5B07-0642-9CF3-591673FF7DD9}"/>
            </a:ext>
          </a:extLst>
        </xdr:cNvPr>
        <xdr:cNvSpPr/>
      </xdr:nvSpPr>
      <xdr:spPr>
        <a:xfrm>
          <a:off x="1892300" y="7366000"/>
          <a:ext cx="2578100" cy="165100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62</xdr:row>
      <xdr:rowOff>0</xdr:rowOff>
    </xdr:from>
    <xdr:to>
      <xdr:col>30</xdr:col>
      <xdr:colOff>0</xdr:colOff>
      <xdr:row>63</xdr:row>
      <xdr:rowOff>0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3D82EAC5-FDFF-E940-A64F-3E7DFA65F1EE}"/>
            </a:ext>
          </a:extLst>
        </xdr:cNvPr>
        <xdr:cNvSpPr/>
      </xdr:nvSpPr>
      <xdr:spPr>
        <a:xfrm>
          <a:off x="1892300" y="1219200"/>
          <a:ext cx="35306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71</xdr:row>
      <xdr:rowOff>0</xdr:rowOff>
    </xdr:from>
    <xdr:to>
      <xdr:col>30</xdr:col>
      <xdr:colOff>0</xdr:colOff>
      <xdr:row>72</xdr:row>
      <xdr:rowOff>0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CE64D935-ED1B-E344-94B2-23F947FB5873}"/>
            </a:ext>
          </a:extLst>
        </xdr:cNvPr>
        <xdr:cNvSpPr/>
      </xdr:nvSpPr>
      <xdr:spPr>
        <a:xfrm>
          <a:off x="1892300" y="3048000"/>
          <a:ext cx="35306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30</xdr:col>
      <xdr:colOff>0</xdr:colOff>
      <xdr:row>87</xdr:row>
      <xdr:rowOff>0</xdr:rowOff>
    </xdr:to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5CE631B8-08FB-D341-A7FA-A7FEE8059B6F}"/>
            </a:ext>
          </a:extLst>
        </xdr:cNvPr>
        <xdr:cNvSpPr/>
      </xdr:nvSpPr>
      <xdr:spPr>
        <a:xfrm>
          <a:off x="1892300" y="6108700"/>
          <a:ext cx="35306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89</xdr:row>
      <xdr:rowOff>0</xdr:rowOff>
    </xdr:from>
    <xdr:to>
      <xdr:col>30</xdr:col>
      <xdr:colOff>0</xdr:colOff>
      <xdr:row>90</xdr:row>
      <xdr:rowOff>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6E284B9D-50C9-9E40-B099-1B64BBEEDE95}"/>
            </a:ext>
          </a:extLst>
        </xdr:cNvPr>
        <xdr:cNvSpPr/>
      </xdr:nvSpPr>
      <xdr:spPr>
        <a:xfrm>
          <a:off x="1892300" y="6718300"/>
          <a:ext cx="35306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98</xdr:row>
      <xdr:rowOff>0</xdr:rowOff>
    </xdr:from>
    <xdr:to>
      <xdr:col>30</xdr:col>
      <xdr:colOff>0</xdr:colOff>
      <xdr:row>99</xdr:row>
      <xdr:rowOff>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FF2A6312-2750-4942-9657-41CED78826F4}"/>
            </a:ext>
          </a:extLst>
        </xdr:cNvPr>
        <xdr:cNvSpPr/>
      </xdr:nvSpPr>
      <xdr:spPr>
        <a:xfrm>
          <a:off x="1892300" y="8547100"/>
          <a:ext cx="3530600" cy="2032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101</xdr:row>
      <xdr:rowOff>0</xdr:rowOff>
    </xdr:from>
    <xdr:to>
      <xdr:col>30</xdr:col>
      <xdr:colOff>0</xdr:colOff>
      <xdr:row>102</xdr:row>
      <xdr:rowOff>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BA49FB65-3253-9648-BEDD-7CD618ABF095}"/>
            </a:ext>
          </a:extLst>
        </xdr:cNvPr>
        <xdr:cNvSpPr/>
      </xdr:nvSpPr>
      <xdr:spPr>
        <a:xfrm>
          <a:off x="1892300" y="9156700"/>
          <a:ext cx="35306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30</xdr:col>
      <xdr:colOff>0</xdr:colOff>
      <xdr:row>108</xdr:row>
      <xdr:rowOff>0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3BF48276-597F-C14D-987D-EE41AB7C8321}"/>
            </a:ext>
          </a:extLst>
        </xdr:cNvPr>
        <xdr:cNvSpPr/>
      </xdr:nvSpPr>
      <xdr:spPr>
        <a:xfrm>
          <a:off x="1892300" y="10375900"/>
          <a:ext cx="353060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104</xdr:row>
      <xdr:rowOff>0</xdr:rowOff>
    </xdr:from>
    <xdr:to>
      <xdr:col>30</xdr:col>
      <xdr:colOff>0</xdr:colOff>
      <xdr:row>105</xdr:row>
      <xdr:rowOff>0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5807F4B6-6C40-8C4E-94CE-D0BD6E39C8E4}"/>
            </a:ext>
          </a:extLst>
        </xdr:cNvPr>
        <xdr:cNvSpPr/>
      </xdr:nvSpPr>
      <xdr:spPr>
        <a:xfrm>
          <a:off x="1892300" y="9766300"/>
          <a:ext cx="35306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71</xdr:row>
      <xdr:rowOff>0</xdr:rowOff>
    </xdr:from>
    <xdr:to>
      <xdr:col>30</xdr:col>
      <xdr:colOff>0</xdr:colOff>
      <xdr:row>72</xdr:row>
      <xdr:rowOff>0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F883C13-D177-F74B-BD49-5417D62ACD53}"/>
            </a:ext>
          </a:extLst>
        </xdr:cNvPr>
        <xdr:cNvSpPr/>
      </xdr:nvSpPr>
      <xdr:spPr>
        <a:xfrm>
          <a:off x="1892300" y="3048000"/>
          <a:ext cx="3530600" cy="203200"/>
        </a:xfrm>
        <a:prstGeom prst="rect">
          <a:avLst/>
        </a:prstGeom>
        <a:gradFill flip="none" rotWithShape="1">
          <a:gsLst>
            <a:gs pos="0">
              <a:srgbClr val="667584"/>
            </a:gs>
            <a:gs pos="31000">
              <a:srgbClr val="54ACAB"/>
            </a:gs>
            <a:gs pos="65000">
              <a:srgbClr val="2C8D98"/>
            </a:gs>
            <a:gs pos="100000">
              <a:srgbClr val="43B59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68</xdr:row>
      <xdr:rowOff>38100</xdr:rowOff>
    </xdr:from>
    <xdr:to>
      <xdr:col>28</xdr:col>
      <xdr:colOff>0</xdr:colOff>
      <xdr:row>69</xdr:row>
      <xdr:rowOff>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7F0A611F-BEB0-244E-A744-6782951C87AF}"/>
            </a:ext>
          </a:extLst>
        </xdr:cNvPr>
        <xdr:cNvSpPr/>
      </xdr:nvSpPr>
      <xdr:spPr>
        <a:xfrm>
          <a:off x="1892300" y="2476500"/>
          <a:ext cx="2578100" cy="165100"/>
        </a:xfrm>
        <a:prstGeom prst="rect">
          <a:avLst/>
        </a:prstGeom>
        <a:gradFill flip="none" rotWithShape="1">
          <a:gsLst>
            <a:gs pos="0">
              <a:srgbClr val="146A76"/>
            </a:gs>
            <a:gs pos="47000">
              <a:srgbClr val="2C8D98"/>
            </a:gs>
            <a:gs pos="100000">
              <a:srgbClr val="52ADAB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77</xdr:row>
      <xdr:rowOff>38100</xdr:rowOff>
    </xdr:from>
    <xdr:to>
      <xdr:col>28</xdr:col>
      <xdr:colOff>0</xdr:colOff>
      <xdr:row>78</xdr:row>
      <xdr:rowOff>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B48CCE3B-F229-B648-A4C4-3F36EFCF74C0}"/>
            </a:ext>
          </a:extLst>
        </xdr:cNvPr>
        <xdr:cNvSpPr/>
      </xdr:nvSpPr>
      <xdr:spPr>
        <a:xfrm>
          <a:off x="1892300" y="4305300"/>
          <a:ext cx="2578100" cy="165100"/>
        </a:xfrm>
        <a:prstGeom prst="rect">
          <a:avLst/>
        </a:prstGeom>
        <a:gradFill flip="none" rotWithShape="1">
          <a:gsLst>
            <a:gs pos="0">
              <a:srgbClr val="3A553C"/>
            </a:gs>
            <a:gs pos="46000">
              <a:srgbClr val="436B45"/>
            </a:gs>
            <a:gs pos="100000">
              <a:srgbClr val="618C5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95</xdr:row>
      <xdr:rowOff>38100</xdr:rowOff>
    </xdr:from>
    <xdr:to>
      <xdr:col>28</xdr:col>
      <xdr:colOff>0</xdr:colOff>
      <xdr:row>96</xdr:row>
      <xdr:rowOff>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7BE091F3-0D5E-9848-A0F4-BA0C0B0A4B7A}"/>
            </a:ext>
          </a:extLst>
        </xdr:cNvPr>
        <xdr:cNvSpPr/>
      </xdr:nvSpPr>
      <xdr:spPr>
        <a:xfrm>
          <a:off x="1892300" y="7975600"/>
          <a:ext cx="2578100" cy="165100"/>
        </a:xfrm>
        <a:prstGeom prst="rect">
          <a:avLst/>
        </a:prstGeom>
        <a:gradFill flip="none" rotWithShape="1">
          <a:gsLst>
            <a:gs pos="0">
              <a:srgbClr val="FCCE2E"/>
            </a:gs>
            <a:gs pos="47000">
              <a:srgbClr val="FBFA99"/>
            </a:gs>
            <a:gs pos="100000">
              <a:srgbClr val="FEF5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62</xdr:row>
      <xdr:rowOff>0</xdr:rowOff>
    </xdr:from>
    <xdr:to>
      <xdr:col>30</xdr:col>
      <xdr:colOff>0</xdr:colOff>
      <xdr:row>63</xdr:row>
      <xdr:rowOff>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E468B9BE-99A8-8B48-BB58-5FA18E48E8A2}"/>
            </a:ext>
          </a:extLst>
        </xdr:cNvPr>
        <xdr:cNvSpPr/>
      </xdr:nvSpPr>
      <xdr:spPr>
        <a:xfrm>
          <a:off x="1892300" y="1219200"/>
          <a:ext cx="3530600" cy="203200"/>
        </a:xfrm>
        <a:prstGeom prst="rect">
          <a:avLst/>
        </a:prstGeom>
        <a:gradFill flip="none" rotWithShape="1">
          <a:gsLst>
            <a:gs pos="0">
              <a:srgbClr val="B1ADB6"/>
            </a:gs>
            <a:gs pos="31000">
              <a:srgbClr val="B8B9BE"/>
            </a:gs>
            <a:gs pos="65000">
              <a:srgbClr val="D2D0D1"/>
            </a:gs>
            <a:gs pos="100000">
              <a:srgbClr val="D2D2C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65</xdr:row>
      <xdr:rowOff>0</xdr:rowOff>
    </xdr:from>
    <xdr:to>
      <xdr:col>30</xdr:col>
      <xdr:colOff>0</xdr:colOff>
      <xdr:row>66</xdr:row>
      <xdr:rowOff>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E1F84B57-B784-4E40-BB47-425CFA33F6EE}"/>
            </a:ext>
          </a:extLst>
        </xdr:cNvPr>
        <xdr:cNvSpPr/>
      </xdr:nvSpPr>
      <xdr:spPr>
        <a:xfrm>
          <a:off x="1892300" y="1828800"/>
          <a:ext cx="3530600" cy="203200"/>
        </a:xfrm>
        <a:prstGeom prst="rect">
          <a:avLst/>
        </a:prstGeom>
        <a:gradFill flip="none" rotWithShape="1">
          <a:gsLst>
            <a:gs pos="0">
              <a:srgbClr val="B1BDEB"/>
            </a:gs>
            <a:gs pos="31000">
              <a:srgbClr val="4D89A2"/>
            </a:gs>
            <a:gs pos="65000">
              <a:srgbClr val="CDE9EA"/>
            </a:gs>
            <a:gs pos="100000">
              <a:srgbClr val="B2D0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74</xdr:row>
      <xdr:rowOff>0</xdr:rowOff>
    </xdr:from>
    <xdr:to>
      <xdr:col>30</xdr:col>
      <xdr:colOff>0</xdr:colOff>
      <xdr:row>75</xdr:row>
      <xdr:rowOff>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61E655-5A09-9D46-8FC2-3D94F009A010}"/>
            </a:ext>
          </a:extLst>
        </xdr:cNvPr>
        <xdr:cNvSpPr/>
      </xdr:nvSpPr>
      <xdr:spPr>
        <a:xfrm>
          <a:off x="1892300" y="3657600"/>
          <a:ext cx="3530600" cy="203200"/>
        </a:xfrm>
        <a:prstGeom prst="rect">
          <a:avLst/>
        </a:prstGeom>
        <a:gradFill flip="none" rotWithShape="1">
          <a:gsLst>
            <a:gs pos="0">
              <a:srgbClr val="CFE9EA"/>
            </a:gs>
            <a:gs pos="30000">
              <a:srgbClr val="08B394"/>
            </a:gs>
            <a:gs pos="64000">
              <a:srgbClr val="A6E4D5"/>
            </a:gs>
            <a:gs pos="100000">
              <a:srgbClr val="A8EB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30</xdr:col>
      <xdr:colOff>0</xdr:colOff>
      <xdr:row>87</xdr:row>
      <xdr:rowOff>0</xdr:rowOff>
    </xdr:to>
    <xdr:sp macro="" textlink="">
      <xdr:nvSpPr>
        <xdr:cNvPr id="131" name="Rectangle 130">
          <a:extLst>
            <a:ext uri="{FF2B5EF4-FFF2-40B4-BE49-F238E27FC236}">
              <a16:creationId xmlns:a16="http://schemas.microsoft.com/office/drawing/2014/main" id="{85963FB3-8ABB-9444-B12F-B404E4090324}"/>
            </a:ext>
          </a:extLst>
        </xdr:cNvPr>
        <xdr:cNvSpPr/>
      </xdr:nvSpPr>
      <xdr:spPr>
        <a:xfrm>
          <a:off x="1892300" y="6108700"/>
          <a:ext cx="3530600" cy="203200"/>
        </a:xfrm>
        <a:prstGeom prst="rect">
          <a:avLst/>
        </a:prstGeom>
        <a:gradFill flip="none" rotWithShape="1">
          <a:gsLst>
            <a:gs pos="0">
              <a:srgbClr val="627773"/>
            </a:gs>
            <a:gs pos="31000">
              <a:srgbClr val="999D75"/>
            </a:gs>
            <a:gs pos="65000">
              <a:srgbClr val="908E85"/>
            </a:gs>
            <a:gs pos="100000">
              <a:srgbClr val="B79E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89</xdr:row>
      <xdr:rowOff>0</xdr:rowOff>
    </xdr:from>
    <xdr:to>
      <xdr:col>30</xdr:col>
      <xdr:colOff>0</xdr:colOff>
      <xdr:row>90</xdr:row>
      <xdr:rowOff>0</xdr:rowOff>
    </xdr:to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81BA9B2-E8E2-5E44-BADB-5CE941FEBA0F}"/>
            </a:ext>
          </a:extLst>
        </xdr:cNvPr>
        <xdr:cNvSpPr/>
      </xdr:nvSpPr>
      <xdr:spPr>
        <a:xfrm>
          <a:off x="1892300" y="6718300"/>
          <a:ext cx="3530600" cy="203200"/>
        </a:xfrm>
        <a:prstGeom prst="rect">
          <a:avLst/>
        </a:prstGeom>
        <a:gradFill flip="none" rotWithShape="1">
          <a:gsLst>
            <a:gs pos="0">
              <a:srgbClr val="EBBC53"/>
            </a:gs>
            <a:gs pos="31000">
              <a:srgbClr val="AEC138"/>
            </a:gs>
            <a:gs pos="65000">
              <a:srgbClr val="CDC859"/>
            </a:gs>
            <a:gs pos="100000">
              <a:srgbClr val="A78A4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30</xdr:col>
      <xdr:colOff>0</xdr:colOff>
      <xdr:row>93</xdr:row>
      <xdr:rowOff>0</xdr:rowOff>
    </xdr:to>
    <xdr:sp macro="" textlink="">
      <xdr:nvSpPr>
        <xdr:cNvPr id="133" name="Rectangle 132">
          <a:extLst>
            <a:ext uri="{FF2B5EF4-FFF2-40B4-BE49-F238E27FC236}">
              <a16:creationId xmlns:a16="http://schemas.microsoft.com/office/drawing/2014/main" id="{46B596C6-461D-654A-99C9-ECA6B1E40017}"/>
            </a:ext>
          </a:extLst>
        </xdr:cNvPr>
        <xdr:cNvSpPr/>
      </xdr:nvSpPr>
      <xdr:spPr>
        <a:xfrm>
          <a:off x="1892300" y="7327900"/>
          <a:ext cx="3530600" cy="203200"/>
        </a:xfrm>
        <a:prstGeom prst="rect">
          <a:avLst/>
        </a:prstGeom>
        <a:gradFill flip="none" rotWithShape="1">
          <a:gsLst>
            <a:gs pos="0">
              <a:srgbClr val="DBA53D"/>
            </a:gs>
            <a:gs pos="31000">
              <a:srgbClr val="EBBB52"/>
            </a:gs>
            <a:gs pos="65000">
              <a:srgbClr val="F8D269"/>
            </a:gs>
            <a:gs pos="100000">
              <a:srgbClr val="D2B46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98</xdr:row>
      <xdr:rowOff>12700</xdr:rowOff>
    </xdr:from>
    <xdr:to>
      <xdr:col>30</xdr:col>
      <xdr:colOff>0</xdr:colOff>
      <xdr:row>99</xdr:row>
      <xdr:rowOff>12700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7F0DE1CE-D6EC-1E40-9B12-182A7C24E623}"/>
            </a:ext>
          </a:extLst>
        </xdr:cNvPr>
        <xdr:cNvSpPr/>
      </xdr:nvSpPr>
      <xdr:spPr>
        <a:xfrm>
          <a:off x="1892300" y="8559800"/>
          <a:ext cx="3530600" cy="203200"/>
        </a:xfrm>
        <a:prstGeom prst="rect">
          <a:avLst/>
        </a:prstGeom>
        <a:gradFill flip="none" rotWithShape="1">
          <a:gsLst>
            <a:gs pos="0">
              <a:srgbClr val="FEF6CE"/>
            </a:gs>
            <a:gs pos="31000">
              <a:srgbClr val="FFE78D"/>
            </a:gs>
            <a:gs pos="65000">
              <a:srgbClr val="FFEBA5"/>
            </a:gs>
            <a:gs pos="100000">
              <a:srgbClr val="E2F57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101</xdr:row>
      <xdr:rowOff>0</xdr:rowOff>
    </xdr:from>
    <xdr:to>
      <xdr:col>30</xdr:col>
      <xdr:colOff>0</xdr:colOff>
      <xdr:row>102</xdr:row>
      <xdr:rowOff>0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50F25B52-B533-F94A-8519-C55764E11A4C}"/>
            </a:ext>
          </a:extLst>
        </xdr:cNvPr>
        <xdr:cNvSpPr/>
      </xdr:nvSpPr>
      <xdr:spPr>
        <a:xfrm>
          <a:off x="1892300" y="9156700"/>
          <a:ext cx="3530600" cy="203200"/>
        </a:xfrm>
        <a:prstGeom prst="rect">
          <a:avLst/>
        </a:prstGeom>
        <a:gradFill flip="none" rotWithShape="1">
          <a:gsLst>
            <a:gs pos="0">
              <a:srgbClr val="FDBE8E"/>
            </a:gs>
            <a:gs pos="31000">
              <a:srgbClr val="FEDFA0"/>
            </a:gs>
            <a:gs pos="65000">
              <a:srgbClr val="FEEBA5"/>
            </a:gs>
            <a:gs pos="100000">
              <a:srgbClr val="FEF6C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104</xdr:row>
      <xdr:rowOff>0</xdr:rowOff>
    </xdr:from>
    <xdr:to>
      <xdr:col>30</xdr:col>
      <xdr:colOff>0</xdr:colOff>
      <xdr:row>105</xdr:row>
      <xdr:rowOff>0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10D3C35E-007F-FB40-8560-D7EDFE0DC8EC}"/>
            </a:ext>
          </a:extLst>
        </xdr:cNvPr>
        <xdr:cNvSpPr/>
      </xdr:nvSpPr>
      <xdr:spPr>
        <a:xfrm>
          <a:off x="1892300" y="9766300"/>
          <a:ext cx="3530600" cy="203200"/>
        </a:xfrm>
        <a:prstGeom prst="rect">
          <a:avLst/>
        </a:prstGeom>
        <a:gradFill flip="none" rotWithShape="1">
          <a:gsLst>
            <a:gs pos="0">
              <a:srgbClr val="FEDFA0"/>
            </a:gs>
            <a:gs pos="31000">
              <a:srgbClr val="FCAE99"/>
            </a:gs>
            <a:gs pos="65000">
              <a:srgbClr val="FFA26F"/>
            </a:gs>
            <a:gs pos="100000">
              <a:srgbClr val="FDD76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110</xdr:row>
      <xdr:rowOff>0</xdr:rowOff>
    </xdr:from>
    <xdr:to>
      <xdr:col>30</xdr:col>
      <xdr:colOff>0</xdr:colOff>
      <xdr:row>111</xdr:row>
      <xdr:rowOff>0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3AC5E2FB-8330-7D41-805F-57B2BE25DE9A}"/>
            </a:ext>
          </a:extLst>
        </xdr:cNvPr>
        <xdr:cNvSpPr/>
      </xdr:nvSpPr>
      <xdr:spPr>
        <a:xfrm>
          <a:off x="1892300" y="10985500"/>
          <a:ext cx="3530600" cy="203200"/>
        </a:xfrm>
        <a:prstGeom prst="rect">
          <a:avLst/>
        </a:prstGeom>
        <a:gradFill flip="none" rotWithShape="1">
          <a:gsLst>
            <a:gs pos="0">
              <a:srgbClr val="FA8855"/>
            </a:gs>
            <a:gs pos="31000">
              <a:srgbClr val="ED625A"/>
            </a:gs>
            <a:gs pos="65000">
              <a:srgbClr val="F88371"/>
            </a:gs>
            <a:gs pos="100000">
              <a:srgbClr val="FDBE8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30</xdr:col>
      <xdr:colOff>0</xdr:colOff>
      <xdr:row>108</xdr:row>
      <xdr:rowOff>0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B2B10AB-71B6-2C40-8D16-5D6825B21413}"/>
            </a:ext>
          </a:extLst>
        </xdr:cNvPr>
        <xdr:cNvSpPr/>
      </xdr:nvSpPr>
      <xdr:spPr>
        <a:xfrm>
          <a:off x="1892300" y="10375900"/>
          <a:ext cx="3530600" cy="203200"/>
        </a:xfrm>
        <a:prstGeom prst="rect">
          <a:avLst/>
        </a:prstGeom>
        <a:gradFill flip="none" rotWithShape="1">
          <a:gsLst>
            <a:gs pos="0">
              <a:srgbClr val="FFA0AE"/>
            </a:gs>
            <a:gs pos="31000">
              <a:srgbClr val="FD8D77"/>
            </a:gs>
            <a:gs pos="65000">
              <a:srgbClr val="FDAE99"/>
            </a:gs>
            <a:gs pos="100000">
              <a:srgbClr val="FFC2AD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59</xdr:row>
      <xdr:rowOff>12700</xdr:rowOff>
    </xdr:from>
    <xdr:to>
      <xdr:col>30</xdr:col>
      <xdr:colOff>0</xdr:colOff>
      <xdr:row>60</xdr:row>
      <xdr:rowOff>0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5812A471-0499-4A47-A692-9797D402E7B1}"/>
            </a:ext>
          </a:extLst>
        </xdr:cNvPr>
        <xdr:cNvSpPr/>
      </xdr:nvSpPr>
      <xdr:spPr>
        <a:xfrm>
          <a:off x="1892300" y="622300"/>
          <a:ext cx="3530600" cy="190500"/>
        </a:xfrm>
        <a:prstGeom prst="rect">
          <a:avLst/>
        </a:prstGeom>
        <a:gradFill flip="none" rotWithShape="1">
          <a:gsLst>
            <a:gs pos="0">
              <a:srgbClr val="CBE7F0"/>
            </a:gs>
            <a:gs pos="31000">
              <a:srgbClr val="CFCDCF"/>
            </a:gs>
            <a:gs pos="65000">
              <a:srgbClr val="B8B9BE"/>
            </a:gs>
            <a:gs pos="100000">
              <a:srgbClr val="BBB5D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11</xdr:row>
      <xdr:rowOff>0</xdr:rowOff>
    </xdr:from>
    <xdr:to>
      <xdr:col>40</xdr:col>
      <xdr:colOff>0</xdr:colOff>
      <xdr:row>12</xdr:row>
      <xdr:rowOff>0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D2DEC043-2B0E-E247-8743-FC1A39E6991D}"/>
            </a:ext>
          </a:extLst>
        </xdr:cNvPr>
        <xdr:cNvSpPr/>
      </xdr:nvSpPr>
      <xdr:spPr>
        <a:xfrm>
          <a:off x="1892300" y="1828800"/>
          <a:ext cx="3530600" cy="203200"/>
        </a:xfrm>
        <a:prstGeom prst="rect">
          <a:avLst/>
        </a:prstGeom>
        <a:gradFill flip="none" rotWithShape="1">
          <a:gsLst>
            <a:gs pos="0">
              <a:srgbClr val="4F3F3A"/>
            </a:gs>
            <a:gs pos="31000">
              <a:srgbClr val="423013"/>
            </a:gs>
            <a:gs pos="64000">
              <a:srgbClr val="35210E"/>
            </a:gs>
            <a:gs pos="100000">
              <a:srgbClr val="38393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14</xdr:row>
      <xdr:rowOff>12700</xdr:rowOff>
    </xdr:from>
    <xdr:to>
      <xdr:col>40</xdr:col>
      <xdr:colOff>0</xdr:colOff>
      <xdr:row>15</xdr:row>
      <xdr:rowOff>12700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2B523705-0123-9644-804D-E44707615310}"/>
            </a:ext>
          </a:extLst>
        </xdr:cNvPr>
        <xdr:cNvSpPr/>
      </xdr:nvSpPr>
      <xdr:spPr>
        <a:xfrm>
          <a:off x="1892300" y="2451100"/>
          <a:ext cx="3530600" cy="203200"/>
        </a:xfrm>
        <a:prstGeom prst="rect">
          <a:avLst/>
        </a:prstGeom>
        <a:gradFill flip="none" rotWithShape="1">
          <a:gsLst>
            <a:gs pos="0">
              <a:srgbClr val="A6A69E"/>
            </a:gs>
            <a:gs pos="31000">
              <a:srgbClr val="F0E6D8"/>
            </a:gs>
            <a:gs pos="64000">
              <a:srgbClr val="A4C1DE"/>
            </a:gs>
            <a:gs pos="100000">
              <a:srgbClr val="D5E3E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0</xdr:colOff>
      <xdr:row>18</xdr:row>
      <xdr:rowOff>0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B58DC67E-1037-1347-BB79-9B43325542C1}"/>
            </a:ext>
          </a:extLst>
        </xdr:cNvPr>
        <xdr:cNvSpPr/>
      </xdr:nvSpPr>
      <xdr:spPr>
        <a:xfrm>
          <a:off x="1892300" y="3048000"/>
          <a:ext cx="3530600" cy="203200"/>
        </a:xfrm>
        <a:prstGeom prst="rect">
          <a:avLst/>
        </a:prstGeom>
        <a:gradFill flip="none" rotWithShape="1">
          <a:gsLst>
            <a:gs pos="0">
              <a:srgbClr val="2AA2DF"/>
            </a:gs>
            <a:gs pos="31000">
              <a:srgbClr val="217EA0"/>
            </a:gs>
            <a:gs pos="64000">
              <a:srgbClr val="4AA8EB"/>
            </a:gs>
            <a:gs pos="100000">
              <a:srgbClr val="5CCCE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20</xdr:row>
      <xdr:rowOff>12700</xdr:rowOff>
    </xdr:from>
    <xdr:to>
      <xdr:col>40</xdr:col>
      <xdr:colOff>0</xdr:colOff>
      <xdr:row>21</xdr:row>
      <xdr:rowOff>12700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25EBC82C-B2B8-E04B-A1E3-EA34F2409838}"/>
            </a:ext>
          </a:extLst>
        </xdr:cNvPr>
        <xdr:cNvSpPr/>
      </xdr:nvSpPr>
      <xdr:spPr>
        <a:xfrm>
          <a:off x="1892300" y="3670300"/>
          <a:ext cx="3530600" cy="203200"/>
        </a:xfrm>
        <a:prstGeom prst="rect">
          <a:avLst/>
        </a:prstGeom>
        <a:gradFill flip="none" rotWithShape="1">
          <a:gsLst>
            <a:gs pos="0">
              <a:srgbClr val="BE0F35"/>
            </a:gs>
            <a:gs pos="31000">
              <a:srgbClr val="FFFFFE"/>
            </a:gs>
            <a:gs pos="64000">
              <a:srgbClr val="085B26"/>
            </a:gs>
            <a:gs pos="100000">
              <a:srgbClr val="BAE4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23</xdr:row>
      <xdr:rowOff>12700</xdr:rowOff>
    </xdr:from>
    <xdr:to>
      <xdr:col>40</xdr:col>
      <xdr:colOff>0</xdr:colOff>
      <xdr:row>24</xdr:row>
      <xdr:rowOff>12700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FF071290-E91B-2A47-9DD9-B0354257583E}"/>
            </a:ext>
          </a:extLst>
        </xdr:cNvPr>
        <xdr:cNvSpPr/>
      </xdr:nvSpPr>
      <xdr:spPr>
        <a:xfrm>
          <a:off x="1892300" y="4279900"/>
          <a:ext cx="3530600" cy="203200"/>
        </a:xfrm>
        <a:prstGeom prst="rect">
          <a:avLst/>
        </a:prstGeom>
        <a:gradFill flip="none" rotWithShape="1">
          <a:gsLst>
            <a:gs pos="0">
              <a:srgbClr val="386324"/>
            </a:gs>
            <a:gs pos="31000">
              <a:srgbClr val="096C42"/>
            </a:gs>
            <a:gs pos="64000">
              <a:srgbClr val="334B2E"/>
            </a:gs>
            <a:gs pos="100000">
              <a:srgbClr val="3342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26</xdr:row>
      <xdr:rowOff>0</xdr:rowOff>
    </xdr:from>
    <xdr:to>
      <xdr:col>40</xdr:col>
      <xdr:colOff>0</xdr:colOff>
      <xdr:row>27</xdr:row>
      <xdr:rowOff>0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09D4315D-A22E-CB4B-BBF3-3E33AFEA704C}"/>
            </a:ext>
          </a:extLst>
        </xdr:cNvPr>
        <xdr:cNvSpPr/>
      </xdr:nvSpPr>
      <xdr:spPr>
        <a:xfrm>
          <a:off x="1892300" y="4876800"/>
          <a:ext cx="3530600" cy="203200"/>
        </a:xfrm>
        <a:prstGeom prst="rect">
          <a:avLst/>
        </a:prstGeom>
        <a:gradFill flip="none" rotWithShape="1">
          <a:gsLst>
            <a:gs pos="0">
              <a:srgbClr val="434E2C"/>
            </a:gs>
            <a:gs pos="31000">
              <a:srgbClr val="3F4127"/>
            </a:gs>
            <a:gs pos="64000">
              <a:srgbClr val="5B6532"/>
            </a:gs>
            <a:gs pos="100000">
              <a:srgbClr val="ADC23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29</xdr:row>
      <xdr:rowOff>0</xdr:rowOff>
    </xdr:from>
    <xdr:to>
      <xdr:col>40</xdr:col>
      <xdr:colOff>0</xdr:colOff>
      <xdr:row>30</xdr:row>
      <xdr:rowOff>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CA15334-1BA8-E142-A7BE-E83BFEEFAE2C}"/>
            </a:ext>
          </a:extLst>
        </xdr:cNvPr>
        <xdr:cNvSpPr/>
      </xdr:nvSpPr>
      <xdr:spPr>
        <a:xfrm>
          <a:off x="1892300" y="5486400"/>
          <a:ext cx="3530600" cy="203200"/>
        </a:xfrm>
        <a:prstGeom prst="rect">
          <a:avLst/>
        </a:prstGeom>
        <a:gradFill flip="none" rotWithShape="1">
          <a:gsLst>
            <a:gs pos="0">
              <a:srgbClr val="35220D"/>
            </a:gs>
            <a:gs pos="31000">
              <a:srgbClr val="60391C"/>
            </a:gs>
            <a:gs pos="64000">
              <a:srgbClr val="635309"/>
            </a:gs>
            <a:gs pos="100000">
              <a:srgbClr val="BB9C5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32</xdr:row>
      <xdr:rowOff>0</xdr:rowOff>
    </xdr:from>
    <xdr:to>
      <xdr:col>40</xdr:col>
      <xdr:colOff>0</xdr:colOff>
      <xdr:row>33</xdr:row>
      <xdr:rowOff>0</xdr:rowOff>
    </xdr:to>
    <xdr:sp macro="" textlink="">
      <xdr:nvSpPr>
        <xdr:cNvPr id="147" name="Rectangle 146">
          <a:extLst>
            <a:ext uri="{FF2B5EF4-FFF2-40B4-BE49-F238E27FC236}">
              <a16:creationId xmlns:a16="http://schemas.microsoft.com/office/drawing/2014/main" id="{8CE8201B-C6A5-EA4C-8195-16C1662E7F2F}"/>
            </a:ext>
          </a:extLst>
        </xdr:cNvPr>
        <xdr:cNvSpPr/>
      </xdr:nvSpPr>
      <xdr:spPr>
        <a:xfrm>
          <a:off x="1892300" y="6096000"/>
          <a:ext cx="3530600" cy="203200"/>
        </a:xfrm>
        <a:prstGeom prst="rect">
          <a:avLst/>
        </a:prstGeom>
        <a:gradFill flip="none" rotWithShape="1">
          <a:gsLst>
            <a:gs pos="0">
              <a:srgbClr val="6B9E29"/>
            </a:gs>
            <a:gs pos="31000">
              <a:srgbClr val="9CC82E"/>
            </a:gs>
            <a:gs pos="64000">
              <a:srgbClr val="FFE948"/>
            </a:gs>
            <a:gs pos="100000">
              <a:srgbClr val="FDF99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35</xdr:row>
      <xdr:rowOff>0</xdr:rowOff>
    </xdr:from>
    <xdr:to>
      <xdr:col>40</xdr:col>
      <xdr:colOff>0</xdr:colOff>
      <xdr:row>36</xdr:row>
      <xdr:rowOff>0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AE6D1B18-2228-1F42-8F11-116FE0CE1597}"/>
            </a:ext>
          </a:extLst>
        </xdr:cNvPr>
        <xdr:cNvSpPr/>
      </xdr:nvSpPr>
      <xdr:spPr>
        <a:xfrm>
          <a:off x="1892300" y="6705600"/>
          <a:ext cx="3530600" cy="203200"/>
        </a:xfrm>
        <a:prstGeom prst="rect">
          <a:avLst/>
        </a:prstGeom>
        <a:gradFill flip="none" rotWithShape="1">
          <a:gsLst>
            <a:gs pos="0">
              <a:srgbClr val="CEB074"/>
            </a:gs>
            <a:gs pos="31000">
              <a:srgbClr val="EAD8AC"/>
            </a:gs>
            <a:gs pos="64000">
              <a:srgbClr val="AE8252"/>
            </a:gs>
            <a:gs pos="100000">
              <a:srgbClr val="FBF7B6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38</xdr:row>
      <xdr:rowOff>0</xdr:rowOff>
    </xdr:from>
    <xdr:to>
      <xdr:col>40</xdr:col>
      <xdr:colOff>0</xdr:colOff>
      <xdr:row>39</xdr:row>
      <xdr:rowOff>0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8C68A690-5E50-2C4A-BDC2-FD49A47BDBE0}"/>
            </a:ext>
          </a:extLst>
        </xdr:cNvPr>
        <xdr:cNvSpPr/>
      </xdr:nvSpPr>
      <xdr:spPr>
        <a:xfrm>
          <a:off x="1892300" y="7315200"/>
          <a:ext cx="3530600" cy="203200"/>
        </a:xfrm>
        <a:prstGeom prst="rect">
          <a:avLst/>
        </a:prstGeom>
        <a:gradFill flip="none" rotWithShape="1">
          <a:gsLst>
            <a:gs pos="0">
              <a:srgbClr val="EBBC50"/>
            </a:gs>
            <a:gs pos="31000">
              <a:srgbClr val="FEDA63"/>
            </a:gs>
            <a:gs pos="64000">
              <a:srgbClr val="E3A730"/>
            </a:gs>
            <a:gs pos="100000">
              <a:srgbClr val="F2DBA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41</xdr:row>
      <xdr:rowOff>0</xdr:rowOff>
    </xdr:from>
    <xdr:to>
      <xdr:col>40</xdr:col>
      <xdr:colOff>0</xdr:colOff>
      <xdr:row>42</xdr:row>
      <xdr:rowOff>0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5D06CD4-F94F-0841-8F50-C4CEE69C95C2}"/>
            </a:ext>
          </a:extLst>
        </xdr:cNvPr>
        <xdr:cNvSpPr/>
      </xdr:nvSpPr>
      <xdr:spPr>
        <a:xfrm>
          <a:off x="1892300" y="7924800"/>
          <a:ext cx="3530600" cy="203200"/>
        </a:xfrm>
        <a:prstGeom prst="rect">
          <a:avLst/>
        </a:prstGeom>
        <a:gradFill flip="none" rotWithShape="1">
          <a:gsLst>
            <a:gs pos="0">
              <a:srgbClr val="FFF5CD"/>
            </a:gs>
            <a:gs pos="31000">
              <a:srgbClr val="ECBF7D"/>
            </a:gs>
            <a:gs pos="64000">
              <a:srgbClr val="F8DACC"/>
            </a:gs>
            <a:gs pos="100000">
              <a:srgbClr val="FECBD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5</xdr:row>
      <xdr:rowOff>38100</xdr:rowOff>
    </xdr:from>
    <xdr:to>
      <xdr:col>38</xdr:col>
      <xdr:colOff>0</xdr:colOff>
      <xdr:row>6</xdr:row>
      <xdr:rowOff>0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EE8329ED-B8FF-5F42-893C-F10C752C3523}"/>
            </a:ext>
          </a:extLst>
        </xdr:cNvPr>
        <xdr:cNvSpPr/>
      </xdr:nvSpPr>
      <xdr:spPr>
        <a:xfrm>
          <a:off x="1892300" y="647700"/>
          <a:ext cx="2578100" cy="165100"/>
        </a:xfrm>
        <a:prstGeom prst="rect">
          <a:avLst/>
        </a:prstGeom>
        <a:gradFill flip="none" rotWithShape="1">
          <a:gsLst>
            <a:gs pos="0">
              <a:srgbClr val="CE1A33"/>
            </a:gs>
            <a:gs pos="47000">
              <a:srgbClr val="E5363C"/>
            </a:gs>
            <a:gs pos="100000">
              <a:srgbClr val="FD6D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8</xdr:row>
      <xdr:rowOff>38100</xdr:rowOff>
    </xdr:from>
    <xdr:to>
      <xdr:col>38</xdr:col>
      <xdr:colOff>0</xdr:colOff>
      <xdr:row>9</xdr:row>
      <xdr:rowOff>0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C2B1EDA-4AF9-204A-B7C2-7935D3A789B6}"/>
            </a:ext>
          </a:extLst>
        </xdr:cNvPr>
        <xdr:cNvSpPr/>
      </xdr:nvSpPr>
      <xdr:spPr>
        <a:xfrm>
          <a:off x="1892300" y="1257300"/>
          <a:ext cx="2578100" cy="165100"/>
        </a:xfrm>
        <a:prstGeom prst="rect">
          <a:avLst/>
        </a:prstGeom>
        <a:gradFill flip="none" rotWithShape="1">
          <a:gsLst>
            <a:gs pos="0">
              <a:srgbClr val="1E2754"/>
            </a:gs>
            <a:gs pos="47000">
              <a:srgbClr val="203279"/>
            </a:gs>
            <a:gs pos="100000">
              <a:srgbClr val="4E5CA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44</xdr:row>
      <xdr:rowOff>0</xdr:rowOff>
    </xdr:from>
    <xdr:to>
      <xdr:col>40</xdr:col>
      <xdr:colOff>0</xdr:colOff>
      <xdr:row>45</xdr:row>
      <xdr:rowOff>0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CF9902B1-E71A-0C4A-9AD9-4253E1CD0089}"/>
            </a:ext>
          </a:extLst>
        </xdr:cNvPr>
        <xdr:cNvSpPr/>
      </xdr:nvSpPr>
      <xdr:spPr>
        <a:xfrm>
          <a:off x="8178800" y="609600"/>
          <a:ext cx="3530600" cy="203200"/>
        </a:xfrm>
        <a:prstGeom prst="rect">
          <a:avLst/>
        </a:prstGeom>
        <a:gradFill flip="none" rotWithShape="1">
          <a:gsLst>
            <a:gs pos="0">
              <a:srgbClr val="813B11"/>
            </a:gs>
            <a:gs pos="32000">
              <a:srgbClr val="FE6F1A"/>
            </a:gs>
            <a:gs pos="64000">
              <a:srgbClr val="FEAF3C"/>
            </a:gs>
            <a:gs pos="100000">
              <a:srgbClr val="CF1A3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47</xdr:row>
      <xdr:rowOff>0</xdr:rowOff>
    </xdr:from>
    <xdr:to>
      <xdr:col>40</xdr:col>
      <xdr:colOff>0</xdr:colOff>
      <xdr:row>48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62456F85-D343-9740-A133-BC6DD3F4C9B1}"/>
            </a:ext>
          </a:extLst>
        </xdr:cNvPr>
        <xdr:cNvSpPr/>
      </xdr:nvSpPr>
      <xdr:spPr>
        <a:xfrm>
          <a:off x="8178800" y="1219200"/>
          <a:ext cx="3530600" cy="203200"/>
        </a:xfrm>
        <a:prstGeom prst="rect">
          <a:avLst/>
        </a:prstGeom>
        <a:gradFill flip="none" rotWithShape="1">
          <a:gsLst>
            <a:gs pos="0">
              <a:srgbClr val="BA9A56"/>
            </a:gs>
            <a:gs pos="31000">
              <a:srgbClr val="B26922"/>
            </a:gs>
            <a:gs pos="64000">
              <a:srgbClr val="CE9557"/>
            </a:gs>
            <a:gs pos="100000">
              <a:srgbClr val="A6681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50</xdr:row>
      <xdr:rowOff>0</xdr:rowOff>
    </xdr:from>
    <xdr:to>
      <xdr:col>40</xdr:col>
      <xdr:colOff>0</xdr:colOff>
      <xdr:row>51</xdr:row>
      <xdr:rowOff>0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D4900DC4-081D-B646-80A0-781B4836A599}"/>
            </a:ext>
          </a:extLst>
        </xdr:cNvPr>
        <xdr:cNvSpPr/>
      </xdr:nvSpPr>
      <xdr:spPr>
        <a:xfrm>
          <a:off x="8178800" y="1828800"/>
          <a:ext cx="3530600" cy="203200"/>
        </a:xfrm>
        <a:prstGeom prst="rect">
          <a:avLst/>
        </a:prstGeom>
        <a:gradFill flip="none" rotWithShape="1">
          <a:gsLst>
            <a:gs pos="0">
              <a:srgbClr val="87362F"/>
            </a:gs>
            <a:gs pos="31000">
              <a:srgbClr val="4A3020"/>
            </a:gs>
            <a:gs pos="64000">
              <a:srgbClr val="7E4232"/>
            </a:gs>
            <a:gs pos="100000">
              <a:srgbClr val="522E1A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53</xdr:row>
      <xdr:rowOff>0</xdr:rowOff>
    </xdr:from>
    <xdr:to>
      <xdr:col>40</xdr:col>
      <xdr:colOff>0</xdr:colOff>
      <xdr:row>54</xdr:row>
      <xdr:rowOff>0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37D222E8-F488-4A46-97A7-56A5278FADA0}"/>
            </a:ext>
          </a:extLst>
        </xdr:cNvPr>
        <xdr:cNvSpPr/>
      </xdr:nvSpPr>
      <xdr:spPr>
        <a:xfrm>
          <a:off x="8178800" y="2438400"/>
          <a:ext cx="3530600" cy="203200"/>
        </a:xfrm>
        <a:prstGeom prst="rect">
          <a:avLst/>
        </a:prstGeom>
        <a:gradFill flip="none" rotWithShape="1">
          <a:gsLst>
            <a:gs pos="0">
              <a:srgbClr val="E4343E"/>
            </a:gs>
            <a:gs pos="31000">
              <a:srgbClr val="BD1035"/>
            </a:gs>
            <a:gs pos="64000">
              <a:srgbClr val="BB1531"/>
            </a:gs>
            <a:gs pos="100000">
              <a:srgbClr val="710E33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56</xdr:row>
      <xdr:rowOff>0</xdr:rowOff>
    </xdr:from>
    <xdr:to>
      <xdr:col>40</xdr:col>
      <xdr:colOff>0</xdr:colOff>
      <xdr:row>57</xdr:row>
      <xdr:rowOff>0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5BCE924F-86C8-184C-98D4-7EB5E2E68FE9}"/>
            </a:ext>
          </a:extLst>
        </xdr:cNvPr>
        <xdr:cNvSpPr/>
      </xdr:nvSpPr>
      <xdr:spPr>
        <a:xfrm>
          <a:off x="8178800" y="3048000"/>
          <a:ext cx="3530600" cy="203200"/>
        </a:xfrm>
        <a:prstGeom prst="rect">
          <a:avLst/>
        </a:prstGeom>
        <a:gradFill flip="none" rotWithShape="1">
          <a:gsLst>
            <a:gs pos="0">
              <a:srgbClr val="AC1C36"/>
            </a:gs>
            <a:gs pos="31000">
              <a:srgbClr val="CC2089"/>
            </a:gs>
            <a:gs pos="64000">
              <a:srgbClr val="5F0E76"/>
            </a:gs>
            <a:gs pos="100000">
              <a:srgbClr val="D49FE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59</xdr:row>
      <xdr:rowOff>0</xdr:rowOff>
    </xdr:from>
    <xdr:to>
      <xdr:col>40</xdr:col>
      <xdr:colOff>0</xdr:colOff>
      <xdr:row>60</xdr:row>
      <xdr:rowOff>0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9D3F1493-42A3-F845-8F76-A3A38478D00F}"/>
            </a:ext>
          </a:extLst>
        </xdr:cNvPr>
        <xdr:cNvSpPr/>
      </xdr:nvSpPr>
      <xdr:spPr>
        <a:xfrm>
          <a:off x="8178800" y="3657600"/>
          <a:ext cx="3530600" cy="203200"/>
        </a:xfrm>
        <a:prstGeom prst="rect">
          <a:avLst/>
        </a:prstGeom>
        <a:gradFill flip="none" rotWithShape="1">
          <a:gsLst>
            <a:gs pos="0">
              <a:srgbClr val="590D5C"/>
            </a:gs>
            <a:gs pos="31000">
              <a:srgbClr val="2D1F68"/>
            </a:gs>
            <a:gs pos="64000">
              <a:srgbClr val="911237"/>
            </a:gs>
            <a:gs pos="100000">
              <a:srgbClr val="71103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40</xdr:col>
      <xdr:colOff>0</xdr:colOff>
      <xdr:row>63</xdr:row>
      <xdr:rowOff>0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3A424DFB-1251-9842-97CD-4A505DBFE86C}"/>
            </a:ext>
          </a:extLst>
        </xdr:cNvPr>
        <xdr:cNvSpPr/>
      </xdr:nvSpPr>
      <xdr:spPr>
        <a:xfrm>
          <a:off x="8178800" y="4267200"/>
          <a:ext cx="3530600" cy="203200"/>
        </a:xfrm>
        <a:prstGeom prst="rect">
          <a:avLst/>
        </a:prstGeom>
        <a:gradFill flip="none" rotWithShape="1">
          <a:gsLst>
            <a:gs pos="0">
              <a:srgbClr val="FFCCD7"/>
            </a:gs>
            <a:gs pos="31000">
              <a:srgbClr val="39609D"/>
            </a:gs>
            <a:gs pos="64000">
              <a:srgbClr val="FCEBDE"/>
            </a:gs>
            <a:gs pos="100000">
              <a:srgbClr val="CBE7F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65</xdr:row>
      <xdr:rowOff>0</xdr:rowOff>
    </xdr:from>
    <xdr:to>
      <xdr:col>40</xdr:col>
      <xdr:colOff>0</xdr:colOff>
      <xdr:row>66</xdr:row>
      <xdr:rowOff>0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051D2DF9-02E7-1847-9ED7-06085FCD212C}"/>
            </a:ext>
          </a:extLst>
        </xdr:cNvPr>
        <xdr:cNvSpPr/>
      </xdr:nvSpPr>
      <xdr:spPr>
        <a:xfrm>
          <a:off x="8178800" y="4876800"/>
          <a:ext cx="3530600" cy="203200"/>
        </a:xfrm>
        <a:prstGeom prst="rect">
          <a:avLst/>
        </a:prstGeom>
        <a:gradFill flip="none" rotWithShape="1">
          <a:gsLst>
            <a:gs pos="0">
              <a:srgbClr val="4E5CA6"/>
            </a:gs>
            <a:gs pos="31000">
              <a:srgbClr val="CFE9EA"/>
            </a:gs>
            <a:gs pos="64000">
              <a:srgbClr val="202753"/>
            </a:gs>
            <a:gs pos="100000">
              <a:srgbClr val="1C6C87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68</xdr:row>
      <xdr:rowOff>0</xdr:rowOff>
    </xdr:from>
    <xdr:to>
      <xdr:col>40</xdr:col>
      <xdr:colOff>0</xdr:colOff>
      <xdr:row>69</xdr:row>
      <xdr:rowOff>0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082D496F-DB47-D449-A26D-4275BE87ACF5}"/>
            </a:ext>
          </a:extLst>
        </xdr:cNvPr>
        <xdr:cNvSpPr/>
      </xdr:nvSpPr>
      <xdr:spPr>
        <a:xfrm>
          <a:off x="8178800" y="5486400"/>
          <a:ext cx="3530600" cy="203200"/>
        </a:xfrm>
        <a:prstGeom prst="rect">
          <a:avLst/>
        </a:prstGeom>
        <a:gradFill flip="none" rotWithShape="1">
          <a:gsLst>
            <a:gs pos="0">
              <a:srgbClr val="590D5D"/>
            </a:gs>
            <a:gs pos="31000">
              <a:srgbClr val="2D2068"/>
            </a:gs>
            <a:gs pos="64000">
              <a:srgbClr val="262177"/>
            </a:gs>
            <a:gs pos="100000">
              <a:srgbClr val="090A2F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71</xdr:row>
      <xdr:rowOff>0</xdr:rowOff>
    </xdr:from>
    <xdr:to>
      <xdr:col>40</xdr:col>
      <xdr:colOff>0</xdr:colOff>
      <xdr:row>72</xdr:row>
      <xdr:rowOff>0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7E5289D2-5C22-9746-A61A-1634904102D8}"/>
            </a:ext>
          </a:extLst>
        </xdr:cNvPr>
        <xdr:cNvSpPr/>
      </xdr:nvSpPr>
      <xdr:spPr>
        <a:xfrm>
          <a:off x="8178800" y="6096000"/>
          <a:ext cx="3530600" cy="203200"/>
        </a:xfrm>
        <a:prstGeom prst="rect">
          <a:avLst/>
        </a:prstGeom>
        <a:gradFill flip="none" rotWithShape="1">
          <a:gsLst>
            <a:gs pos="0">
              <a:srgbClr val="9443A6"/>
            </a:gs>
            <a:gs pos="31000">
              <a:srgbClr val="E5BDEE"/>
            </a:gs>
            <a:gs pos="64000">
              <a:srgbClr val="2B3187"/>
            </a:gs>
            <a:gs pos="100000">
              <a:srgbClr val="986DC4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74</xdr:row>
      <xdr:rowOff>0</xdr:rowOff>
    </xdr:from>
    <xdr:to>
      <xdr:col>40</xdr:col>
      <xdr:colOff>0</xdr:colOff>
      <xdr:row>75</xdr:row>
      <xdr:rowOff>0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246CDAF9-8772-0A48-9CD8-89537AC291E8}"/>
            </a:ext>
          </a:extLst>
        </xdr:cNvPr>
        <xdr:cNvSpPr/>
      </xdr:nvSpPr>
      <xdr:spPr>
        <a:xfrm>
          <a:off x="8178800" y="6705600"/>
          <a:ext cx="3530600" cy="203200"/>
        </a:xfrm>
        <a:prstGeom prst="rect">
          <a:avLst/>
        </a:prstGeom>
        <a:gradFill flip="none" rotWithShape="1">
          <a:gsLst>
            <a:gs pos="0">
              <a:srgbClr val="FEFFFF"/>
            </a:gs>
            <a:gs pos="31000">
              <a:srgbClr val="DC9BDD"/>
            </a:gs>
            <a:gs pos="64000">
              <a:srgbClr val="8A2A8F"/>
            </a:gs>
            <a:gs pos="100000">
              <a:srgbClr val="570F5C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77</xdr:row>
      <xdr:rowOff>0</xdr:rowOff>
    </xdr:from>
    <xdr:to>
      <xdr:col>40</xdr:col>
      <xdr:colOff>0</xdr:colOff>
      <xdr:row>78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981F899D-806E-C44F-8ECA-AF2D6AC74111}"/>
            </a:ext>
          </a:extLst>
        </xdr:cNvPr>
        <xdr:cNvSpPr/>
      </xdr:nvSpPr>
      <xdr:spPr>
        <a:xfrm>
          <a:off x="8178800" y="7315200"/>
          <a:ext cx="3530600" cy="203200"/>
        </a:xfrm>
        <a:prstGeom prst="rect">
          <a:avLst/>
        </a:prstGeom>
        <a:gradFill flip="none" rotWithShape="1">
          <a:gsLst>
            <a:gs pos="0">
              <a:srgbClr val="F6B0DF"/>
            </a:gs>
            <a:gs pos="31000">
              <a:srgbClr val="EC80BD"/>
            </a:gs>
            <a:gs pos="64000">
              <a:srgbClr val="9541A7"/>
            </a:gs>
            <a:gs pos="100000">
              <a:srgbClr val="C697B9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0</xdr:colOff>
      <xdr:row>80</xdr:row>
      <xdr:rowOff>0</xdr:rowOff>
    </xdr:from>
    <xdr:to>
      <xdr:col>40</xdr:col>
      <xdr:colOff>0</xdr:colOff>
      <xdr:row>81</xdr:row>
      <xdr:rowOff>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01BBCF4-E8E4-DD4D-85A4-C82F8B37D6EA}"/>
            </a:ext>
          </a:extLst>
        </xdr:cNvPr>
        <xdr:cNvSpPr/>
      </xdr:nvSpPr>
      <xdr:spPr>
        <a:xfrm>
          <a:off x="8178800" y="7924800"/>
          <a:ext cx="3530600" cy="203200"/>
        </a:xfrm>
        <a:prstGeom prst="rect">
          <a:avLst/>
        </a:prstGeom>
        <a:gradFill flip="none" rotWithShape="1">
          <a:gsLst>
            <a:gs pos="0">
              <a:srgbClr val="9442A6"/>
            </a:gs>
            <a:gs pos="31000">
              <a:srgbClr val="E5BDEE"/>
            </a:gs>
            <a:gs pos="64000">
              <a:srgbClr val="580D5C"/>
            </a:gs>
            <a:gs pos="100000">
              <a:srgbClr val="FCEA4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lordlibidan.com/the-limited-edition-dmc-threads/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https://lordlibidan.com/what-happened-to-dmc-light-effect-threads/" TargetMode="External"/><Relationship Id="rId1" Type="http://schemas.openxmlformats.org/officeDocument/2006/relationships/hyperlink" Target="https://lordlibidan.com/whats-the-true-story-behind-the-us-only-dmc-threads/" TargetMode="External"/><Relationship Id="rId6" Type="http://schemas.openxmlformats.org/officeDocument/2006/relationships/hyperlink" Target="https://lordlibidan.com/dmc-974-the-rarest-thread/" TargetMode="External"/><Relationship Id="rId5" Type="http://schemas.openxmlformats.org/officeDocument/2006/relationships/hyperlink" Target="https://lordlibidan.com/the-rarest-dmc-thread-dmc-724/" TargetMode="External"/><Relationship Id="rId4" Type="http://schemas.openxmlformats.org/officeDocument/2006/relationships/hyperlink" Target="https://lordlibidan.com/the-rarest-dmc-thread-dmc-724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92E1-0D9C-413A-922C-2A6572FE39A3}">
  <sheetPr>
    <tabColor theme="1"/>
  </sheetPr>
  <dimension ref="B1:M34"/>
  <sheetViews>
    <sheetView tabSelected="1" zoomScaleNormal="100" workbookViewId="0">
      <selection activeCell="C12" sqref="C12"/>
    </sheetView>
  </sheetViews>
  <sheetFormatPr baseColWidth="10" defaultColWidth="8.83203125" defaultRowHeight="16"/>
  <cols>
    <col min="1" max="16384" width="8.83203125" style="1094"/>
  </cols>
  <sheetData>
    <row r="1" spans="2:13" ht="17" thickBot="1"/>
    <row r="2" spans="2:13" ht="15.75" customHeight="1">
      <c r="B2" s="2081" t="s">
        <v>1210</v>
      </c>
      <c r="C2" s="2082"/>
      <c r="D2" s="2082"/>
      <c r="E2" s="2082"/>
      <c r="F2" s="2082"/>
      <c r="G2" s="2083"/>
      <c r="I2" s="2063" t="s">
        <v>1617</v>
      </c>
      <c r="J2" s="2064"/>
      <c r="K2" s="2064"/>
      <c r="L2" s="2064"/>
      <c r="M2" s="2065"/>
    </row>
    <row r="3" spans="2:13" ht="16.5" customHeight="1" thickBot="1">
      <c r="B3" s="2084"/>
      <c r="C3" s="2085"/>
      <c r="D3" s="2085"/>
      <c r="E3" s="2085"/>
      <c r="F3" s="2085"/>
      <c r="G3" s="2086"/>
      <c r="I3" s="2066"/>
      <c r="J3" s="2067"/>
      <c r="K3" s="2067"/>
      <c r="L3" s="2067"/>
      <c r="M3" s="2068"/>
    </row>
    <row r="4" spans="2:13" ht="17" thickBot="1">
      <c r="B4" s="2078" t="s">
        <v>290</v>
      </c>
      <c r="C4" s="2079"/>
      <c r="D4" s="2079"/>
      <c r="E4" s="2079"/>
      <c r="F4" s="2079"/>
      <c r="G4" s="2080"/>
      <c r="I4" s="2066"/>
      <c r="J4" s="2067"/>
      <c r="K4" s="2067"/>
      <c r="L4" s="2067"/>
      <c r="M4" s="2068"/>
    </row>
    <row r="5" spans="2:13">
      <c r="I5" s="2066"/>
      <c r="J5" s="2067"/>
      <c r="K5" s="2067"/>
      <c r="L5" s="2067"/>
      <c r="M5" s="2068"/>
    </row>
    <row r="6" spans="2:13" ht="15.75" customHeight="1">
      <c r="B6" s="1102"/>
      <c r="C6" s="2087" t="s">
        <v>1211</v>
      </c>
      <c r="D6" s="2088"/>
      <c r="E6" s="2088"/>
      <c r="F6" s="2088"/>
      <c r="G6" s="2089"/>
      <c r="I6" s="2066"/>
      <c r="J6" s="2067"/>
      <c r="K6" s="2067"/>
      <c r="L6" s="2067"/>
      <c r="M6" s="2068"/>
    </row>
    <row r="7" spans="2:13" ht="21" customHeight="1">
      <c r="B7" s="1103"/>
      <c r="C7" s="2090"/>
      <c r="D7" s="2091"/>
      <c r="E7" s="2091"/>
      <c r="F7" s="2091"/>
      <c r="G7" s="2092"/>
      <c r="I7" s="2066"/>
      <c r="J7" s="2067"/>
      <c r="K7" s="2067"/>
      <c r="L7" s="2067"/>
      <c r="M7" s="2068"/>
    </row>
    <row r="8" spans="2:13" ht="15.75" customHeight="1">
      <c r="B8" s="2093" t="s">
        <v>1206</v>
      </c>
      <c r="C8" s="2087" t="s">
        <v>1207</v>
      </c>
      <c r="D8" s="2088"/>
      <c r="E8" s="2088"/>
      <c r="F8" s="2088"/>
      <c r="G8" s="2089"/>
      <c r="I8" s="2066"/>
      <c r="J8" s="2067"/>
      <c r="K8" s="2067"/>
      <c r="L8" s="2067"/>
      <c r="M8" s="2068"/>
    </row>
    <row r="9" spans="2:13" ht="33" customHeight="1">
      <c r="B9" s="2094"/>
      <c r="C9" s="2090"/>
      <c r="D9" s="2091"/>
      <c r="E9" s="2091"/>
      <c r="F9" s="2091"/>
      <c r="G9" s="2092"/>
      <c r="I9" s="2066"/>
      <c r="J9" s="2067"/>
      <c r="K9" s="2067"/>
      <c r="L9" s="2067"/>
      <c r="M9" s="2068"/>
    </row>
    <row r="10" spans="2:13" ht="17" thickBot="1">
      <c r="I10" s="2066"/>
      <c r="J10" s="2067"/>
      <c r="K10" s="2067"/>
      <c r="L10" s="2067"/>
      <c r="M10" s="2068"/>
    </row>
    <row r="11" spans="2:13" ht="17" thickBot="1">
      <c r="B11" s="1105" t="s">
        <v>1081</v>
      </c>
      <c r="C11" s="1106">
        <v>45962</v>
      </c>
      <c r="D11" s="1105" t="s">
        <v>1082</v>
      </c>
      <c r="E11" s="1104" t="s">
        <v>1891</v>
      </c>
      <c r="F11" s="1107" t="s">
        <v>1214</v>
      </c>
      <c r="G11" s="1104" t="s">
        <v>1213</v>
      </c>
      <c r="I11" s="2066"/>
      <c r="J11" s="2067"/>
      <c r="K11" s="2067"/>
      <c r="L11" s="2067"/>
      <c r="M11" s="2068"/>
    </row>
    <row r="12" spans="2:13" ht="15" customHeight="1" thickBot="1">
      <c r="F12" s="2095" t="s">
        <v>290</v>
      </c>
      <c r="G12" s="2095"/>
      <c r="I12" s="2066"/>
      <c r="J12" s="2067"/>
      <c r="K12" s="2067"/>
      <c r="L12" s="2067"/>
      <c r="M12" s="2068"/>
    </row>
    <row r="13" spans="2:13" ht="17" customHeight="1" thickBot="1">
      <c r="B13" s="2072" t="s">
        <v>1212</v>
      </c>
      <c r="C13" s="2073"/>
      <c r="D13" s="2073"/>
      <c r="E13" s="2073"/>
      <c r="F13" s="2073"/>
      <c r="G13" s="2074"/>
      <c r="I13" s="2069"/>
      <c r="J13" s="2070"/>
      <c r="K13" s="2070"/>
      <c r="L13" s="2070"/>
      <c r="M13" s="2071"/>
    </row>
    <row r="14" spans="2:13" ht="16" customHeight="1">
      <c r="B14" s="1084"/>
      <c r="C14" s="1085"/>
      <c r="D14" s="1085"/>
      <c r="E14" s="1085"/>
      <c r="F14" s="1085"/>
      <c r="G14" s="1086"/>
      <c r="I14" s="1108"/>
      <c r="J14" s="1108"/>
      <c r="K14" s="1108"/>
      <c r="L14" s="1108"/>
      <c r="M14" s="1108"/>
    </row>
    <row r="15" spans="2:13" ht="16" customHeight="1">
      <c r="B15" s="1100"/>
      <c r="G15" s="1089"/>
      <c r="I15" s="2063" t="s">
        <v>1688</v>
      </c>
      <c r="J15" s="2064"/>
      <c r="K15" s="2064"/>
      <c r="L15" s="2064"/>
      <c r="M15" s="2065"/>
    </row>
    <row r="16" spans="2:13" ht="16" customHeight="1">
      <c r="B16" s="1100"/>
      <c r="G16" s="1089"/>
      <c r="I16" s="2066"/>
      <c r="J16" s="2067"/>
      <c r="K16" s="2067"/>
      <c r="L16" s="2067"/>
      <c r="M16" s="2068"/>
    </row>
    <row r="17" spans="2:13" ht="16" customHeight="1" thickBot="1">
      <c r="B17" s="1096"/>
      <c r="C17" s="1097"/>
      <c r="D17" s="1097"/>
      <c r="E17" s="1097"/>
      <c r="F17" s="1097"/>
      <c r="G17" s="1098"/>
      <c r="I17" s="2066"/>
      <c r="J17" s="2067"/>
      <c r="K17" s="2067"/>
      <c r="L17" s="2067"/>
      <c r="M17" s="2068"/>
    </row>
    <row r="18" spans="2:13" ht="17" thickBot="1">
      <c r="I18" s="2066"/>
      <c r="J18" s="2067"/>
      <c r="K18" s="2067"/>
      <c r="L18" s="2067"/>
      <c r="M18" s="2068"/>
    </row>
    <row r="19" spans="2:13" ht="17" thickBot="1">
      <c r="B19" s="2075" t="s">
        <v>1208</v>
      </c>
      <c r="C19" s="2076"/>
      <c r="D19" s="2076"/>
      <c r="E19" s="2076"/>
      <c r="F19" s="2076"/>
      <c r="G19" s="2077"/>
      <c r="I19" s="2066"/>
      <c r="J19" s="2067"/>
      <c r="K19" s="2067"/>
      <c r="L19" s="2067"/>
      <c r="M19" s="2068"/>
    </row>
    <row r="20" spans="2:13">
      <c r="B20" s="1084"/>
      <c r="C20" s="1085"/>
      <c r="D20" s="1085"/>
      <c r="E20" s="1085"/>
      <c r="F20" s="1085"/>
      <c r="G20" s="1086"/>
      <c r="I20" s="2066"/>
      <c r="J20" s="2067"/>
      <c r="K20" s="2067"/>
      <c r="L20" s="2067"/>
      <c r="M20" s="2068"/>
    </row>
    <row r="21" spans="2:13" ht="17.25" customHeight="1" thickBot="1">
      <c r="B21" s="1096"/>
      <c r="C21" s="1097"/>
      <c r="D21" s="1097"/>
      <c r="E21" s="1097"/>
      <c r="F21" s="1097"/>
      <c r="G21" s="1098"/>
      <c r="I21" s="2066"/>
      <c r="J21" s="2067"/>
      <c r="K21" s="2067"/>
      <c r="L21" s="2067"/>
      <c r="M21" s="2068"/>
    </row>
    <row r="22" spans="2:13" ht="17" thickBot="1">
      <c r="I22" s="2066"/>
      <c r="J22" s="2067"/>
      <c r="K22" s="2067"/>
      <c r="L22" s="2067"/>
      <c r="M22" s="2068"/>
    </row>
    <row r="23" spans="2:13" ht="17" thickBot="1">
      <c r="B23" s="2072" t="s">
        <v>1209</v>
      </c>
      <c r="C23" s="2073"/>
      <c r="D23" s="2073"/>
      <c r="E23" s="2073"/>
      <c r="F23" s="2073"/>
      <c r="G23" s="2074"/>
      <c r="I23" s="2069"/>
      <c r="J23" s="2070"/>
      <c r="K23" s="2070"/>
      <c r="L23" s="2070"/>
      <c r="M23" s="2071"/>
    </row>
    <row r="24" spans="2:13">
      <c r="B24" s="1084"/>
      <c r="C24" s="1085"/>
      <c r="D24" s="1085"/>
      <c r="E24" s="1085"/>
      <c r="F24" s="1085"/>
      <c r="G24" s="1086"/>
      <c r="I24" s="1108"/>
      <c r="J24" s="1108"/>
      <c r="K24" s="1108"/>
      <c r="L24" s="1108"/>
      <c r="M24" s="1108"/>
    </row>
    <row r="25" spans="2:13">
      <c r="B25" s="1100"/>
      <c r="G25" s="1089"/>
      <c r="I25" s="2063" t="s">
        <v>1618</v>
      </c>
      <c r="J25" s="2064"/>
      <c r="K25" s="2064"/>
      <c r="L25" s="2064"/>
      <c r="M25" s="2065"/>
    </row>
    <row r="26" spans="2:13">
      <c r="B26" s="1100"/>
      <c r="G26" s="1089"/>
      <c r="I26" s="2066"/>
      <c r="J26" s="2067"/>
      <c r="K26" s="2067"/>
      <c r="L26" s="2067"/>
      <c r="M26" s="2068"/>
    </row>
    <row r="27" spans="2:13" ht="17" thickBot="1">
      <c r="B27" s="1096"/>
      <c r="C27" s="1097"/>
      <c r="D27" s="1097"/>
      <c r="E27" s="1097"/>
      <c r="F27" s="1097"/>
      <c r="G27" s="1098"/>
      <c r="I27" s="2069"/>
      <c r="J27" s="2070"/>
      <c r="K27" s="2070"/>
      <c r="L27" s="2070"/>
      <c r="M27" s="2071"/>
    </row>
    <row r="29" spans="2:13" ht="16" customHeight="1">
      <c r="I29" s="2063" t="s">
        <v>1743</v>
      </c>
      <c r="J29" s="2064"/>
      <c r="K29" s="2064"/>
      <c r="L29" s="2064"/>
      <c r="M29" s="2065"/>
    </row>
    <row r="30" spans="2:13">
      <c r="I30" s="2066"/>
      <c r="J30" s="2067"/>
      <c r="K30" s="2067"/>
      <c r="L30" s="2067"/>
      <c r="M30" s="2068"/>
    </row>
    <row r="31" spans="2:13">
      <c r="I31" s="2066"/>
      <c r="J31" s="2067"/>
      <c r="K31" s="2067"/>
      <c r="L31" s="2067"/>
      <c r="M31" s="2068"/>
    </row>
    <row r="32" spans="2:13">
      <c r="I32" s="2066"/>
      <c r="J32" s="2067"/>
      <c r="K32" s="2067"/>
      <c r="L32" s="2067"/>
      <c r="M32" s="2068"/>
    </row>
    <row r="33" spans="9:13">
      <c r="I33" s="2066"/>
      <c r="J33" s="2067"/>
      <c r="K33" s="2067"/>
      <c r="L33" s="2067"/>
      <c r="M33" s="2068"/>
    </row>
    <row r="34" spans="9:13">
      <c r="I34" s="2069"/>
      <c r="J34" s="2070"/>
      <c r="K34" s="2070"/>
      <c r="L34" s="2070"/>
      <c r="M34" s="2071"/>
    </row>
  </sheetData>
  <mergeCells count="13">
    <mergeCell ref="I29:M34"/>
    <mergeCell ref="I15:M23"/>
    <mergeCell ref="I2:M13"/>
    <mergeCell ref="I25:M27"/>
    <mergeCell ref="B13:G13"/>
    <mergeCell ref="B19:G19"/>
    <mergeCell ref="B23:G23"/>
    <mergeCell ref="B4:G4"/>
    <mergeCell ref="B2:G3"/>
    <mergeCell ref="C6:G7"/>
    <mergeCell ref="C8:G9"/>
    <mergeCell ref="B8:B9"/>
    <mergeCell ref="F12:G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4EE2-ACB9-4D42-8BEA-6C49D67FD196}">
  <sheetPr>
    <tabColor theme="1" tint="0.499984740745262"/>
  </sheetPr>
  <dimension ref="A1:D142"/>
  <sheetViews>
    <sheetView workbookViewId="0">
      <selection activeCell="D17" sqref="D17"/>
    </sheetView>
  </sheetViews>
  <sheetFormatPr baseColWidth="10" defaultColWidth="11.1640625" defaultRowHeight="16"/>
  <cols>
    <col min="1" max="1" width="11.6640625" style="8" customWidth="1"/>
    <col min="2" max="2" width="10" style="8" customWidth="1"/>
    <col min="3" max="3" width="12.5" style="8" customWidth="1"/>
    <col min="4" max="4" width="144.83203125" customWidth="1"/>
  </cols>
  <sheetData>
    <row r="1" spans="1:4">
      <c r="A1" s="1143" t="s">
        <v>1888</v>
      </c>
      <c r="C1" s="1143"/>
      <c r="D1" s="1143" t="s">
        <v>1732</v>
      </c>
    </row>
    <row r="2" spans="1:4">
      <c r="A2" s="1136" t="s">
        <v>1620</v>
      </c>
      <c r="B2" s="1136" t="s">
        <v>1659</v>
      </c>
      <c r="C2" s="1136" t="s">
        <v>1621</v>
      </c>
      <c r="D2" s="1135" t="s">
        <v>1622</v>
      </c>
    </row>
    <row r="3" spans="1:4">
      <c r="A3" s="8" t="s">
        <v>1806</v>
      </c>
      <c r="B3" s="8" t="s">
        <v>1213</v>
      </c>
      <c r="C3" s="1138">
        <v>45962</v>
      </c>
      <c r="D3" t="s">
        <v>1892</v>
      </c>
    </row>
    <row r="4" spans="1:4">
      <c r="C4" s="1138"/>
    </row>
    <row r="5" spans="1:4">
      <c r="A5" s="8" t="s">
        <v>1806</v>
      </c>
      <c r="B5" s="8" t="s">
        <v>1213</v>
      </c>
      <c r="C5" s="1138">
        <v>45957</v>
      </c>
      <c r="D5" t="s">
        <v>1887</v>
      </c>
    </row>
    <row r="6" spans="1:4">
      <c r="C6" s="1138"/>
      <c r="D6" s="1062" t="s">
        <v>1886</v>
      </c>
    </row>
    <row r="7" spans="1:4">
      <c r="C7" s="1138"/>
    </row>
    <row r="8" spans="1:4">
      <c r="A8" s="8" t="s">
        <v>1885</v>
      </c>
      <c r="B8" s="8" t="s">
        <v>1213</v>
      </c>
      <c r="C8" s="1138">
        <v>45894</v>
      </c>
      <c r="D8" t="s">
        <v>1744</v>
      </c>
    </row>
    <row r="9" spans="1:4">
      <c r="C9" s="1138"/>
      <c r="D9" t="s">
        <v>1793</v>
      </c>
    </row>
    <row r="10" spans="1:4">
      <c r="C10" s="1138"/>
      <c r="D10" t="s">
        <v>1752</v>
      </c>
    </row>
    <row r="11" spans="1:4">
      <c r="C11" s="1138"/>
      <c r="D11" t="s">
        <v>1747</v>
      </c>
    </row>
    <row r="12" spans="1:4">
      <c r="C12" s="1138"/>
      <c r="D12" t="s">
        <v>1748</v>
      </c>
    </row>
    <row r="13" spans="1:4">
      <c r="C13" s="1138" t="s">
        <v>1884</v>
      </c>
    </row>
    <row r="14" spans="1:4">
      <c r="A14" s="8" t="s">
        <v>1738</v>
      </c>
      <c r="B14" s="8" t="s">
        <v>1213</v>
      </c>
      <c r="C14" s="1138">
        <v>45721</v>
      </c>
      <c r="D14" s="1062" t="s">
        <v>1736</v>
      </c>
    </row>
    <row r="15" spans="1:4">
      <c r="C15" s="1138"/>
      <c r="D15" t="s">
        <v>1737</v>
      </c>
    </row>
    <row r="16" spans="1:4">
      <c r="C16" s="1138"/>
      <c r="D16" t="s">
        <v>1739</v>
      </c>
    </row>
    <row r="17" spans="1:4">
      <c r="C17" s="1138"/>
      <c r="D17" t="s">
        <v>1740</v>
      </c>
    </row>
    <row r="18" spans="1:4">
      <c r="C18" s="1138"/>
      <c r="D18" s="1062" t="s">
        <v>1742</v>
      </c>
    </row>
    <row r="20" spans="1:4">
      <c r="A20" s="8" t="s">
        <v>1733</v>
      </c>
      <c r="B20" s="8" t="s">
        <v>1213</v>
      </c>
      <c r="C20" s="1138">
        <v>45710</v>
      </c>
      <c r="D20" t="s">
        <v>1734</v>
      </c>
    </row>
    <row r="22" spans="1:4">
      <c r="A22" s="8" t="s">
        <v>1716</v>
      </c>
      <c r="B22" s="8" t="s">
        <v>1213</v>
      </c>
      <c r="C22" s="1138">
        <v>45689</v>
      </c>
      <c r="D22" s="1062" t="s">
        <v>1623</v>
      </c>
    </row>
    <row r="23" spans="1:4">
      <c r="D23" t="s">
        <v>1634</v>
      </c>
    </row>
    <row r="24" spans="1:4">
      <c r="D24" t="s">
        <v>1628</v>
      </c>
    </row>
    <row r="25" spans="1:4">
      <c r="D25" s="1062" t="s">
        <v>1648</v>
      </c>
    </row>
    <row r="26" spans="1:4">
      <c r="D26" t="s">
        <v>1651</v>
      </c>
    </row>
    <row r="27" spans="1:4">
      <c r="D27" t="s">
        <v>1657</v>
      </c>
    </row>
    <row r="28" spans="1:4">
      <c r="D28" t="s">
        <v>1678</v>
      </c>
    </row>
    <row r="29" spans="1:4">
      <c r="D29" s="1062" t="s">
        <v>1625</v>
      </c>
    </row>
    <row r="30" spans="1:4">
      <c r="D30" t="s">
        <v>1723</v>
      </c>
    </row>
    <row r="31" spans="1:4">
      <c r="D31" t="s">
        <v>1729</v>
      </c>
    </row>
    <row r="32" spans="1:4">
      <c r="D32" t="s">
        <v>1731</v>
      </c>
    </row>
    <row r="34" spans="1:4">
      <c r="A34" s="8" t="s">
        <v>1619</v>
      </c>
      <c r="B34" s="8" t="s">
        <v>1213</v>
      </c>
      <c r="C34" s="1138">
        <v>45566</v>
      </c>
      <c r="D34" t="s">
        <v>1627</v>
      </c>
    </row>
    <row r="35" spans="1:4">
      <c r="D35" t="s">
        <v>1626</v>
      </c>
    </row>
    <row r="36" spans="1:4">
      <c r="D36" t="s">
        <v>1634</v>
      </c>
    </row>
    <row r="37" spans="1:4">
      <c r="D37" t="s">
        <v>1654</v>
      </c>
    </row>
    <row r="39" spans="1:4">
      <c r="A39" s="8" t="s">
        <v>1650</v>
      </c>
      <c r="B39" s="8" t="s">
        <v>1213</v>
      </c>
      <c r="C39" s="1138">
        <v>45536</v>
      </c>
      <c r="D39" t="s">
        <v>1652</v>
      </c>
    </row>
    <row r="40" spans="1:4">
      <c r="C40" s="1138"/>
      <c r="D40" t="s">
        <v>1653</v>
      </c>
    </row>
    <row r="41" spans="1:4">
      <c r="C41" s="1138"/>
      <c r="D41" s="1062" t="s">
        <v>1727</v>
      </c>
    </row>
    <row r="43" spans="1:4">
      <c r="A43" s="8" t="s">
        <v>1629</v>
      </c>
      <c r="B43" s="8" t="s">
        <v>1213</v>
      </c>
      <c r="C43" s="1138">
        <v>45505</v>
      </c>
      <c r="D43" t="s">
        <v>1635</v>
      </c>
    </row>
    <row r="44" spans="1:4">
      <c r="D44" t="s">
        <v>1637</v>
      </c>
    </row>
    <row r="45" spans="1:4">
      <c r="D45" s="1062" t="s">
        <v>1638</v>
      </c>
    </row>
    <row r="46" spans="1:4">
      <c r="D46" t="s">
        <v>1649</v>
      </c>
    </row>
    <row r="47" spans="1:4">
      <c r="D47" t="s">
        <v>1658</v>
      </c>
    </row>
    <row r="48" spans="1:4">
      <c r="D48" s="1062" t="s">
        <v>1728</v>
      </c>
    </row>
    <row r="50" spans="1:4">
      <c r="A50" s="8" t="s">
        <v>1632</v>
      </c>
      <c r="B50" s="8" t="s">
        <v>1213</v>
      </c>
      <c r="C50" s="1138">
        <v>45474</v>
      </c>
      <c r="D50" s="1062" t="s">
        <v>1624</v>
      </c>
    </row>
    <row r="51" spans="1:4">
      <c r="D51" t="s">
        <v>1635</v>
      </c>
    </row>
    <row r="52" spans="1:4">
      <c r="D52" s="1062" t="s">
        <v>1639</v>
      </c>
    </row>
    <row r="53" spans="1:4">
      <c r="D53" t="s">
        <v>1672</v>
      </c>
    </row>
    <row r="54" spans="1:4">
      <c r="D54" t="s">
        <v>1689</v>
      </c>
    </row>
    <row r="56" spans="1:4">
      <c r="A56" s="8" t="s">
        <v>1630</v>
      </c>
      <c r="B56" s="8" t="s">
        <v>1213</v>
      </c>
      <c r="C56" s="1138">
        <v>45078</v>
      </c>
      <c r="D56" t="s">
        <v>1655</v>
      </c>
    </row>
    <row r="57" spans="1:4">
      <c r="C57" s="1138"/>
      <c r="D57" t="s">
        <v>1687</v>
      </c>
    </row>
    <row r="58" spans="1:4">
      <c r="C58" s="1138"/>
      <c r="D58" t="s">
        <v>1724</v>
      </c>
    </row>
    <row r="59" spans="1:4">
      <c r="C59" s="1138"/>
    </row>
    <row r="60" spans="1:4">
      <c r="A60" s="8" t="s">
        <v>1661</v>
      </c>
      <c r="B60" s="8" t="s">
        <v>1683</v>
      </c>
      <c r="C60" s="1138">
        <v>45078</v>
      </c>
      <c r="D60" s="1062" t="s">
        <v>1660</v>
      </c>
    </row>
    <row r="61" spans="1:4">
      <c r="C61" s="1138"/>
    </row>
    <row r="62" spans="1:4">
      <c r="A62" s="8" t="s">
        <v>1646</v>
      </c>
      <c r="B62" s="8" t="s">
        <v>1213</v>
      </c>
      <c r="C62" s="1138">
        <v>45078</v>
      </c>
      <c r="D62" s="1062" t="s">
        <v>1636</v>
      </c>
    </row>
    <row r="63" spans="1:4">
      <c r="C63" s="1138"/>
      <c r="D63" t="s">
        <v>1725</v>
      </c>
    </row>
    <row r="64" spans="1:4">
      <c r="C64" s="1138"/>
      <c r="D64" s="1062"/>
    </row>
    <row r="65" spans="1:4">
      <c r="A65" s="8" t="s">
        <v>1631</v>
      </c>
      <c r="B65" s="8" t="s">
        <v>1213</v>
      </c>
      <c r="C65" s="1138">
        <v>44743</v>
      </c>
      <c r="D65" s="1062" t="s">
        <v>1641</v>
      </c>
    </row>
    <row r="66" spans="1:4">
      <c r="D66" s="1062" t="s">
        <v>1642</v>
      </c>
    </row>
    <row r="67" spans="1:4">
      <c r="D67" s="1062" t="s">
        <v>1643</v>
      </c>
    </row>
    <row r="68" spans="1:4">
      <c r="D68" s="1062" t="s">
        <v>1644</v>
      </c>
    </row>
    <row r="69" spans="1:4">
      <c r="D69" s="1062" t="s">
        <v>1645</v>
      </c>
    </row>
    <row r="70" spans="1:4">
      <c r="D70" s="1062" t="s">
        <v>1663</v>
      </c>
    </row>
    <row r="71" spans="1:4">
      <c r="D71" t="s">
        <v>1678</v>
      </c>
    </row>
    <row r="72" spans="1:4">
      <c r="D72" t="s">
        <v>1697</v>
      </c>
    </row>
    <row r="73" spans="1:4">
      <c r="D73" s="1062" t="s">
        <v>1718</v>
      </c>
    </row>
    <row r="74" spans="1:4">
      <c r="D74" s="1062" t="s">
        <v>1719</v>
      </c>
    </row>
    <row r="76" spans="1:4">
      <c r="A76" s="8" t="s">
        <v>1704</v>
      </c>
      <c r="B76" s="8" t="s">
        <v>1213</v>
      </c>
      <c r="C76" s="1138">
        <v>44682</v>
      </c>
      <c r="D76" t="s">
        <v>1703</v>
      </c>
    </row>
    <row r="78" spans="1:4">
      <c r="A78" s="8" t="s">
        <v>1680</v>
      </c>
      <c r="B78" s="8" t="s">
        <v>1213</v>
      </c>
      <c r="C78" s="1138">
        <v>44652</v>
      </c>
      <c r="D78" t="s">
        <v>1701</v>
      </c>
    </row>
    <row r="79" spans="1:4">
      <c r="C79" s="1138"/>
      <c r="D79" t="s">
        <v>1702</v>
      </c>
    </row>
    <row r="81" spans="1:4">
      <c r="A81" s="8" t="s">
        <v>1662</v>
      </c>
      <c r="B81" s="8" t="s">
        <v>1213</v>
      </c>
      <c r="C81" s="1138">
        <v>44652</v>
      </c>
      <c r="D81" s="1062" t="s">
        <v>1640</v>
      </c>
    </row>
    <row r="82" spans="1:4">
      <c r="C82" s="1138"/>
      <c r="D82" s="1062" t="s">
        <v>1664</v>
      </c>
    </row>
    <row r="83" spans="1:4">
      <c r="C83" s="1138"/>
      <c r="D83" t="s">
        <v>1723</v>
      </c>
    </row>
    <row r="85" spans="1:4">
      <c r="A85" s="8" t="s">
        <v>1679</v>
      </c>
      <c r="B85" s="8" t="s">
        <v>1213</v>
      </c>
      <c r="C85" s="1138">
        <v>44593</v>
      </c>
      <c r="D85" t="s">
        <v>1647</v>
      </c>
    </row>
    <row r="86" spans="1:4">
      <c r="D86" t="s">
        <v>1674</v>
      </c>
    </row>
    <row r="87" spans="1:4">
      <c r="D87" t="s">
        <v>1678</v>
      </c>
    </row>
    <row r="88" spans="1:4">
      <c r="D88" s="1062" t="s">
        <v>1681</v>
      </c>
    </row>
    <row r="89" spans="1:4">
      <c r="D89" t="s">
        <v>1700</v>
      </c>
    </row>
    <row r="90" spans="1:4">
      <c r="D90" s="1139" t="s">
        <v>1721</v>
      </c>
    </row>
    <row r="91" spans="1:4">
      <c r="D91" t="s">
        <v>1713</v>
      </c>
    </row>
    <row r="92" spans="1:4">
      <c r="D92" s="1062" t="s">
        <v>1714</v>
      </c>
    </row>
    <row r="93" spans="1:4">
      <c r="D93" s="1062" t="s">
        <v>1722</v>
      </c>
    </row>
    <row r="95" spans="1:4">
      <c r="A95" s="8">
        <v>12</v>
      </c>
      <c r="B95" s="8" t="s">
        <v>1213</v>
      </c>
      <c r="C95" s="1138">
        <v>44440</v>
      </c>
      <c r="D95" s="1139" t="s">
        <v>1712</v>
      </c>
    </row>
    <row r="97" spans="1:4">
      <c r="A97" s="8">
        <v>11</v>
      </c>
      <c r="B97" s="8" t="s">
        <v>1213</v>
      </c>
      <c r="C97" s="1138">
        <v>44409</v>
      </c>
      <c r="D97" t="s">
        <v>1709</v>
      </c>
    </row>
    <row r="98" spans="1:4">
      <c r="C98" s="1138"/>
      <c r="D98" t="s">
        <v>1708</v>
      </c>
    </row>
    <row r="99" spans="1:4">
      <c r="C99" s="1138"/>
      <c r="D99" t="s">
        <v>1710</v>
      </c>
    </row>
    <row r="100" spans="1:4">
      <c r="C100" s="1138"/>
      <c r="D100" s="1062" t="s">
        <v>1711</v>
      </c>
    </row>
    <row r="102" spans="1:4">
      <c r="A102" s="8">
        <v>10</v>
      </c>
      <c r="B102" s="8" t="s">
        <v>1213</v>
      </c>
      <c r="C102" s="1138">
        <v>44317</v>
      </c>
      <c r="D102" t="s">
        <v>1665</v>
      </c>
    </row>
    <row r="103" spans="1:4">
      <c r="D103" t="s">
        <v>1671</v>
      </c>
    </row>
    <row r="104" spans="1:4">
      <c r="D104" t="s">
        <v>1678</v>
      </c>
    </row>
    <row r="106" spans="1:4">
      <c r="A106" s="8">
        <v>9</v>
      </c>
      <c r="B106" s="8" t="s">
        <v>1213</v>
      </c>
      <c r="C106" s="1138">
        <v>44228</v>
      </c>
      <c r="D106" s="1062" t="s">
        <v>1667</v>
      </c>
    </row>
    <row r="107" spans="1:4">
      <c r="D107" s="1062" t="s">
        <v>1668</v>
      </c>
    </row>
    <row r="108" spans="1:4">
      <c r="D108" s="1062" t="s">
        <v>1670</v>
      </c>
    </row>
    <row r="109" spans="1:4">
      <c r="D109" t="s">
        <v>1699</v>
      </c>
    </row>
    <row r="110" spans="1:4">
      <c r="D110" s="1062"/>
    </row>
    <row r="111" spans="1:4">
      <c r="A111" s="1141" t="s">
        <v>1085</v>
      </c>
      <c r="B111" s="1141" t="s">
        <v>1682</v>
      </c>
      <c r="C111" s="1142">
        <v>44197</v>
      </c>
      <c r="D111" s="1139" t="s">
        <v>1686</v>
      </c>
    </row>
    <row r="112" spans="1:4">
      <c r="D112" s="1139" t="s">
        <v>1685</v>
      </c>
    </row>
    <row r="114" spans="1:4">
      <c r="A114" s="8">
        <v>8</v>
      </c>
      <c r="B114" s="8" t="s">
        <v>1213</v>
      </c>
      <c r="C114" s="1138">
        <v>43891</v>
      </c>
      <c r="D114" s="1062" t="s">
        <v>1666</v>
      </c>
    </row>
    <row r="115" spans="1:4">
      <c r="D115" t="s">
        <v>1669</v>
      </c>
    </row>
    <row r="116" spans="1:4">
      <c r="D116" s="1139" t="s">
        <v>1676</v>
      </c>
    </row>
    <row r="117" spans="1:4">
      <c r="D117" t="s">
        <v>1678</v>
      </c>
    </row>
    <row r="118" spans="1:4">
      <c r="D118" s="1062" t="s">
        <v>1695</v>
      </c>
    </row>
    <row r="119" spans="1:4">
      <c r="D119" s="1062" t="s">
        <v>1696</v>
      </c>
    </row>
    <row r="120" spans="1:4">
      <c r="D120" t="s">
        <v>1698</v>
      </c>
    </row>
    <row r="122" spans="1:4">
      <c r="A122" s="1140" t="s">
        <v>1715</v>
      </c>
      <c r="B122" s="1141" t="s">
        <v>1673</v>
      </c>
      <c r="C122" s="1142">
        <v>43709</v>
      </c>
      <c r="D122" s="1139" t="s">
        <v>1684</v>
      </c>
    </row>
    <row r="123" spans="1:4">
      <c r="A123" s="1140"/>
      <c r="B123" s="1141"/>
      <c r="C123" s="1142"/>
      <c r="D123" s="1139" t="s">
        <v>1685</v>
      </c>
    </row>
    <row r="125" spans="1:4">
      <c r="A125" s="8">
        <v>7</v>
      </c>
      <c r="B125" s="8" t="s">
        <v>1677</v>
      </c>
      <c r="C125" s="1138">
        <v>43709</v>
      </c>
      <c r="D125" t="s">
        <v>1669</v>
      </c>
    </row>
    <row r="126" spans="1:4">
      <c r="A126" s="1137"/>
      <c r="C126" s="1138"/>
      <c r="D126" t="s">
        <v>1692</v>
      </c>
    </row>
    <row r="127" spans="1:4">
      <c r="A127" s="1137"/>
      <c r="C127" s="1138"/>
      <c r="D127" t="s">
        <v>1690</v>
      </c>
    </row>
    <row r="128" spans="1:4">
      <c r="A128" s="1137"/>
      <c r="C128" s="1138"/>
      <c r="D128" s="1062" t="s">
        <v>1717</v>
      </c>
    </row>
    <row r="130" spans="1:4">
      <c r="A130" s="8">
        <v>6</v>
      </c>
      <c r="B130" s="8" t="s">
        <v>1677</v>
      </c>
      <c r="C130" s="1138">
        <v>43586</v>
      </c>
      <c r="D130" t="s">
        <v>1693</v>
      </c>
    </row>
    <row r="131" spans="1:4">
      <c r="A131" s="1137"/>
      <c r="C131" s="1138"/>
      <c r="D131" t="s">
        <v>1694</v>
      </c>
    </row>
    <row r="133" spans="1:4">
      <c r="A133" s="8">
        <v>5</v>
      </c>
      <c r="B133" s="8" t="s">
        <v>1677</v>
      </c>
      <c r="C133" s="1138">
        <v>43405</v>
      </c>
      <c r="D133" t="s">
        <v>1720</v>
      </c>
    </row>
    <row r="134" spans="1:4">
      <c r="A134" s="1137"/>
      <c r="C134" s="1138"/>
    </row>
    <row r="135" spans="1:4">
      <c r="A135" s="8">
        <v>4</v>
      </c>
      <c r="B135" s="8" t="s">
        <v>1677</v>
      </c>
      <c r="C135" s="1138">
        <v>43374</v>
      </c>
      <c r="D135" t="s">
        <v>1691</v>
      </c>
    </row>
    <row r="136" spans="1:4">
      <c r="A136" s="1137"/>
      <c r="C136" s="1138"/>
      <c r="D136" t="s">
        <v>1678</v>
      </c>
    </row>
    <row r="138" spans="1:4">
      <c r="A138" s="8">
        <v>3</v>
      </c>
      <c r="B138" s="8" t="s">
        <v>1677</v>
      </c>
      <c r="C138" s="1138">
        <v>43344</v>
      </c>
      <c r="D138" t="s">
        <v>1707</v>
      </c>
    </row>
    <row r="140" spans="1:4">
      <c r="A140" s="1137" t="s">
        <v>1705</v>
      </c>
      <c r="B140" s="8" t="s">
        <v>1677</v>
      </c>
      <c r="C140" s="1138">
        <v>42979</v>
      </c>
      <c r="D140" s="1062" t="s">
        <v>1675</v>
      </c>
    </row>
    <row r="142" spans="1:4">
      <c r="A142" s="1137" t="s">
        <v>1705</v>
      </c>
      <c r="B142" s="8" t="s">
        <v>1677</v>
      </c>
      <c r="C142" s="1138">
        <v>42917</v>
      </c>
      <c r="D142" s="1062" t="s">
        <v>1706</v>
      </c>
    </row>
  </sheetData>
  <sheetProtection algorithmName="SHA-512" hashValue="/Z5g9hmWztS8Q2DKXvsS0+U+HXATQ9ZWbts0orNp4ur8UvArNaFnBZqwBgqnEnwd7JgECpiDYWhL1bpDNY101w==" saltValue="J6AMgypRX7a/mfkUsySfm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CC75"/>
  <sheetViews>
    <sheetView topLeftCell="A16" zoomScaleNormal="100" workbookViewId="0">
      <selection activeCell="C12" sqref="C12"/>
    </sheetView>
  </sheetViews>
  <sheetFormatPr baseColWidth="10" defaultColWidth="10.83203125" defaultRowHeight="16"/>
  <cols>
    <col min="1" max="1" width="2.1640625" customWidth="1"/>
    <col min="2" max="2" width="8" style="8" customWidth="1"/>
    <col min="3" max="3" width="25.33203125" customWidth="1"/>
    <col min="4" max="4" width="7.5" customWidth="1"/>
    <col min="5" max="5" width="6.83203125" style="8" customWidth="1"/>
    <col min="6" max="6" width="5.83203125" customWidth="1"/>
    <col min="7" max="7" width="10.83203125" style="8"/>
    <col min="8" max="8" width="25" customWidth="1"/>
    <col min="9" max="9" width="6.33203125" customWidth="1"/>
    <col min="10" max="10" width="6.83203125" style="8" customWidth="1"/>
    <col min="11" max="11" width="5.83203125" customWidth="1"/>
    <col min="12" max="12" width="10.83203125" style="8" customWidth="1"/>
    <col min="13" max="13" width="24.83203125" customWidth="1"/>
    <col min="14" max="14" width="6.33203125" customWidth="1"/>
    <col min="15" max="15" width="6.83203125" style="8" customWidth="1"/>
    <col min="16" max="16" width="5.83203125" customWidth="1"/>
    <col min="17" max="17" width="10.83203125" style="8" customWidth="1"/>
    <col min="18" max="18" width="23.1640625" customWidth="1"/>
    <col min="19" max="19" width="6.33203125" customWidth="1"/>
    <col min="20" max="20" width="6.83203125" style="8" customWidth="1"/>
    <col min="21" max="21" width="5.83203125" customWidth="1"/>
    <col min="22" max="22" width="10.83203125" style="8" customWidth="1"/>
    <col min="23" max="23" width="24.5" customWidth="1"/>
    <col min="24" max="24" width="6.33203125" customWidth="1"/>
    <col min="25" max="25" width="6.83203125" style="8" customWidth="1"/>
    <col min="26" max="26" width="5.83203125" customWidth="1"/>
    <col min="27" max="27" width="10.83203125" style="8" customWidth="1"/>
    <col min="28" max="28" width="22.5" customWidth="1"/>
    <col min="29" max="29" width="6.33203125" customWidth="1"/>
    <col min="30" max="30" width="6.83203125" style="8" customWidth="1"/>
    <col min="31" max="31" width="5.83203125" customWidth="1"/>
    <col min="32" max="32" width="10.83203125" style="8" customWidth="1"/>
    <col min="33" max="33" width="26.1640625" customWidth="1"/>
    <col min="34" max="34" width="6.33203125" customWidth="1"/>
    <col min="35" max="35" width="6.83203125" style="8" customWidth="1"/>
    <col min="36" max="36" width="5.83203125" customWidth="1"/>
    <col min="37" max="37" width="10.83203125" style="8" customWidth="1"/>
    <col min="38" max="38" width="26.6640625" customWidth="1"/>
    <col min="39" max="39" width="6.1640625" customWidth="1"/>
    <col min="40" max="40" width="6.83203125" style="8" customWidth="1"/>
    <col min="41" max="41" width="5.83203125" customWidth="1"/>
    <col min="42" max="42" width="10.83203125" customWidth="1"/>
    <col min="43" max="43" width="27.6640625" customWidth="1"/>
    <col min="44" max="44" width="5.83203125" customWidth="1"/>
    <col min="45" max="45" width="7.83203125" style="8" customWidth="1"/>
    <col min="46" max="46" width="5.33203125" customWidth="1"/>
    <col min="47" max="47" width="11.1640625" customWidth="1"/>
    <col min="48" max="48" width="28.33203125" customWidth="1"/>
    <col min="49" max="49" width="6" customWidth="1"/>
    <col min="50" max="50" width="8.33203125" style="8" customWidth="1"/>
    <col min="51" max="51" width="5.33203125" customWidth="1"/>
    <col min="52" max="52" width="10.83203125" customWidth="1"/>
    <col min="53" max="53" width="29" customWidth="1"/>
    <col min="54" max="54" width="6.1640625" customWidth="1"/>
    <col min="55" max="55" width="6.83203125" style="8" customWidth="1"/>
    <col min="56" max="56" width="5.83203125" customWidth="1"/>
    <col min="57" max="57" width="10.83203125" customWidth="1"/>
    <col min="58" max="58" width="30.1640625" customWidth="1"/>
    <col min="59" max="59" width="6.33203125" customWidth="1"/>
    <col min="60" max="60" width="6.83203125" style="8" customWidth="1"/>
    <col min="61" max="61" width="5.83203125" customWidth="1"/>
    <col min="62" max="62" width="10.83203125" customWidth="1"/>
    <col min="63" max="63" width="41.1640625" customWidth="1"/>
    <col min="64" max="64" width="6.33203125" customWidth="1"/>
    <col min="65" max="65" width="6.83203125" style="8" customWidth="1"/>
    <col min="66" max="66" width="5.33203125" customWidth="1"/>
    <col min="68" max="68" width="36.5" customWidth="1"/>
    <col min="69" max="69" width="6.33203125" customWidth="1"/>
    <col min="70" max="70" width="6.83203125" style="8" customWidth="1"/>
    <col min="71" max="71" width="5.33203125" customWidth="1"/>
    <col min="73" max="73" width="34.33203125" customWidth="1"/>
    <col min="74" max="74" width="6.1640625" customWidth="1"/>
    <col min="75" max="75" width="6.83203125" style="8" customWidth="1"/>
  </cols>
  <sheetData>
    <row r="1" spans="1:81" ht="10" customHeight="1" thickBot="1">
      <c r="A1" s="1094"/>
      <c r="B1" s="1073"/>
      <c r="C1" s="1094"/>
      <c r="D1" s="1094"/>
      <c r="E1" s="1073"/>
      <c r="F1" s="1094"/>
      <c r="G1" s="1717"/>
      <c r="H1" s="1094"/>
      <c r="I1" s="1094"/>
      <c r="J1" s="1073"/>
      <c r="K1" s="1094"/>
      <c r="L1" s="1073"/>
      <c r="M1" s="1094"/>
      <c r="N1" s="1094"/>
      <c r="O1" s="1073"/>
      <c r="P1" s="1094"/>
      <c r="Q1" s="1073"/>
      <c r="R1" s="1094"/>
      <c r="S1" s="1094"/>
      <c r="T1" s="1073"/>
      <c r="U1" s="1094"/>
      <c r="V1" s="1073"/>
      <c r="W1" s="1094"/>
      <c r="X1" s="1094"/>
      <c r="Y1" s="1073"/>
      <c r="Z1" s="1094"/>
      <c r="AA1" s="1073"/>
      <c r="AB1" s="1094"/>
      <c r="AC1" s="1094"/>
      <c r="AD1" s="1073"/>
      <c r="AE1" s="1094"/>
      <c r="AF1" s="1073"/>
      <c r="AG1" s="1094"/>
      <c r="AH1" s="1094"/>
      <c r="AI1" s="1073"/>
      <c r="AJ1" s="1094"/>
      <c r="AK1" s="1073"/>
      <c r="AL1" s="1094"/>
      <c r="AM1" s="1094"/>
      <c r="AN1" s="1073"/>
      <c r="AO1" s="1094"/>
      <c r="AP1" s="1094"/>
      <c r="AQ1" s="1094"/>
      <c r="AR1" s="1094"/>
      <c r="AS1" s="1073"/>
      <c r="AT1" s="1094"/>
      <c r="AU1" s="1094"/>
      <c r="AV1" s="1094"/>
      <c r="AW1" s="1094"/>
      <c r="AX1" s="1073"/>
      <c r="AY1" s="1094"/>
      <c r="AZ1" s="1094"/>
      <c r="BA1" s="1094"/>
      <c r="BB1" s="1094"/>
      <c r="BC1" s="1073"/>
      <c r="BD1" s="1094"/>
      <c r="BE1" s="1094"/>
      <c r="BF1" s="1094"/>
      <c r="BG1" s="1094"/>
      <c r="BH1" s="1073"/>
      <c r="BI1" s="1094"/>
      <c r="BJ1" s="1094"/>
      <c r="BK1" s="1094"/>
      <c r="BL1" s="1094"/>
      <c r="BM1" s="1073"/>
      <c r="BN1" s="1094"/>
      <c r="BO1" s="1094"/>
      <c r="BP1" s="1094"/>
      <c r="BQ1" s="1094"/>
      <c r="BR1" s="1073"/>
      <c r="BS1" s="1094"/>
      <c r="BT1" s="1094"/>
      <c r="BU1" s="1094"/>
      <c r="BV1" s="1094"/>
      <c r="BW1" s="1073"/>
      <c r="BX1" s="1094"/>
    </row>
    <row r="2" spans="1:81" ht="29" customHeight="1" thickBot="1">
      <c r="A2" s="1094"/>
      <c r="B2" s="491" t="s">
        <v>1000</v>
      </c>
      <c r="C2" s="492" t="s">
        <v>0</v>
      </c>
      <c r="D2" s="494" t="s">
        <v>243</v>
      </c>
      <c r="E2" s="1717"/>
      <c r="F2" s="1094"/>
      <c r="G2" s="1717"/>
      <c r="H2" s="1094"/>
      <c r="I2" s="1094"/>
      <c r="J2" s="1073"/>
      <c r="K2" s="1094"/>
      <c r="L2" s="1073"/>
      <c r="M2" s="1094"/>
      <c r="N2" s="1094"/>
      <c r="O2" s="1073"/>
      <c r="P2" s="1094"/>
      <c r="Q2" s="1073"/>
      <c r="R2" s="1094"/>
      <c r="S2" s="1094"/>
      <c r="T2" s="1073"/>
      <c r="U2" s="1094"/>
      <c r="V2" s="1073"/>
      <c r="W2" s="1094"/>
      <c r="X2" s="1094"/>
      <c r="Y2" s="1073"/>
      <c r="Z2" s="1094"/>
      <c r="AA2" s="1073"/>
      <c r="AB2" s="1094"/>
      <c r="AC2" s="1094"/>
      <c r="AD2" s="1073"/>
      <c r="AE2" s="1094"/>
      <c r="AF2" s="1073"/>
      <c r="AG2" s="1094"/>
      <c r="AH2" s="1094"/>
      <c r="AI2" s="1073"/>
      <c r="AJ2" s="1094"/>
      <c r="AK2" s="1073"/>
      <c r="AL2" s="1094"/>
      <c r="AM2" s="1094"/>
      <c r="AN2" s="1073"/>
      <c r="AO2" s="1094"/>
      <c r="AP2" s="1094"/>
      <c r="AQ2" s="1094"/>
      <c r="AR2" s="1094"/>
      <c r="AS2" s="1073"/>
      <c r="AT2" s="1094"/>
      <c r="AU2" s="1094"/>
      <c r="AV2" s="1094"/>
      <c r="AW2" s="1094"/>
      <c r="AX2" s="1073"/>
      <c r="AY2" s="1094"/>
      <c r="AZ2" s="1094"/>
      <c r="BA2" s="1094"/>
      <c r="BB2" s="1094"/>
      <c r="BC2" s="1073"/>
      <c r="BD2" s="1094"/>
      <c r="BE2" s="1094"/>
      <c r="BF2" s="1094"/>
      <c r="BG2" s="1094"/>
      <c r="BH2" s="1073"/>
      <c r="BI2" s="1094"/>
      <c r="BJ2" s="1094"/>
      <c r="BK2" s="1094"/>
      <c r="BL2" s="1094"/>
      <c r="BM2" s="1073"/>
      <c r="BN2" s="1094"/>
      <c r="BO2" s="1094"/>
      <c r="BP2" s="1094"/>
      <c r="BQ2" s="1094"/>
      <c r="BR2" s="1073"/>
      <c r="BS2" s="1094"/>
      <c r="BT2" s="1094"/>
      <c r="BU2" s="1094"/>
      <c r="BV2" s="1094"/>
      <c r="BW2" s="1073"/>
      <c r="BX2" s="1094"/>
    </row>
    <row r="3" spans="1:81" ht="28" customHeight="1" thickBot="1">
      <c r="A3" s="1094"/>
      <c r="B3" s="1145">
        <v>310</v>
      </c>
      <c r="C3" s="1069" t="str">
        <f>VLOOKUP(B3,Sheet1!A1:C815,2,FALSE)</f>
        <v>Black</v>
      </c>
      <c r="D3" s="1070">
        <f>VLOOKUP(B3,Sheet1!A1:C815,3,FALSE)</f>
        <v>0</v>
      </c>
      <c r="E3" s="1717"/>
      <c r="F3" s="1094"/>
      <c r="G3" s="1717"/>
      <c r="H3" s="1094"/>
      <c r="I3" s="1094"/>
      <c r="J3" s="1073"/>
      <c r="K3" s="1094"/>
      <c r="L3" s="1073"/>
      <c r="M3" s="1094"/>
      <c r="N3" s="1094"/>
      <c r="O3" s="1073"/>
      <c r="P3" s="1094"/>
      <c r="Q3" s="1073"/>
      <c r="R3" s="1094"/>
      <c r="S3" s="1094"/>
      <c r="T3" s="1073"/>
      <c r="U3" s="1094"/>
      <c r="V3" s="1073"/>
      <c r="W3" s="1094"/>
      <c r="X3" s="1094"/>
      <c r="Y3" s="1073"/>
      <c r="Z3" s="1094"/>
      <c r="AA3" s="1073"/>
      <c r="AB3" s="1094"/>
      <c r="AC3" s="1094"/>
      <c r="AD3" s="1073"/>
      <c r="AE3" s="1094"/>
      <c r="AF3" s="1073"/>
      <c r="AG3" s="1094"/>
      <c r="AH3" s="1094"/>
      <c r="AI3" s="1073"/>
      <c r="AJ3" s="1094"/>
      <c r="AK3" s="1073"/>
      <c r="AL3" s="1094"/>
      <c r="AM3" s="1094"/>
      <c r="AN3" s="1073"/>
      <c r="AO3" s="1094"/>
      <c r="AP3" s="1094"/>
      <c r="AQ3" s="1094"/>
      <c r="AR3" s="1094"/>
      <c r="AS3" s="1073"/>
      <c r="AT3" s="1094"/>
      <c r="AU3" s="1094"/>
      <c r="AV3" s="1094"/>
      <c r="AW3" s="1094"/>
      <c r="AX3" s="1073"/>
      <c r="AY3" s="1094"/>
      <c r="AZ3" s="1094"/>
      <c r="BA3" s="1094"/>
      <c r="BB3" s="1094"/>
      <c r="BC3" s="1073"/>
      <c r="BD3" s="1094"/>
      <c r="BE3" s="1094"/>
      <c r="BF3" s="1094"/>
      <c r="BG3" s="1094"/>
      <c r="BH3" s="1073"/>
      <c r="BI3" s="1094"/>
      <c r="BJ3" s="1094"/>
      <c r="BK3" s="1094"/>
      <c r="BL3" s="1094"/>
      <c r="BM3" s="1073"/>
      <c r="BN3" s="1094"/>
      <c r="BO3" s="1094"/>
      <c r="BP3" s="1094"/>
      <c r="BQ3" s="1094"/>
      <c r="BR3" s="1073"/>
      <c r="BS3" s="1094"/>
      <c r="BT3" s="1094"/>
      <c r="BU3" s="1094"/>
      <c r="BV3" s="1094"/>
      <c r="BW3" s="1073"/>
      <c r="BX3" s="1094"/>
    </row>
    <row r="4" spans="1:81" ht="10" customHeight="1" thickBot="1">
      <c r="A4" s="1094"/>
      <c r="B4" s="1073"/>
      <c r="C4" s="1094"/>
      <c r="D4" s="1094"/>
      <c r="E4" s="1073"/>
      <c r="F4" s="1094"/>
      <c r="G4" s="1717" t="s">
        <v>290</v>
      </c>
      <c r="H4" s="1094"/>
      <c r="I4" s="1094"/>
      <c r="J4" s="1073"/>
      <c r="K4" s="1094"/>
      <c r="L4" s="1073"/>
      <c r="M4" s="1094"/>
      <c r="N4" s="1094"/>
      <c r="O4" s="1073"/>
      <c r="P4" s="1094"/>
      <c r="Q4" s="1073"/>
      <c r="R4" s="1094"/>
      <c r="S4" s="1094"/>
      <c r="T4" s="1073"/>
      <c r="U4" s="1094"/>
      <c r="V4" s="1073"/>
      <c r="W4" s="1094"/>
      <c r="X4" s="1094"/>
      <c r="Y4" s="1073"/>
      <c r="Z4" s="1094"/>
      <c r="AA4" s="1073"/>
      <c r="AB4" s="1094"/>
      <c r="AC4" s="1094"/>
      <c r="AD4" s="1073"/>
      <c r="AE4" s="1094"/>
      <c r="AF4" s="1073"/>
      <c r="AG4" s="1094"/>
      <c r="AH4" s="1094"/>
      <c r="AI4" s="1073"/>
      <c r="AJ4" s="1094"/>
      <c r="AK4" s="1073"/>
      <c r="AL4" s="1094"/>
      <c r="AM4" s="1094"/>
      <c r="AN4" s="1073"/>
      <c r="AO4" s="1094"/>
      <c r="AP4" s="1094"/>
      <c r="AQ4" s="1094"/>
      <c r="AR4" s="1094"/>
      <c r="AS4" s="1073"/>
      <c r="AT4" s="1094"/>
      <c r="AU4" s="1094"/>
      <c r="AV4" s="1094"/>
      <c r="AW4" s="1094"/>
      <c r="AX4" s="1073"/>
      <c r="AY4" s="1094"/>
      <c r="AZ4" s="1094"/>
      <c r="BA4" s="1094"/>
      <c r="BB4" s="1094"/>
      <c r="BC4" s="1073"/>
      <c r="BD4" s="1094"/>
      <c r="BE4" s="1094"/>
      <c r="BF4" s="1094"/>
      <c r="BG4" s="1094"/>
      <c r="BH4" s="1073"/>
      <c r="BI4" s="1094"/>
      <c r="BJ4" s="1094"/>
      <c r="BK4" s="1094"/>
      <c r="BL4" s="1094"/>
      <c r="BM4" s="1073"/>
      <c r="BN4" s="1094"/>
      <c r="BO4" s="1094"/>
      <c r="BP4" s="1094"/>
      <c r="BQ4" s="1094"/>
      <c r="BR4" s="1073"/>
      <c r="BS4" s="1094"/>
      <c r="BT4" s="1094"/>
      <c r="BU4" s="1094"/>
      <c r="BV4" s="1094"/>
      <c r="BW4" s="1073"/>
      <c r="BX4" s="1094"/>
    </row>
    <row r="5" spans="1:81" ht="17" customHeight="1" thickBot="1">
      <c r="A5" s="1718"/>
      <c r="B5" s="491" t="s">
        <v>61</v>
      </c>
      <c r="C5" s="492" t="s">
        <v>0</v>
      </c>
      <c r="D5" s="493" t="s">
        <v>1</v>
      </c>
      <c r="E5" s="494" t="s">
        <v>243</v>
      </c>
      <c r="F5" s="1718"/>
      <c r="G5" s="491" t="s">
        <v>61</v>
      </c>
      <c r="H5" s="492" t="s">
        <v>0</v>
      </c>
      <c r="I5" s="493" t="s">
        <v>1</v>
      </c>
      <c r="J5" s="494" t="s">
        <v>243</v>
      </c>
      <c r="K5" s="1718"/>
      <c r="L5" s="491" t="s">
        <v>61</v>
      </c>
      <c r="M5" s="492" t="s">
        <v>0</v>
      </c>
      <c r="N5" s="493" t="s">
        <v>1</v>
      </c>
      <c r="O5" s="494" t="s">
        <v>243</v>
      </c>
      <c r="P5" s="1718"/>
      <c r="Q5" s="491" t="s">
        <v>61</v>
      </c>
      <c r="R5" s="492" t="s">
        <v>0</v>
      </c>
      <c r="S5" s="493" t="s">
        <v>1</v>
      </c>
      <c r="T5" s="494" t="s">
        <v>243</v>
      </c>
      <c r="U5" s="1718"/>
      <c r="V5" s="491" t="s">
        <v>61</v>
      </c>
      <c r="W5" s="492" t="s">
        <v>0</v>
      </c>
      <c r="X5" s="493" t="s">
        <v>1</v>
      </c>
      <c r="Y5" s="494" t="s">
        <v>243</v>
      </c>
      <c r="Z5" s="1718"/>
      <c r="AA5" s="491" t="s">
        <v>61</v>
      </c>
      <c r="AB5" s="492" t="s">
        <v>0</v>
      </c>
      <c r="AC5" s="493" t="s">
        <v>1</v>
      </c>
      <c r="AD5" s="494" t="s">
        <v>243</v>
      </c>
      <c r="AE5" s="1718"/>
      <c r="AF5" s="491" t="s">
        <v>61</v>
      </c>
      <c r="AG5" s="492" t="s">
        <v>0</v>
      </c>
      <c r="AH5" s="493" t="s">
        <v>1</v>
      </c>
      <c r="AI5" s="494" t="s">
        <v>243</v>
      </c>
      <c r="AJ5" s="1718"/>
      <c r="AK5" s="491" t="s">
        <v>61</v>
      </c>
      <c r="AL5" s="492" t="s">
        <v>0</v>
      </c>
      <c r="AM5" s="493" t="s">
        <v>1</v>
      </c>
      <c r="AN5" s="494" t="s">
        <v>243</v>
      </c>
      <c r="AO5" s="1094"/>
      <c r="AP5" s="519" t="s">
        <v>61</v>
      </c>
      <c r="AQ5" s="520" t="s">
        <v>0</v>
      </c>
      <c r="AR5" s="521" t="s">
        <v>1</v>
      </c>
      <c r="AS5" s="522" t="s">
        <v>243</v>
      </c>
      <c r="AT5" s="1094"/>
      <c r="AU5" s="519" t="s">
        <v>61</v>
      </c>
      <c r="AV5" s="520" t="s">
        <v>0</v>
      </c>
      <c r="AW5" s="521" t="s">
        <v>1</v>
      </c>
      <c r="AX5" s="522" t="s">
        <v>243</v>
      </c>
      <c r="AY5" s="1094"/>
      <c r="AZ5" s="519" t="s">
        <v>61</v>
      </c>
      <c r="BA5" s="520" t="s">
        <v>0</v>
      </c>
      <c r="BB5" s="521" t="s">
        <v>1</v>
      </c>
      <c r="BC5" s="522" t="s">
        <v>243</v>
      </c>
      <c r="BD5" s="1094"/>
      <c r="BE5" s="519" t="s">
        <v>61</v>
      </c>
      <c r="BF5" s="520" t="s">
        <v>0</v>
      </c>
      <c r="BG5" s="521" t="s">
        <v>1</v>
      </c>
      <c r="BH5" s="522" t="s">
        <v>243</v>
      </c>
      <c r="BI5" s="1094"/>
      <c r="BJ5" s="519" t="s">
        <v>61</v>
      </c>
      <c r="BK5" s="520" t="s">
        <v>0</v>
      </c>
      <c r="BL5" s="521" t="s">
        <v>1</v>
      </c>
      <c r="BM5" s="522" t="s">
        <v>243</v>
      </c>
      <c r="BN5" s="1094"/>
      <c r="BO5" s="2096" t="s">
        <v>1049</v>
      </c>
      <c r="BP5" s="2097"/>
      <c r="BQ5" s="2097"/>
      <c r="BR5" s="2098"/>
      <c r="BS5" s="1094"/>
      <c r="BT5" s="2096" t="s">
        <v>1048</v>
      </c>
      <c r="BU5" s="2097"/>
      <c r="BV5" s="2097"/>
      <c r="BW5" s="2098"/>
      <c r="BX5" s="1094"/>
    </row>
    <row r="6" spans="1:81" ht="17" thickBot="1">
      <c r="A6" s="1718"/>
      <c r="B6" s="13" t="s">
        <v>44</v>
      </c>
      <c r="C6" s="14" t="s">
        <v>45</v>
      </c>
      <c r="D6" s="510"/>
      <c r="E6" s="1146"/>
      <c r="F6" s="1718"/>
      <c r="G6" s="13">
        <v>300</v>
      </c>
      <c r="H6" s="14" t="s">
        <v>402</v>
      </c>
      <c r="I6" s="509"/>
      <c r="J6" s="1146"/>
      <c r="K6" s="1718"/>
      <c r="L6" s="13">
        <v>517</v>
      </c>
      <c r="M6" s="14" t="s">
        <v>315</v>
      </c>
      <c r="N6" s="507"/>
      <c r="O6" s="1146"/>
      <c r="P6" s="1718"/>
      <c r="Q6" s="13">
        <v>739</v>
      </c>
      <c r="R6" s="14" t="s">
        <v>664</v>
      </c>
      <c r="S6" s="505"/>
      <c r="T6" s="1146"/>
      <c r="U6" s="1718"/>
      <c r="V6" s="13">
        <v>890</v>
      </c>
      <c r="W6" s="14" t="s">
        <v>665</v>
      </c>
      <c r="X6" s="503"/>
      <c r="Y6" s="1146"/>
      <c r="Z6" s="1718"/>
      <c r="AA6" s="13">
        <v>988</v>
      </c>
      <c r="AB6" s="14" t="s">
        <v>460</v>
      </c>
      <c r="AC6" s="501"/>
      <c r="AD6" s="1146"/>
      <c r="AE6" s="1718"/>
      <c r="AF6" s="13">
        <v>3752</v>
      </c>
      <c r="AG6" s="14" t="s">
        <v>536</v>
      </c>
      <c r="AH6" s="499"/>
      <c r="AI6" s="1146"/>
      <c r="AJ6" s="1718"/>
      <c r="AK6" s="13">
        <v>3845</v>
      </c>
      <c r="AL6" s="14" t="s">
        <v>461</v>
      </c>
      <c r="AM6" s="497"/>
      <c r="AN6" s="1146"/>
      <c r="AO6" s="1094"/>
      <c r="AP6" s="11" t="s">
        <v>923</v>
      </c>
      <c r="AQ6" s="518" t="s">
        <v>934</v>
      </c>
      <c r="AR6" s="1082"/>
      <c r="AS6" s="1146"/>
      <c r="AT6" s="1094"/>
      <c r="AU6" s="11">
        <v>4120</v>
      </c>
      <c r="AV6" s="14" t="s">
        <v>183</v>
      </c>
      <c r="AW6" s="518"/>
      <c r="AX6" s="1153"/>
      <c r="AY6" s="1094"/>
      <c r="AZ6" s="11">
        <v>4500</v>
      </c>
      <c r="BA6" s="14" t="s">
        <v>219</v>
      </c>
      <c r="BB6" s="518"/>
      <c r="BC6" s="1155"/>
      <c r="BD6" s="1094"/>
      <c r="BE6" s="11" t="s">
        <v>812</v>
      </c>
      <c r="BF6" s="518" t="s">
        <v>813</v>
      </c>
      <c r="BG6" s="540"/>
      <c r="BH6" s="1146"/>
      <c r="BI6" s="1094"/>
      <c r="BJ6" s="11">
        <v>30300</v>
      </c>
      <c r="BK6" s="518" t="s">
        <v>1393</v>
      </c>
      <c r="BL6" s="509"/>
      <c r="BM6" s="1146"/>
      <c r="BN6" s="1094"/>
      <c r="BO6" s="519" t="s">
        <v>61</v>
      </c>
      <c r="BP6" s="520" t="s">
        <v>0</v>
      </c>
      <c r="BQ6" s="521" t="s">
        <v>1</v>
      </c>
      <c r="BR6" s="522" t="s">
        <v>243</v>
      </c>
      <c r="BS6" s="1094"/>
      <c r="BT6" s="519" t="s">
        <v>61</v>
      </c>
      <c r="BU6" s="520" t="s">
        <v>0</v>
      </c>
      <c r="BV6" s="521" t="s">
        <v>1</v>
      </c>
      <c r="BW6" s="522" t="s">
        <v>243</v>
      </c>
      <c r="BX6" s="1094"/>
    </row>
    <row r="7" spans="1:81">
      <c r="A7" s="1718"/>
      <c r="B7" s="1" t="s">
        <v>962</v>
      </c>
      <c r="C7" s="2" t="s">
        <v>46</v>
      </c>
      <c r="D7" s="432"/>
      <c r="E7" s="1147"/>
      <c r="F7" s="1718"/>
      <c r="G7" s="1">
        <v>301</v>
      </c>
      <c r="H7" s="2" t="s">
        <v>462</v>
      </c>
      <c r="I7" s="47"/>
      <c r="J7" s="1147"/>
      <c r="K7" s="1718"/>
      <c r="L7" s="1">
        <v>518</v>
      </c>
      <c r="M7" s="2" t="s">
        <v>537</v>
      </c>
      <c r="N7" s="315"/>
      <c r="O7" s="1147"/>
      <c r="P7" s="1718"/>
      <c r="Q7" s="1">
        <v>740</v>
      </c>
      <c r="R7" s="2" t="s">
        <v>21</v>
      </c>
      <c r="S7" s="255"/>
      <c r="T7" s="1147"/>
      <c r="U7" s="1718"/>
      <c r="V7" s="1">
        <v>891</v>
      </c>
      <c r="W7" s="2" t="s">
        <v>316</v>
      </c>
      <c r="X7" s="193"/>
      <c r="Y7" s="1147"/>
      <c r="Z7" s="1718"/>
      <c r="AA7" s="1">
        <v>989</v>
      </c>
      <c r="AB7" s="2" t="s">
        <v>35</v>
      </c>
      <c r="AC7" s="130"/>
      <c r="AD7" s="1147"/>
      <c r="AE7" s="1718"/>
      <c r="AF7" s="1">
        <v>3753</v>
      </c>
      <c r="AG7" s="2" t="s">
        <v>666</v>
      </c>
      <c r="AH7" s="68"/>
      <c r="AI7" s="1147"/>
      <c r="AJ7" s="1718"/>
      <c r="AK7" s="1">
        <v>3846</v>
      </c>
      <c r="AL7" s="2" t="s">
        <v>538</v>
      </c>
      <c r="AM7" s="25"/>
      <c r="AN7" s="1147"/>
      <c r="AO7" s="1094"/>
      <c r="AP7" s="9" t="s">
        <v>925</v>
      </c>
      <c r="AQ7" s="6" t="s">
        <v>935</v>
      </c>
      <c r="AR7" s="8"/>
      <c r="AS7" s="1147"/>
      <c r="AT7" s="1094"/>
      <c r="AU7" s="9">
        <v>4124</v>
      </c>
      <c r="AV7" s="2" t="s">
        <v>150</v>
      </c>
      <c r="AW7" s="6"/>
      <c r="AX7" s="1150"/>
      <c r="AY7" s="1094"/>
      <c r="AZ7" s="9">
        <v>4501</v>
      </c>
      <c r="BA7" s="2" t="s">
        <v>220</v>
      </c>
      <c r="BB7" s="6"/>
      <c r="BC7" s="1149"/>
      <c r="BD7" s="1094"/>
      <c r="BE7" s="9" t="s">
        <v>795</v>
      </c>
      <c r="BF7" s="2" t="s">
        <v>798</v>
      </c>
      <c r="BG7" s="46"/>
      <c r="BH7" s="1147"/>
      <c r="BI7" s="1094"/>
      <c r="BJ7" s="9">
        <v>30301</v>
      </c>
      <c r="BK7" s="6" t="s">
        <v>1394</v>
      </c>
      <c r="BL7" s="47"/>
      <c r="BM7" s="1147"/>
      <c r="BN7" s="1094"/>
      <c r="BO7" s="11" t="s">
        <v>1253</v>
      </c>
      <c r="BP7" s="14" t="s">
        <v>736</v>
      </c>
      <c r="BQ7" s="536"/>
      <c r="BR7" s="1157"/>
      <c r="BS7" s="1094"/>
      <c r="BT7" s="11" t="s">
        <v>1237</v>
      </c>
      <c r="BU7" s="518" t="s">
        <v>721</v>
      </c>
      <c r="BV7" s="525"/>
      <c r="BW7" s="1155"/>
      <c r="BX7" s="1094"/>
    </row>
    <row r="8" spans="1:81">
      <c r="A8" s="1718"/>
      <c r="B8" s="1" t="s">
        <v>961</v>
      </c>
      <c r="C8" s="2" t="s">
        <v>46</v>
      </c>
      <c r="D8" s="432"/>
      <c r="E8" s="1147"/>
      <c r="F8" s="1718"/>
      <c r="G8" s="1">
        <v>304</v>
      </c>
      <c r="H8" s="2" t="s">
        <v>463</v>
      </c>
      <c r="I8" s="375"/>
      <c r="J8" s="1147"/>
      <c r="K8" s="1718"/>
      <c r="L8" s="1">
        <v>519</v>
      </c>
      <c r="M8" s="2" t="s">
        <v>10</v>
      </c>
      <c r="N8" s="316"/>
      <c r="O8" s="1147"/>
      <c r="P8" s="1718"/>
      <c r="Q8" s="1">
        <v>741</v>
      </c>
      <c r="R8" s="2" t="s">
        <v>464</v>
      </c>
      <c r="S8" s="256"/>
      <c r="T8" s="1147"/>
      <c r="U8" s="1718"/>
      <c r="V8" s="1">
        <v>892</v>
      </c>
      <c r="W8" s="2" t="s">
        <v>465</v>
      </c>
      <c r="X8" s="194"/>
      <c r="Y8" s="1147"/>
      <c r="Z8" s="1718"/>
      <c r="AA8" s="1">
        <v>991</v>
      </c>
      <c r="AB8" s="2" t="s">
        <v>317</v>
      </c>
      <c r="AC8" s="131"/>
      <c r="AD8" s="1147"/>
      <c r="AE8" s="1718"/>
      <c r="AF8" s="1">
        <v>3755</v>
      </c>
      <c r="AG8" s="2" t="s">
        <v>43</v>
      </c>
      <c r="AH8" s="69"/>
      <c r="AI8" s="1147"/>
      <c r="AJ8" s="1718"/>
      <c r="AK8" s="1">
        <v>3847</v>
      </c>
      <c r="AL8" s="2" t="s">
        <v>318</v>
      </c>
      <c r="AM8" s="26"/>
      <c r="AN8" s="1147"/>
      <c r="AO8" s="1094"/>
      <c r="AP8" s="9" t="s">
        <v>926</v>
      </c>
      <c r="AQ8" s="6" t="s">
        <v>936</v>
      </c>
      <c r="AR8" s="555"/>
      <c r="AS8" s="1147"/>
      <c r="AT8" s="1094"/>
      <c r="AU8" s="9">
        <v>4126</v>
      </c>
      <c r="AV8" s="2" t="s">
        <v>151</v>
      </c>
      <c r="AX8" s="1149"/>
      <c r="AY8" s="1094"/>
      <c r="AZ8" s="9">
        <v>4502</v>
      </c>
      <c r="BA8" s="2" t="s">
        <v>221</v>
      </c>
      <c r="BC8" s="1150"/>
      <c r="BD8" s="1094"/>
      <c r="BE8" s="9" t="s">
        <v>796</v>
      </c>
      <c r="BF8" s="6" t="s">
        <v>799</v>
      </c>
      <c r="BG8" s="376"/>
      <c r="BH8" s="1147"/>
      <c r="BI8" s="1094"/>
      <c r="BJ8" s="9">
        <v>30307</v>
      </c>
      <c r="BK8" s="6" t="s">
        <v>1395</v>
      </c>
      <c r="BL8" s="376"/>
      <c r="BM8" s="1147"/>
      <c r="BN8" s="1094"/>
      <c r="BO8" s="9" t="s">
        <v>1749</v>
      </c>
      <c r="BP8" s="2" t="s">
        <v>1750</v>
      </c>
      <c r="BR8" s="1150"/>
      <c r="BS8" s="1094"/>
      <c r="BT8" s="9" t="s">
        <v>1238</v>
      </c>
      <c r="BU8" s="6" t="s">
        <v>722</v>
      </c>
      <c r="BV8" s="61"/>
      <c r="BW8" s="1149"/>
      <c r="BX8" s="1094"/>
      <c r="BZ8" s="12"/>
      <c r="CA8" s="2"/>
      <c r="CC8" s="1746"/>
    </row>
    <row r="9" spans="1:81">
      <c r="A9" s="1718"/>
      <c r="B9" s="1" t="s">
        <v>47</v>
      </c>
      <c r="C9" s="2" t="s">
        <v>48</v>
      </c>
      <c r="D9" s="433"/>
      <c r="E9" s="1147"/>
      <c r="F9" s="1718"/>
      <c r="G9" s="1">
        <v>307</v>
      </c>
      <c r="H9" s="2" t="s">
        <v>2</v>
      </c>
      <c r="I9" s="376"/>
      <c r="J9" s="1147"/>
      <c r="K9" s="1718"/>
      <c r="L9" s="1">
        <v>520</v>
      </c>
      <c r="M9" s="2" t="s">
        <v>319</v>
      </c>
      <c r="N9" s="317"/>
      <c r="O9" s="1147"/>
      <c r="P9" s="1718"/>
      <c r="Q9" s="1">
        <v>742</v>
      </c>
      <c r="R9" s="2" t="s">
        <v>539</v>
      </c>
      <c r="S9" s="257"/>
      <c r="T9" s="1147"/>
      <c r="U9" s="1718"/>
      <c r="V9" s="1">
        <v>893</v>
      </c>
      <c r="W9" s="2" t="s">
        <v>540</v>
      </c>
      <c r="X9" s="195"/>
      <c r="Y9" s="1147"/>
      <c r="Z9" s="1718"/>
      <c r="AA9" s="1">
        <v>992</v>
      </c>
      <c r="AB9" s="2" t="s">
        <v>541</v>
      </c>
      <c r="AC9" s="132"/>
      <c r="AD9" s="1147"/>
      <c r="AE9" s="1718"/>
      <c r="AF9" s="1">
        <v>3756</v>
      </c>
      <c r="AG9" s="2" t="s">
        <v>595</v>
      </c>
      <c r="AH9" s="70"/>
      <c r="AI9" s="1147"/>
      <c r="AJ9" s="1718"/>
      <c r="AK9" s="1">
        <v>3848</v>
      </c>
      <c r="AL9" s="2" t="s">
        <v>466</v>
      </c>
      <c r="AM9" s="27"/>
      <c r="AN9" s="1147"/>
      <c r="AO9" s="1094"/>
      <c r="AP9" s="9" t="s">
        <v>927</v>
      </c>
      <c r="AQ9" s="6" t="s">
        <v>937</v>
      </c>
      <c r="AR9" s="469"/>
      <c r="AS9" s="1147"/>
      <c r="AT9" s="1094"/>
      <c r="AU9" s="9">
        <v>4128</v>
      </c>
      <c r="AV9" s="2" t="s">
        <v>152</v>
      </c>
      <c r="AW9" s="6"/>
      <c r="AX9" s="1149"/>
      <c r="AY9" s="1094"/>
      <c r="AZ9" s="9">
        <v>4503</v>
      </c>
      <c r="BA9" s="2" t="s">
        <v>222</v>
      </c>
      <c r="BB9" s="6"/>
      <c r="BC9" s="1149"/>
      <c r="BD9" s="1094"/>
      <c r="BE9" s="9" t="s">
        <v>797</v>
      </c>
      <c r="BF9" s="6" t="s">
        <v>800</v>
      </c>
      <c r="BG9" s="539"/>
      <c r="BH9" s="1147"/>
      <c r="BI9" s="1094"/>
      <c r="BJ9" s="9">
        <v>30310</v>
      </c>
      <c r="BK9" s="6" t="s">
        <v>1396</v>
      </c>
      <c r="BL9" s="539"/>
      <c r="BM9" s="1147"/>
      <c r="BN9" s="1094"/>
      <c r="BO9" s="9" t="s">
        <v>1254</v>
      </c>
      <c r="BP9" s="2" t="s">
        <v>732</v>
      </c>
      <c r="BR9" s="1150"/>
      <c r="BS9" s="1094"/>
      <c r="BT9" s="9" t="s">
        <v>1239</v>
      </c>
      <c r="BU9" s="6" t="s">
        <v>723</v>
      </c>
      <c r="BW9" s="1149"/>
      <c r="BX9" s="1094"/>
      <c r="BZ9" s="12"/>
      <c r="CA9" s="2"/>
      <c r="CC9" s="1746"/>
    </row>
    <row r="10" spans="1:81">
      <c r="A10" s="1718"/>
      <c r="B10" s="1">
        <v>1</v>
      </c>
      <c r="C10" s="15" t="s">
        <v>118</v>
      </c>
      <c r="D10" s="24"/>
      <c r="E10" s="1147"/>
      <c r="F10" s="1718"/>
      <c r="G10" s="1">
        <v>309</v>
      </c>
      <c r="H10" s="2" t="s">
        <v>320</v>
      </c>
      <c r="I10" s="377"/>
      <c r="J10" s="1147"/>
      <c r="K10" s="1718"/>
      <c r="L10" s="1">
        <v>522</v>
      </c>
      <c r="M10" s="2" t="s">
        <v>11</v>
      </c>
      <c r="N10" s="318"/>
      <c r="O10" s="1147"/>
      <c r="P10" s="1718"/>
      <c r="Q10" s="1">
        <v>743</v>
      </c>
      <c r="R10" s="2" t="s">
        <v>467</v>
      </c>
      <c r="S10" s="258"/>
      <c r="T10" s="1147"/>
      <c r="U10" s="1718"/>
      <c r="V10" s="1">
        <v>894</v>
      </c>
      <c r="W10" s="2" t="s">
        <v>542</v>
      </c>
      <c r="X10" s="196"/>
      <c r="Y10" s="1147"/>
      <c r="Z10" s="1718"/>
      <c r="AA10" s="1">
        <v>993</v>
      </c>
      <c r="AB10" s="2" t="s">
        <v>543</v>
      </c>
      <c r="AC10" s="133"/>
      <c r="AD10" s="1147"/>
      <c r="AE10" s="1718"/>
      <c r="AF10" s="1">
        <v>3760</v>
      </c>
      <c r="AG10" s="2" t="s">
        <v>468</v>
      </c>
      <c r="AH10" s="71"/>
      <c r="AI10" s="1147"/>
      <c r="AJ10" s="1718"/>
      <c r="AK10" s="1">
        <v>3849</v>
      </c>
      <c r="AL10" s="2" t="s">
        <v>544</v>
      </c>
      <c r="AM10" s="21"/>
      <c r="AN10" s="1147"/>
      <c r="AO10" s="1094"/>
      <c r="AP10" s="9" t="s">
        <v>928</v>
      </c>
      <c r="AQ10" s="6" t="s">
        <v>938</v>
      </c>
      <c r="AR10" s="471"/>
      <c r="AS10" s="1147"/>
      <c r="AT10" s="1094"/>
      <c r="AU10" s="9">
        <v>4130</v>
      </c>
      <c r="AV10" s="2" t="s">
        <v>153</v>
      </c>
      <c r="AW10" s="6"/>
      <c r="AX10" s="1149"/>
      <c r="AY10" s="1094"/>
      <c r="AZ10" s="9">
        <v>4504</v>
      </c>
      <c r="BA10" s="2" t="s">
        <v>223</v>
      </c>
      <c r="BB10" s="6"/>
      <c r="BC10" s="1149"/>
      <c r="BD10" s="1094"/>
      <c r="BE10" s="9" t="s">
        <v>801</v>
      </c>
      <c r="BF10" s="6" t="s">
        <v>802</v>
      </c>
      <c r="BG10" s="51"/>
      <c r="BH10" s="1147"/>
      <c r="BI10" s="1094"/>
      <c r="BJ10" s="9">
        <v>30326</v>
      </c>
      <c r="BK10" s="6" t="s">
        <v>1397</v>
      </c>
      <c r="BL10" s="385"/>
      <c r="BM10" s="1147"/>
      <c r="BN10" s="1094"/>
      <c r="BO10" s="9" t="s">
        <v>1255</v>
      </c>
      <c r="BP10" s="2" t="s">
        <v>733</v>
      </c>
      <c r="BR10" s="1150"/>
      <c r="BS10" s="1094"/>
      <c r="BT10" s="9" t="s">
        <v>1240</v>
      </c>
      <c r="BU10" s="6" t="s">
        <v>724</v>
      </c>
      <c r="BV10" s="47"/>
      <c r="BW10" s="1149"/>
      <c r="BX10" s="1094"/>
      <c r="BZ10" s="12"/>
      <c r="CA10" s="2"/>
      <c r="CC10" s="1746"/>
    </row>
    <row r="11" spans="1:81">
      <c r="A11" s="1718"/>
      <c r="B11" s="1">
        <v>2</v>
      </c>
      <c r="C11" s="15" t="s">
        <v>119</v>
      </c>
      <c r="D11" s="434"/>
      <c r="E11" s="1147"/>
      <c r="F11" s="1718"/>
      <c r="G11" s="1">
        <v>310</v>
      </c>
      <c r="H11" s="2" t="s">
        <v>3</v>
      </c>
      <c r="I11" s="48"/>
      <c r="J11" s="1147"/>
      <c r="K11" s="1718"/>
      <c r="L11" s="1">
        <v>523</v>
      </c>
      <c r="M11" s="2" t="s">
        <v>545</v>
      </c>
      <c r="N11" s="319"/>
      <c r="O11" s="1147"/>
      <c r="P11" s="1718"/>
      <c r="Q11" s="1">
        <v>744</v>
      </c>
      <c r="R11" s="2" t="s">
        <v>697</v>
      </c>
      <c r="S11" s="259"/>
      <c r="T11" s="1147"/>
      <c r="U11" s="1718"/>
      <c r="V11" s="1">
        <v>895</v>
      </c>
      <c r="W11" s="2" t="s">
        <v>403</v>
      </c>
      <c r="X11" s="197"/>
      <c r="Y11" s="1147"/>
      <c r="Z11" s="1718"/>
      <c r="AA11" s="1">
        <v>995</v>
      </c>
      <c r="AB11" s="2" t="s">
        <v>321</v>
      </c>
      <c r="AC11" s="134"/>
      <c r="AD11" s="1147"/>
      <c r="AE11" s="1718"/>
      <c r="AF11" s="1">
        <v>3761</v>
      </c>
      <c r="AG11" s="2" t="s">
        <v>546</v>
      </c>
      <c r="AH11" s="72"/>
      <c r="AI11" s="1147"/>
      <c r="AJ11" s="1718"/>
      <c r="AK11" s="1">
        <v>3850</v>
      </c>
      <c r="AL11" s="2" t="s">
        <v>322</v>
      </c>
      <c r="AM11" s="28"/>
      <c r="AN11" s="1147"/>
      <c r="AO11" s="1094"/>
      <c r="AP11" s="9" t="s">
        <v>83</v>
      </c>
      <c r="AQ11" s="6" t="s">
        <v>187</v>
      </c>
      <c r="AR11" s="44"/>
      <c r="AS11" s="1147"/>
      <c r="AT11" s="1094"/>
      <c r="AU11" s="9">
        <v>4140</v>
      </c>
      <c r="AV11" s="2" t="s">
        <v>154</v>
      </c>
      <c r="AW11" s="6"/>
      <c r="AX11" s="1149"/>
      <c r="AY11" s="1094"/>
      <c r="AZ11" s="9">
        <v>4505</v>
      </c>
      <c r="BA11" s="2" t="s">
        <v>224</v>
      </c>
      <c r="BB11" s="6"/>
      <c r="BC11" s="1149"/>
      <c r="BD11" s="1094"/>
      <c r="BE11" s="9" t="s">
        <v>803</v>
      </c>
      <c r="BF11" s="6" t="s">
        <v>835</v>
      </c>
      <c r="BG11" s="385"/>
      <c r="BH11" s="1147"/>
      <c r="BI11" s="1094"/>
      <c r="BJ11" s="9">
        <v>30336</v>
      </c>
      <c r="BK11" s="6" t="s">
        <v>1398</v>
      </c>
      <c r="BL11" s="542"/>
      <c r="BM11" s="1147"/>
      <c r="BN11" s="1094"/>
      <c r="BO11" s="9" t="s">
        <v>1256</v>
      </c>
      <c r="BP11" s="2" t="s">
        <v>734</v>
      </c>
      <c r="BR11" s="1150"/>
      <c r="BS11" s="1094"/>
      <c r="BT11" s="9" t="s">
        <v>1241</v>
      </c>
      <c r="BU11" s="6" t="s">
        <v>725</v>
      </c>
      <c r="BV11" s="533"/>
      <c r="BW11" s="1149"/>
      <c r="BX11" s="1094"/>
      <c r="BZ11" s="12"/>
      <c r="CA11" s="2"/>
      <c r="CC11" s="1746"/>
    </row>
    <row r="12" spans="1:81">
      <c r="A12" s="1718"/>
      <c r="B12" s="1">
        <v>3</v>
      </c>
      <c r="C12" s="2" t="s">
        <v>720</v>
      </c>
      <c r="D12" s="435"/>
      <c r="E12" s="1147"/>
      <c r="F12" s="1718"/>
      <c r="G12" s="1">
        <v>311</v>
      </c>
      <c r="H12" s="2" t="s">
        <v>469</v>
      </c>
      <c r="I12" s="378"/>
      <c r="J12" s="1147"/>
      <c r="K12" s="1718"/>
      <c r="L12" s="1">
        <v>524</v>
      </c>
      <c r="M12" s="2" t="s">
        <v>547</v>
      </c>
      <c r="N12" s="320"/>
      <c r="O12" s="1147"/>
      <c r="P12" s="1718"/>
      <c r="Q12" s="1">
        <v>745</v>
      </c>
      <c r="R12" s="2" t="s">
        <v>698</v>
      </c>
      <c r="S12" s="260"/>
      <c r="T12" s="1147"/>
      <c r="U12" s="1718"/>
      <c r="V12" s="1">
        <v>898</v>
      </c>
      <c r="W12" s="2" t="s">
        <v>404</v>
      </c>
      <c r="X12" s="64"/>
      <c r="Y12" s="1147"/>
      <c r="Z12" s="1718"/>
      <c r="AA12" s="1">
        <v>996</v>
      </c>
      <c r="AB12" s="2" t="s">
        <v>470</v>
      </c>
      <c r="AC12" s="135"/>
      <c r="AD12" s="1147"/>
      <c r="AE12" s="1718"/>
      <c r="AF12" s="1">
        <v>3765</v>
      </c>
      <c r="AG12" s="2" t="s">
        <v>405</v>
      </c>
      <c r="AH12" s="73"/>
      <c r="AI12" s="1147"/>
      <c r="AJ12" s="1718"/>
      <c r="AK12" s="1">
        <v>3851</v>
      </c>
      <c r="AL12" s="2" t="s">
        <v>548</v>
      </c>
      <c r="AM12" s="29"/>
      <c r="AN12" s="1147"/>
      <c r="AO12" s="1094"/>
      <c r="AP12" s="9" t="s">
        <v>95</v>
      </c>
      <c r="AQ12" s="6" t="s">
        <v>188</v>
      </c>
      <c r="AR12" s="45"/>
      <c r="AS12" s="1147"/>
      <c r="AT12" s="1094"/>
      <c r="AU12" s="9">
        <v>4145</v>
      </c>
      <c r="AV12" s="2" t="s">
        <v>155</v>
      </c>
      <c r="AW12" s="6"/>
      <c r="AX12" s="1149"/>
      <c r="AY12" s="1094"/>
      <c r="AZ12" s="9">
        <v>4506</v>
      </c>
      <c r="BA12" s="2" t="s">
        <v>225</v>
      </c>
      <c r="BB12" s="6"/>
      <c r="BC12" s="1149"/>
      <c r="BD12" s="1094"/>
      <c r="BE12" s="9" t="s">
        <v>871</v>
      </c>
      <c r="BF12" s="6" t="s">
        <v>892</v>
      </c>
      <c r="BG12" s="542"/>
      <c r="BH12" s="1147"/>
      <c r="BI12" s="1094"/>
      <c r="BJ12" s="9">
        <v>30351</v>
      </c>
      <c r="BK12" s="6" t="s">
        <v>1399</v>
      </c>
      <c r="BL12" s="395"/>
      <c r="BM12" s="1147"/>
      <c r="BN12" s="1094"/>
      <c r="BO12" s="9" t="s">
        <v>1257</v>
      </c>
      <c r="BP12" s="2" t="s">
        <v>735</v>
      </c>
      <c r="BR12" s="1150"/>
      <c r="BS12" s="1094"/>
      <c r="BT12" s="9" t="s">
        <v>1242</v>
      </c>
      <c r="BU12" s="6" t="s">
        <v>726</v>
      </c>
      <c r="BV12" s="45"/>
      <c r="BW12" s="1149"/>
      <c r="BX12" s="1094"/>
      <c r="BZ12" s="12"/>
      <c r="CA12" s="2"/>
      <c r="CB12" s="8"/>
      <c r="CC12" s="1746"/>
    </row>
    <row r="13" spans="1:81">
      <c r="A13" s="1718"/>
      <c r="B13" s="1">
        <v>4</v>
      </c>
      <c r="C13" s="2" t="s">
        <v>719</v>
      </c>
      <c r="D13" s="436"/>
      <c r="E13" s="1147"/>
      <c r="F13" s="1718"/>
      <c r="G13" s="1">
        <v>312</v>
      </c>
      <c r="H13" s="2" t="s">
        <v>406</v>
      </c>
      <c r="I13" s="379"/>
      <c r="J13" s="1147"/>
      <c r="K13" s="1718"/>
      <c r="L13" s="1">
        <v>535</v>
      </c>
      <c r="M13" s="2" t="s">
        <v>549</v>
      </c>
      <c r="N13" s="321"/>
      <c r="O13" s="1147"/>
      <c r="P13" s="1718"/>
      <c r="Q13" s="1">
        <v>746</v>
      </c>
      <c r="R13" s="2" t="s">
        <v>22</v>
      </c>
      <c r="S13" s="59"/>
      <c r="T13" s="1147"/>
      <c r="U13" s="1718"/>
      <c r="V13" s="1">
        <v>899</v>
      </c>
      <c r="W13" s="2" t="s">
        <v>471</v>
      </c>
      <c r="X13" s="198"/>
      <c r="Y13" s="1147"/>
      <c r="Z13" s="1718"/>
      <c r="AA13" s="1">
        <v>3011</v>
      </c>
      <c r="AB13" s="2" t="s">
        <v>323</v>
      </c>
      <c r="AC13" s="136"/>
      <c r="AD13" s="1147"/>
      <c r="AE13" s="1718"/>
      <c r="AF13" s="1">
        <v>3766</v>
      </c>
      <c r="AG13" s="2" t="s">
        <v>550</v>
      </c>
      <c r="AH13" s="74"/>
      <c r="AI13" s="1147"/>
      <c r="AJ13" s="1718"/>
      <c r="AK13" s="1">
        <v>3852</v>
      </c>
      <c r="AL13" s="2" t="s">
        <v>407</v>
      </c>
      <c r="AM13" s="22"/>
      <c r="AN13" s="1147"/>
      <c r="AO13" s="1094"/>
      <c r="AP13" s="9" t="s">
        <v>106</v>
      </c>
      <c r="AQ13" s="6" t="s">
        <v>189</v>
      </c>
      <c r="AR13" s="46"/>
      <c r="AS13" s="1147"/>
      <c r="AT13" s="1094"/>
      <c r="AU13" s="9">
        <v>4150</v>
      </c>
      <c r="AV13" s="2" t="s">
        <v>156</v>
      </c>
      <c r="AW13" s="6"/>
      <c r="AX13" s="1149"/>
      <c r="AY13" s="1094"/>
      <c r="AZ13" s="9">
        <v>4507</v>
      </c>
      <c r="BA13" s="2" t="s">
        <v>226</v>
      </c>
      <c r="BB13" s="6"/>
      <c r="BC13" s="1149"/>
      <c r="BD13" s="1094"/>
      <c r="BE13" s="9" t="s">
        <v>804</v>
      </c>
      <c r="BF13" s="6" t="s">
        <v>836</v>
      </c>
      <c r="BG13" s="395"/>
      <c r="BH13" s="1147"/>
      <c r="BI13" s="1094"/>
      <c r="BJ13" s="9">
        <v>30352</v>
      </c>
      <c r="BK13" s="6" t="s">
        <v>1400</v>
      </c>
      <c r="BL13" s="396"/>
      <c r="BM13" s="1147"/>
      <c r="BN13" s="1094"/>
      <c r="BO13" s="9" t="s">
        <v>1258</v>
      </c>
      <c r="BP13" s="2" t="s">
        <v>750</v>
      </c>
      <c r="BQ13" s="8"/>
      <c r="BR13" s="1150"/>
      <c r="BS13" s="1094"/>
      <c r="BT13" s="9" t="s">
        <v>1243</v>
      </c>
      <c r="BU13" s="6" t="s">
        <v>727</v>
      </c>
      <c r="BV13" s="535"/>
      <c r="BW13" s="1149"/>
      <c r="BX13" s="1094"/>
      <c r="BZ13" s="12"/>
      <c r="CA13" s="2"/>
      <c r="CB13" s="8"/>
      <c r="CC13" s="1746"/>
    </row>
    <row r="14" spans="1:81">
      <c r="A14" s="1718"/>
      <c r="B14" s="1">
        <v>5</v>
      </c>
      <c r="C14" s="2" t="s">
        <v>718</v>
      </c>
      <c r="D14" s="437"/>
      <c r="E14" s="1147"/>
      <c r="F14" s="1718"/>
      <c r="G14" s="1">
        <v>315</v>
      </c>
      <c r="H14" s="2" t="s">
        <v>472</v>
      </c>
      <c r="I14" s="380"/>
      <c r="J14" s="1147"/>
      <c r="K14" s="1718"/>
      <c r="L14" s="1">
        <v>543</v>
      </c>
      <c r="M14" s="2" t="s">
        <v>667</v>
      </c>
      <c r="N14" s="322"/>
      <c r="O14" s="1147"/>
      <c r="P14" s="1718"/>
      <c r="Q14" s="1">
        <v>747</v>
      </c>
      <c r="R14" s="2" t="s">
        <v>551</v>
      </c>
      <c r="S14" s="60"/>
      <c r="T14" s="1147"/>
      <c r="U14" s="1718"/>
      <c r="V14" s="1">
        <v>900</v>
      </c>
      <c r="W14" s="2" t="s">
        <v>324</v>
      </c>
      <c r="X14" s="199"/>
      <c r="Y14" s="1147"/>
      <c r="Z14" s="1718"/>
      <c r="AA14" s="1">
        <v>3012</v>
      </c>
      <c r="AB14" s="2" t="s">
        <v>473</v>
      </c>
      <c r="AC14" s="137"/>
      <c r="AD14" s="1147"/>
      <c r="AE14" s="1718"/>
      <c r="AF14" s="1">
        <v>3768</v>
      </c>
      <c r="AG14" s="2" t="s">
        <v>325</v>
      </c>
      <c r="AH14" s="75"/>
      <c r="AI14" s="1147"/>
      <c r="AJ14" s="1718"/>
      <c r="AK14" s="1">
        <v>3853</v>
      </c>
      <c r="AL14" s="2" t="s">
        <v>326</v>
      </c>
      <c r="AM14" s="30"/>
      <c r="AN14" s="1147"/>
      <c r="AO14" s="1094"/>
      <c r="AP14" s="9" t="s">
        <v>96</v>
      </c>
      <c r="AQ14" s="6" t="s">
        <v>190</v>
      </c>
      <c r="AR14" s="47"/>
      <c r="AS14" s="1147"/>
      <c r="AT14" s="1094"/>
      <c r="AU14" s="9">
        <v>4160</v>
      </c>
      <c r="AV14" s="2" t="s">
        <v>157</v>
      </c>
      <c r="AW14" s="6"/>
      <c r="AX14" s="1149"/>
      <c r="AY14" s="1094"/>
      <c r="AZ14" s="9">
        <v>4508</v>
      </c>
      <c r="BA14" s="2" t="s">
        <v>227</v>
      </c>
      <c r="BB14" s="6"/>
      <c r="BC14" s="1149"/>
      <c r="BD14" s="1094"/>
      <c r="BE14" s="9" t="s">
        <v>805</v>
      </c>
      <c r="BF14" s="6" t="s">
        <v>837</v>
      </c>
      <c r="BG14" s="396"/>
      <c r="BH14" s="1147"/>
      <c r="BI14" s="1094"/>
      <c r="BJ14" s="9">
        <v>30434</v>
      </c>
      <c r="BK14" s="6" t="s">
        <v>1401</v>
      </c>
      <c r="BL14" s="543"/>
      <c r="BM14" s="1147"/>
      <c r="BN14" s="1094"/>
      <c r="BO14" s="9" t="s">
        <v>1259</v>
      </c>
      <c r="BP14" s="2" t="s">
        <v>914</v>
      </c>
      <c r="BQ14" s="8"/>
      <c r="BR14" s="1150"/>
      <c r="BS14" s="1094"/>
      <c r="BT14" s="9" t="s">
        <v>1244</v>
      </c>
      <c r="BU14" s="6" t="s">
        <v>728</v>
      </c>
      <c r="BV14" s="50"/>
      <c r="BW14" s="1149"/>
      <c r="BX14" s="1094"/>
      <c r="BZ14" s="12"/>
      <c r="CA14" s="2"/>
      <c r="CB14" s="8"/>
      <c r="CC14" s="1746"/>
    </row>
    <row r="15" spans="1:81">
      <c r="A15" s="1718"/>
      <c r="B15" s="1">
        <v>6</v>
      </c>
      <c r="C15" s="2" t="s">
        <v>717</v>
      </c>
      <c r="D15" s="438"/>
      <c r="E15" s="1147"/>
      <c r="F15" s="1718"/>
      <c r="G15" s="1">
        <v>316</v>
      </c>
      <c r="H15" s="2" t="s">
        <v>474</v>
      </c>
      <c r="I15" s="49"/>
      <c r="J15" s="1147"/>
      <c r="K15" s="1718"/>
      <c r="L15" s="1">
        <v>550</v>
      </c>
      <c r="M15" s="2" t="s">
        <v>408</v>
      </c>
      <c r="N15" s="323"/>
      <c r="O15" s="1147"/>
      <c r="P15" s="1718"/>
      <c r="Q15" s="1">
        <v>754</v>
      </c>
      <c r="R15" s="2" t="s">
        <v>552</v>
      </c>
      <c r="S15" s="261"/>
      <c r="T15" s="1147"/>
      <c r="U15" s="1718"/>
      <c r="V15" s="1">
        <v>902</v>
      </c>
      <c r="W15" s="2" t="s">
        <v>409</v>
      </c>
      <c r="X15" s="200"/>
      <c r="Y15" s="1147"/>
      <c r="Z15" s="1718"/>
      <c r="AA15" s="1">
        <v>3013</v>
      </c>
      <c r="AB15" s="2" t="s">
        <v>553</v>
      </c>
      <c r="AC15" s="138"/>
      <c r="AD15" s="1147"/>
      <c r="AE15" s="1718"/>
      <c r="AF15" s="1">
        <v>3770</v>
      </c>
      <c r="AG15" s="2" t="s">
        <v>554</v>
      </c>
      <c r="AH15" s="76"/>
      <c r="AI15" s="1147"/>
      <c r="AJ15" s="1718"/>
      <c r="AK15" s="1">
        <v>3854</v>
      </c>
      <c r="AL15" s="2" t="s">
        <v>475</v>
      </c>
      <c r="AM15" s="31"/>
      <c r="AN15" s="1147"/>
      <c r="AO15" s="1094"/>
      <c r="AP15" s="9" t="s">
        <v>104</v>
      </c>
      <c r="AQ15" s="6" t="s">
        <v>191</v>
      </c>
      <c r="AR15" s="48"/>
      <c r="AS15" s="1147"/>
      <c r="AT15" s="1094"/>
      <c r="AU15" s="9">
        <v>4170</v>
      </c>
      <c r="AV15" s="2" t="s">
        <v>158</v>
      </c>
      <c r="AW15" s="6"/>
      <c r="AX15" s="1149"/>
      <c r="AY15" s="1094"/>
      <c r="AZ15" s="9">
        <v>4509</v>
      </c>
      <c r="BA15" s="2" t="s">
        <v>228</v>
      </c>
      <c r="BB15" s="6"/>
      <c r="BC15" s="1149"/>
      <c r="BD15" s="1094"/>
      <c r="BE15" s="9" t="s">
        <v>838</v>
      </c>
      <c r="BF15" s="6" t="s">
        <v>839</v>
      </c>
      <c r="BG15" s="400"/>
      <c r="BH15" s="1147"/>
      <c r="BI15" s="1094"/>
      <c r="BJ15" s="9">
        <v>30435</v>
      </c>
      <c r="BK15" s="6" t="s">
        <v>1402</v>
      </c>
      <c r="BL15" s="415"/>
      <c r="BM15" s="1147"/>
      <c r="BN15" s="1094"/>
      <c r="BO15" s="9" t="s">
        <v>1260</v>
      </c>
      <c r="BP15" s="2" t="s">
        <v>751</v>
      </c>
      <c r="BQ15" s="8"/>
      <c r="BR15" s="1150"/>
      <c r="BS15" s="1094"/>
      <c r="BT15" s="9" t="s">
        <v>1245</v>
      </c>
      <c r="BU15" s="6" t="s">
        <v>729</v>
      </c>
      <c r="BV15" s="49"/>
      <c r="BW15" s="1149"/>
      <c r="BX15" s="1094"/>
      <c r="BZ15" s="12"/>
      <c r="CA15" s="2"/>
      <c r="CC15" s="1746"/>
    </row>
    <row r="16" spans="1:81">
      <c r="A16" s="1718"/>
      <c r="B16" s="1">
        <v>7</v>
      </c>
      <c r="C16" s="2" t="s">
        <v>691</v>
      </c>
      <c r="D16" s="421"/>
      <c r="E16" s="1147"/>
      <c r="F16" s="1718"/>
      <c r="G16" s="1">
        <v>317</v>
      </c>
      <c r="H16" s="2" t="s">
        <v>49</v>
      </c>
      <c r="I16" s="50"/>
      <c r="J16" s="1147"/>
      <c r="K16" s="1718"/>
      <c r="L16" s="1">
        <v>552</v>
      </c>
      <c r="M16" s="2" t="s">
        <v>476</v>
      </c>
      <c r="N16" s="324"/>
      <c r="O16" s="1147"/>
      <c r="P16" s="1718"/>
      <c r="Q16" s="1">
        <v>758</v>
      </c>
      <c r="R16" s="2" t="s">
        <v>555</v>
      </c>
      <c r="S16" s="262"/>
      <c r="T16" s="1147"/>
      <c r="U16" s="1718"/>
      <c r="V16" s="1">
        <v>904</v>
      </c>
      <c r="W16" s="2" t="s">
        <v>410</v>
      </c>
      <c r="X16" s="201"/>
      <c r="Y16" s="1147"/>
      <c r="Z16" s="1718"/>
      <c r="AA16" s="1">
        <v>3021</v>
      </c>
      <c r="AB16" s="2" t="s">
        <v>411</v>
      </c>
      <c r="AC16" s="139"/>
      <c r="AD16" s="1147"/>
      <c r="AE16" s="1718"/>
      <c r="AF16" s="1">
        <v>3771</v>
      </c>
      <c r="AG16" s="2" t="s">
        <v>327</v>
      </c>
      <c r="AH16" s="77"/>
      <c r="AI16" s="1147"/>
      <c r="AJ16" s="1718"/>
      <c r="AK16" s="1">
        <v>3855</v>
      </c>
      <c r="AL16" s="2" t="s">
        <v>556</v>
      </c>
      <c r="AM16" s="32"/>
      <c r="AN16" s="1147"/>
      <c r="AO16" s="1094"/>
      <c r="AP16" s="9" t="s">
        <v>89</v>
      </c>
      <c r="AQ16" s="6" t="s">
        <v>192</v>
      </c>
      <c r="AR16" s="49"/>
      <c r="AS16" s="1147"/>
      <c r="AT16" s="1094"/>
      <c r="AU16" s="9">
        <v>4180</v>
      </c>
      <c r="AV16" s="2" t="s">
        <v>159</v>
      </c>
      <c r="AW16" s="6"/>
      <c r="AX16" s="1149"/>
      <c r="AY16" s="1094"/>
      <c r="AZ16" s="9">
        <v>4510</v>
      </c>
      <c r="BA16" s="2" t="s">
        <v>229</v>
      </c>
      <c r="BB16" s="6"/>
      <c r="BC16" s="1149"/>
      <c r="BD16" s="1094"/>
      <c r="BE16" s="9" t="s">
        <v>865</v>
      </c>
      <c r="BF16" s="6" t="s">
        <v>864</v>
      </c>
      <c r="BG16" s="410"/>
      <c r="BH16" s="1147"/>
      <c r="BI16" s="1094"/>
      <c r="BJ16" s="9">
        <v>30469</v>
      </c>
      <c r="BK16" s="6" t="s">
        <v>1403</v>
      </c>
      <c r="BL16" s="544"/>
      <c r="BM16" s="1147"/>
      <c r="BN16" s="1094"/>
      <c r="BO16" s="9" t="s">
        <v>1261</v>
      </c>
      <c r="BP16" s="2" t="s">
        <v>737</v>
      </c>
      <c r="BR16" s="1150"/>
      <c r="BS16" s="1094"/>
      <c r="BT16" s="9" t="s">
        <v>1246</v>
      </c>
      <c r="BU16" s="6" t="s">
        <v>730</v>
      </c>
      <c r="BV16" s="530"/>
      <c r="BW16" s="1149"/>
      <c r="BX16" s="1094"/>
      <c r="BZ16" s="12"/>
      <c r="CA16" s="2"/>
      <c r="CB16" s="8"/>
      <c r="CC16" s="1746"/>
    </row>
    <row r="17" spans="1:81">
      <c r="A17" s="1718"/>
      <c r="B17" s="1">
        <v>8</v>
      </c>
      <c r="C17" s="2" t="s">
        <v>716</v>
      </c>
      <c r="D17" s="439"/>
      <c r="E17" s="1147"/>
      <c r="F17" s="1718"/>
      <c r="G17" s="1">
        <v>318</v>
      </c>
      <c r="H17" s="2" t="s">
        <v>557</v>
      </c>
      <c r="I17" s="381"/>
      <c r="J17" s="1147"/>
      <c r="K17" s="1718"/>
      <c r="L17" s="1">
        <v>553</v>
      </c>
      <c r="M17" s="2" t="s">
        <v>12</v>
      </c>
      <c r="N17" s="325"/>
      <c r="O17" s="1147"/>
      <c r="P17" s="1718"/>
      <c r="Q17" s="1">
        <v>760</v>
      </c>
      <c r="R17" s="2" t="s">
        <v>23</v>
      </c>
      <c r="S17" s="263"/>
      <c r="T17" s="1147"/>
      <c r="U17" s="1718"/>
      <c r="V17" s="1">
        <v>905</v>
      </c>
      <c r="W17" s="2" t="s">
        <v>328</v>
      </c>
      <c r="X17" s="202"/>
      <c r="Y17" s="1147"/>
      <c r="Z17" s="1718"/>
      <c r="AA17" s="1">
        <v>3022</v>
      </c>
      <c r="AB17" s="2" t="s">
        <v>477</v>
      </c>
      <c r="AC17" s="140"/>
      <c r="AD17" s="1147"/>
      <c r="AE17" s="1718"/>
      <c r="AF17" s="1">
        <v>3772</v>
      </c>
      <c r="AG17" s="2" t="s">
        <v>412</v>
      </c>
      <c r="AH17" s="78"/>
      <c r="AI17" s="1147"/>
      <c r="AJ17" s="1718"/>
      <c r="AK17" s="1">
        <v>3856</v>
      </c>
      <c r="AL17" s="2" t="s">
        <v>668</v>
      </c>
      <c r="AM17" s="33"/>
      <c r="AN17" s="1147"/>
      <c r="AO17" s="1094"/>
      <c r="AP17" s="9" t="s">
        <v>97</v>
      </c>
      <c r="AQ17" s="6" t="s">
        <v>193</v>
      </c>
      <c r="AR17" s="50"/>
      <c r="AS17" s="1147"/>
      <c r="AT17" s="1094"/>
      <c r="AU17" s="9">
        <v>4190</v>
      </c>
      <c r="AV17" s="2" t="s">
        <v>160</v>
      </c>
      <c r="AW17" s="6"/>
      <c r="AX17" s="1149"/>
      <c r="AY17" s="1094"/>
      <c r="AZ17" s="9">
        <v>4511</v>
      </c>
      <c r="BA17" s="2" t="s">
        <v>230</v>
      </c>
      <c r="BB17" s="6"/>
      <c r="BC17" s="1149"/>
      <c r="BD17" s="1094"/>
      <c r="BE17" s="9" t="s">
        <v>808</v>
      </c>
      <c r="BF17" s="6" t="s">
        <v>840</v>
      </c>
      <c r="BG17" s="53"/>
      <c r="BH17" s="1147"/>
      <c r="BI17" s="1094"/>
      <c r="BJ17" s="9">
        <v>30501</v>
      </c>
      <c r="BK17" s="6" t="s">
        <v>1404</v>
      </c>
      <c r="BL17" s="545"/>
      <c r="BM17" s="1147"/>
      <c r="BN17" s="1094"/>
      <c r="BO17" s="9" t="s">
        <v>1262</v>
      </c>
      <c r="BP17" s="2" t="s">
        <v>752</v>
      </c>
      <c r="BQ17" s="8"/>
      <c r="BR17" s="1150"/>
      <c r="BS17" s="1094"/>
      <c r="BT17" s="9" t="s">
        <v>1247</v>
      </c>
      <c r="BU17" s="6" t="s">
        <v>731</v>
      </c>
      <c r="BV17" s="531"/>
      <c r="BW17" s="1149"/>
      <c r="BX17" s="1094"/>
      <c r="BZ17" s="12"/>
      <c r="CA17" s="2"/>
      <c r="CC17" s="1746"/>
    </row>
    <row r="18" spans="1:81">
      <c r="A18" s="1718"/>
      <c r="B18" s="1">
        <v>9</v>
      </c>
      <c r="C18" s="2" t="s">
        <v>715</v>
      </c>
      <c r="D18" s="440"/>
      <c r="E18" s="1147"/>
      <c r="F18" s="1718"/>
      <c r="G18" s="1">
        <v>319</v>
      </c>
      <c r="H18" s="2" t="s">
        <v>413</v>
      </c>
      <c r="I18" s="382"/>
      <c r="J18" s="1147"/>
      <c r="K18" s="1718"/>
      <c r="L18" s="1">
        <v>554</v>
      </c>
      <c r="M18" s="2" t="s">
        <v>558</v>
      </c>
      <c r="N18" s="326"/>
      <c r="O18" s="1147"/>
      <c r="P18" s="1718"/>
      <c r="Q18" s="1">
        <v>761</v>
      </c>
      <c r="R18" s="2" t="s">
        <v>559</v>
      </c>
      <c r="S18" s="264"/>
      <c r="T18" s="1147"/>
      <c r="U18" s="1718"/>
      <c r="V18" s="1">
        <v>906</v>
      </c>
      <c r="W18" s="2" t="s">
        <v>478</v>
      </c>
      <c r="X18" s="203"/>
      <c r="Y18" s="1147"/>
      <c r="Z18" s="1718"/>
      <c r="AA18" s="1">
        <v>3023</v>
      </c>
      <c r="AB18" s="2" t="s">
        <v>560</v>
      </c>
      <c r="AC18" s="141"/>
      <c r="AD18" s="1147"/>
      <c r="AE18" s="1718"/>
      <c r="AF18" s="1" t="s">
        <v>298</v>
      </c>
      <c r="AG18" s="2" t="s">
        <v>479</v>
      </c>
      <c r="AH18" s="79"/>
      <c r="AI18" s="1147"/>
      <c r="AJ18" s="1718"/>
      <c r="AK18" s="1">
        <v>3857</v>
      </c>
      <c r="AL18" s="2" t="s">
        <v>329</v>
      </c>
      <c r="AM18" s="34"/>
      <c r="AN18" s="1147"/>
      <c r="AO18" s="1094"/>
      <c r="AP18" s="9" t="s">
        <v>84</v>
      </c>
      <c r="AQ18" s="6" t="s">
        <v>194</v>
      </c>
      <c r="AR18" s="51"/>
      <c r="AS18" s="1147"/>
      <c r="AT18" s="1094"/>
      <c r="AU18" s="9">
        <v>4200</v>
      </c>
      <c r="AV18" s="2" t="s">
        <v>161</v>
      </c>
      <c r="AW18" s="6"/>
      <c r="AX18" s="1149"/>
      <c r="AY18" s="1094"/>
      <c r="AZ18" s="9">
        <v>4512</v>
      </c>
      <c r="BA18" s="2" t="s">
        <v>231</v>
      </c>
      <c r="BB18" s="6"/>
      <c r="BC18" s="1149"/>
      <c r="BD18" s="1094"/>
      <c r="BE18" s="9" t="s">
        <v>873</v>
      </c>
      <c r="BF18" s="6" t="s">
        <v>893</v>
      </c>
      <c r="BG18" s="543"/>
      <c r="BH18" s="1147"/>
      <c r="BI18" s="1094"/>
      <c r="BJ18" s="9">
        <v>30503</v>
      </c>
      <c r="BK18" s="6" t="s">
        <v>1405</v>
      </c>
      <c r="BL18" s="430"/>
      <c r="BM18" s="1147"/>
      <c r="BN18" s="1094"/>
      <c r="BO18" s="9" t="s">
        <v>1263</v>
      </c>
      <c r="BP18" s="2" t="s">
        <v>738</v>
      </c>
      <c r="BR18" s="1150"/>
      <c r="BS18" s="1094"/>
      <c r="BT18" s="9" t="s">
        <v>1247</v>
      </c>
      <c r="BU18" s="6" t="s">
        <v>999</v>
      </c>
      <c r="BV18" s="1112"/>
      <c r="BW18" s="1149"/>
      <c r="BX18" s="1094"/>
      <c r="BZ18" s="12"/>
      <c r="CA18" s="2"/>
      <c r="CB18" s="8"/>
      <c r="CC18" s="1746"/>
    </row>
    <row r="19" spans="1:81">
      <c r="A19" s="1718"/>
      <c r="B19" s="1">
        <v>10</v>
      </c>
      <c r="C19" s="2" t="s">
        <v>714</v>
      </c>
      <c r="D19" s="441"/>
      <c r="E19" s="1147"/>
      <c r="F19" s="1718"/>
      <c r="G19" s="1">
        <v>320</v>
      </c>
      <c r="H19" s="2" t="s">
        <v>480</v>
      </c>
      <c r="I19" s="383"/>
      <c r="J19" s="1147"/>
      <c r="K19" s="1718"/>
      <c r="L19" s="1">
        <v>561</v>
      </c>
      <c r="M19" s="2" t="s">
        <v>414</v>
      </c>
      <c r="N19" s="327"/>
      <c r="O19" s="1147"/>
      <c r="P19" s="1718"/>
      <c r="Q19" s="1">
        <v>762</v>
      </c>
      <c r="R19" s="2" t="s">
        <v>561</v>
      </c>
      <c r="S19" s="265"/>
      <c r="T19" s="1147"/>
      <c r="U19" s="1718"/>
      <c r="V19" s="1">
        <v>907</v>
      </c>
      <c r="W19" s="2" t="s">
        <v>562</v>
      </c>
      <c r="X19" s="204"/>
      <c r="Y19" s="1147"/>
      <c r="Z19" s="1718"/>
      <c r="AA19" s="1">
        <v>3024</v>
      </c>
      <c r="AB19" s="2" t="s">
        <v>563</v>
      </c>
      <c r="AC19" s="142"/>
      <c r="AD19" s="1147"/>
      <c r="AE19" s="1718"/>
      <c r="AF19" s="1">
        <v>3774</v>
      </c>
      <c r="AG19" s="2" t="s">
        <v>564</v>
      </c>
      <c r="AH19" s="80"/>
      <c r="AI19" s="1147"/>
      <c r="AJ19" s="1718"/>
      <c r="AK19" s="1">
        <v>3858</v>
      </c>
      <c r="AL19" s="2" t="s">
        <v>481</v>
      </c>
      <c r="AM19" s="35"/>
      <c r="AN19" s="1147"/>
      <c r="AO19" s="1094"/>
      <c r="AP19" s="9" t="s">
        <v>85</v>
      </c>
      <c r="AQ19" s="6" t="s">
        <v>195</v>
      </c>
      <c r="AR19" s="52"/>
      <c r="AS19" s="1149"/>
      <c r="AT19" s="1094"/>
      <c r="AU19" s="9">
        <v>4210</v>
      </c>
      <c r="AV19" s="2" t="s">
        <v>162</v>
      </c>
      <c r="AW19" s="6"/>
      <c r="AX19" s="1149"/>
      <c r="AY19" s="1094"/>
      <c r="AZ19" s="9">
        <v>4513</v>
      </c>
      <c r="BA19" s="2" t="s">
        <v>232</v>
      </c>
      <c r="BB19" s="6"/>
      <c r="BC19" s="1149"/>
      <c r="BD19" s="1094"/>
      <c r="BE19" s="9" t="s">
        <v>874</v>
      </c>
      <c r="BF19" s="6" t="s">
        <v>894</v>
      </c>
      <c r="BG19" s="544"/>
      <c r="BH19" s="1147"/>
      <c r="BI19" s="1094"/>
      <c r="BJ19" s="9">
        <v>30504</v>
      </c>
      <c r="BK19" s="6" t="s">
        <v>1406</v>
      </c>
      <c r="BL19" s="431"/>
      <c r="BM19" s="1147"/>
      <c r="BN19" s="1094"/>
      <c r="BO19" s="9" t="s">
        <v>1264</v>
      </c>
      <c r="BP19" s="2" t="s">
        <v>753</v>
      </c>
      <c r="BQ19" s="8"/>
      <c r="BR19" s="1150"/>
      <c r="BS19" s="1094"/>
      <c r="BT19" s="9" t="s">
        <v>915</v>
      </c>
      <c r="BU19" s="6" t="s">
        <v>1231</v>
      </c>
      <c r="BV19" s="1113" t="s">
        <v>1236</v>
      </c>
      <c r="BW19" s="1150"/>
      <c r="BX19" s="1094"/>
      <c r="BZ19" s="12"/>
      <c r="CA19" s="2"/>
      <c r="CC19" s="1746"/>
    </row>
    <row r="20" spans="1:81">
      <c r="A20" s="1718"/>
      <c r="B20" s="1">
        <v>11</v>
      </c>
      <c r="C20" s="2" t="s">
        <v>695</v>
      </c>
      <c r="D20" s="442"/>
      <c r="E20" s="1147"/>
      <c r="F20" s="1718"/>
      <c r="G20" s="1">
        <v>321</v>
      </c>
      <c r="H20" s="2" t="s">
        <v>51</v>
      </c>
      <c r="I20" s="51"/>
      <c r="J20" s="1147"/>
      <c r="K20" s="1718"/>
      <c r="L20" s="1">
        <v>562</v>
      </c>
      <c r="M20" s="2" t="s">
        <v>482</v>
      </c>
      <c r="N20" s="328"/>
      <c r="O20" s="1147"/>
      <c r="P20" s="1718"/>
      <c r="Q20" s="1">
        <v>772</v>
      </c>
      <c r="R20" s="2" t="s">
        <v>565</v>
      </c>
      <c r="S20" s="266"/>
      <c r="T20" s="1147"/>
      <c r="U20" s="1718"/>
      <c r="V20" s="1">
        <v>909</v>
      </c>
      <c r="W20" s="2" t="s">
        <v>415</v>
      </c>
      <c r="X20" s="205"/>
      <c r="Y20" s="1147"/>
      <c r="Z20" s="1718"/>
      <c r="AA20" s="1">
        <v>3031</v>
      </c>
      <c r="AB20" s="2" t="s">
        <v>416</v>
      </c>
      <c r="AC20" s="143"/>
      <c r="AD20" s="1147"/>
      <c r="AE20" s="1718"/>
      <c r="AF20" s="1">
        <v>3776</v>
      </c>
      <c r="AG20" s="2" t="s">
        <v>566</v>
      </c>
      <c r="AH20" s="81"/>
      <c r="AI20" s="1147"/>
      <c r="AJ20" s="1718"/>
      <c r="AK20" s="1">
        <v>3859</v>
      </c>
      <c r="AL20" s="2" t="s">
        <v>567</v>
      </c>
      <c r="AM20" s="36"/>
      <c r="AN20" s="1147"/>
      <c r="AO20" s="1094"/>
      <c r="AP20" s="9" t="s">
        <v>105</v>
      </c>
      <c r="AQ20" s="6" t="s">
        <v>196</v>
      </c>
      <c r="AR20" s="53"/>
      <c r="AS20" s="1149"/>
      <c r="AT20" s="1094"/>
      <c r="AU20" s="9">
        <v>4215</v>
      </c>
      <c r="AV20" s="2" t="s">
        <v>163</v>
      </c>
      <c r="AW20" s="6"/>
      <c r="AX20" s="1149"/>
      <c r="AY20" s="1094"/>
      <c r="AZ20" s="9">
        <v>4514</v>
      </c>
      <c r="BA20" s="2" t="s">
        <v>233</v>
      </c>
      <c r="BB20" s="6"/>
      <c r="BC20" s="1149"/>
      <c r="BD20" s="1094"/>
      <c r="BE20" s="9" t="s">
        <v>809</v>
      </c>
      <c r="BF20" s="6" t="s">
        <v>895</v>
      </c>
      <c r="BG20" s="424"/>
      <c r="BH20" s="1147"/>
      <c r="BI20" s="1094"/>
      <c r="BJ20" s="9">
        <v>30543</v>
      </c>
      <c r="BK20" s="6" t="s">
        <v>1407</v>
      </c>
      <c r="BL20" s="322"/>
      <c r="BM20" s="1147"/>
      <c r="BN20" s="1094"/>
      <c r="BO20" s="9" t="s">
        <v>1265</v>
      </c>
      <c r="BP20" s="2" t="s">
        <v>739</v>
      </c>
      <c r="BR20" s="1150"/>
      <c r="BS20" s="1094"/>
      <c r="BT20" s="9" t="s">
        <v>916</v>
      </c>
      <c r="BU20" s="6" t="s">
        <v>1220</v>
      </c>
      <c r="BV20" s="1113" t="s">
        <v>1236</v>
      </c>
      <c r="BW20" s="1150"/>
      <c r="BX20" s="1094"/>
      <c r="BZ20" s="12"/>
      <c r="CA20" s="2"/>
      <c r="CB20" s="8"/>
      <c r="CC20" s="1746"/>
    </row>
    <row r="21" spans="1:81">
      <c r="A21" s="1718"/>
      <c r="B21" s="1">
        <v>12</v>
      </c>
      <c r="C21" s="15" t="s">
        <v>120</v>
      </c>
      <c r="D21" s="443"/>
      <c r="E21" s="1147"/>
      <c r="F21" s="1718"/>
      <c r="G21" s="1">
        <v>322</v>
      </c>
      <c r="H21" s="2" t="s">
        <v>43</v>
      </c>
      <c r="I21" s="384"/>
      <c r="J21" s="1147"/>
      <c r="K21" s="1718"/>
      <c r="L21" s="1">
        <v>563</v>
      </c>
      <c r="M21" s="2" t="s">
        <v>568</v>
      </c>
      <c r="N21" s="329"/>
      <c r="O21" s="1147"/>
      <c r="P21" s="1718"/>
      <c r="Q21" s="1">
        <v>775</v>
      </c>
      <c r="R21" s="2" t="s">
        <v>569</v>
      </c>
      <c r="S21" s="267"/>
      <c r="T21" s="1147"/>
      <c r="U21" s="1718"/>
      <c r="V21" s="1">
        <v>910</v>
      </c>
      <c r="W21" s="2" t="s">
        <v>330</v>
      </c>
      <c r="X21" s="206"/>
      <c r="Y21" s="1147"/>
      <c r="Z21" s="1718"/>
      <c r="AA21" s="1">
        <v>3032</v>
      </c>
      <c r="AB21" s="2" t="s">
        <v>483</v>
      </c>
      <c r="AC21" s="144"/>
      <c r="AD21" s="1147"/>
      <c r="AE21" s="1718"/>
      <c r="AF21" s="1">
        <v>3777</v>
      </c>
      <c r="AG21" s="2" t="s">
        <v>417</v>
      </c>
      <c r="AH21" s="82"/>
      <c r="AI21" s="1147"/>
      <c r="AJ21" s="1718"/>
      <c r="AK21" s="1">
        <v>3860</v>
      </c>
      <c r="AL21" s="2" t="s">
        <v>79</v>
      </c>
      <c r="AM21" s="37"/>
      <c r="AN21" s="1147"/>
      <c r="AO21" s="1094"/>
      <c r="AP21" s="9" t="s">
        <v>102</v>
      </c>
      <c r="AQ21" s="6" t="s">
        <v>197</v>
      </c>
      <c r="AR21" s="54"/>
      <c r="AS21" s="1149"/>
      <c r="AT21" s="1094"/>
      <c r="AU21" s="9">
        <v>4220</v>
      </c>
      <c r="AV21" s="2" t="s">
        <v>164</v>
      </c>
      <c r="AW21" s="6"/>
      <c r="AX21" s="1149"/>
      <c r="AY21" s="1094"/>
      <c r="AZ21" s="9">
        <v>4515</v>
      </c>
      <c r="BA21" s="2" t="s">
        <v>234</v>
      </c>
      <c r="BB21" s="6"/>
      <c r="BC21" s="1149"/>
      <c r="BD21" s="1094"/>
      <c r="BE21" s="9" t="s">
        <v>810</v>
      </c>
      <c r="BF21" s="6" t="s">
        <v>896</v>
      </c>
      <c r="BG21" s="425"/>
      <c r="BH21" s="1147"/>
      <c r="BI21" s="1094"/>
      <c r="BJ21" s="9">
        <v>30550</v>
      </c>
      <c r="BK21" s="6" t="s">
        <v>1408</v>
      </c>
      <c r="BL21" s="323"/>
      <c r="BM21" s="1147"/>
      <c r="BN21" s="1094"/>
      <c r="BO21" s="9" t="s">
        <v>1266</v>
      </c>
      <c r="BP21" s="2" t="s">
        <v>754</v>
      </c>
      <c r="BQ21" s="8"/>
      <c r="BR21" s="1150"/>
      <c r="BS21" s="1094"/>
      <c r="BT21" s="9" t="s">
        <v>919</v>
      </c>
      <c r="BU21" s="6" t="s">
        <v>1222</v>
      </c>
      <c r="BV21" s="1114" t="s">
        <v>1236</v>
      </c>
      <c r="BW21" s="1158"/>
      <c r="BX21" s="1094"/>
      <c r="BZ21" s="12"/>
      <c r="CA21" s="2"/>
      <c r="CC21" s="1746"/>
    </row>
    <row r="22" spans="1:81">
      <c r="A22" s="1718"/>
      <c r="B22" s="1">
        <v>13</v>
      </c>
      <c r="C22" s="2" t="s">
        <v>694</v>
      </c>
      <c r="D22" s="444"/>
      <c r="E22" s="1147"/>
      <c r="F22" s="1718"/>
      <c r="G22" s="1">
        <v>326</v>
      </c>
      <c r="H22" s="2" t="s">
        <v>418</v>
      </c>
      <c r="I22" s="385"/>
      <c r="J22" s="1147"/>
      <c r="K22" s="1718"/>
      <c r="L22" s="1">
        <v>564</v>
      </c>
      <c r="M22" s="2" t="s">
        <v>570</v>
      </c>
      <c r="N22" s="330"/>
      <c r="O22" s="1147"/>
      <c r="P22" s="1718"/>
      <c r="Q22" s="1" t="s">
        <v>293</v>
      </c>
      <c r="R22" s="2" t="s">
        <v>484</v>
      </c>
      <c r="S22" s="268"/>
      <c r="T22" s="1147"/>
      <c r="U22" s="1718"/>
      <c r="V22" s="1">
        <v>911</v>
      </c>
      <c r="W22" s="2" t="s">
        <v>485</v>
      </c>
      <c r="X22" s="207"/>
      <c r="Y22" s="1147"/>
      <c r="Z22" s="1718"/>
      <c r="AA22" s="1">
        <v>3033</v>
      </c>
      <c r="AB22" s="2" t="s">
        <v>571</v>
      </c>
      <c r="AC22" s="145"/>
      <c r="AD22" s="1147"/>
      <c r="AE22" s="1718"/>
      <c r="AF22" s="1">
        <v>3778</v>
      </c>
      <c r="AG22" s="2" t="s">
        <v>572</v>
      </c>
      <c r="AH22" s="83"/>
      <c r="AI22" s="1147"/>
      <c r="AJ22" s="1718"/>
      <c r="AK22" s="1">
        <v>3861</v>
      </c>
      <c r="AL22" s="2" t="s">
        <v>573</v>
      </c>
      <c r="AM22" s="38"/>
      <c r="AN22" s="1147"/>
      <c r="AO22" s="1094"/>
      <c r="AP22" s="9" t="s">
        <v>98</v>
      </c>
      <c r="AQ22" s="6" t="s">
        <v>198</v>
      </c>
      <c r="AR22" s="55"/>
      <c r="AS22" s="1149"/>
      <c r="AT22" s="1094"/>
      <c r="AU22" s="9">
        <v>4230</v>
      </c>
      <c r="AV22" s="2" t="s">
        <v>165</v>
      </c>
      <c r="AW22" s="6"/>
      <c r="AX22" s="1149"/>
      <c r="AY22" s="1094"/>
      <c r="AZ22" s="9">
        <v>4516</v>
      </c>
      <c r="BA22" s="2" t="s">
        <v>235</v>
      </c>
      <c r="BC22" s="1150"/>
      <c r="BD22" s="1094"/>
      <c r="BE22" s="9" t="s">
        <v>875</v>
      </c>
      <c r="BF22" s="6" t="s">
        <v>897</v>
      </c>
      <c r="BG22" s="545"/>
      <c r="BH22" s="1147"/>
      <c r="BI22" s="1094"/>
      <c r="BJ22" s="9">
        <v>30552</v>
      </c>
      <c r="BK22" s="6" t="s">
        <v>1409</v>
      </c>
      <c r="BL22" s="324"/>
      <c r="BM22" s="1147"/>
      <c r="BN22" s="1094"/>
      <c r="BO22" s="9" t="s">
        <v>1267</v>
      </c>
      <c r="BP22" s="2" t="s">
        <v>740</v>
      </c>
      <c r="BR22" s="1150"/>
      <c r="BS22" s="1094"/>
      <c r="BT22" s="9" t="s">
        <v>920</v>
      </c>
      <c r="BU22" s="6" t="s">
        <v>1228</v>
      </c>
      <c r="BV22" s="1119" t="s">
        <v>1236</v>
      </c>
      <c r="BW22" s="1158"/>
      <c r="BX22" s="1094"/>
      <c r="BZ22" s="12"/>
      <c r="CA22" s="2"/>
      <c r="CB22" s="8"/>
      <c r="CC22" s="1746"/>
    </row>
    <row r="23" spans="1:81">
      <c r="A23" s="1718"/>
      <c r="B23" s="1">
        <v>14</v>
      </c>
      <c r="C23" s="2" t="s">
        <v>696</v>
      </c>
      <c r="D23" s="445"/>
      <c r="E23" s="1147"/>
      <c r="F23" s="1718"/>
      <c r="G23" s="1">
        <v>327</v>
      </c>
      <c r="H23" s="2" t="s">
        <v>12</v>
      </c>
      <c r="I23" s="386"/>
      <c r="J23" s="1147"/>
      <c r="K23" s="1718"/>
      <c r="L23" s="1">
        <v>580</v>
      </c>
      <c r="M23" s="2" t="s">
        <v>331</v>
      </c>
      <c r="N23" s="331"/>
      <c r="O23" s="1147"/>
      <c r="P23" s="1718"/>
      <c r="Q23" s="1">
        <v>777</v>
      </c>
      <c r="R23" s="2" t="s">
        <v>687</v>
      </c>
      <c r="S23" s="269"/>
      <c r="T23" s="1147"/>
      <c r="U23" s="1718"/>
      <c r="V23" s="1">
        <v>912</v>
      </c>
      <c r="W23" s="2" t="s">
        <v>574</v>
      </c>
      <c r="X23" s="208"/>
      <c r="Y23" s="1147"/>
      <c r="Z23" s="1718"/>
      <c r="AA23" s="1">
        <v>3041</v>
      </c>
      <c r="AB23" s="2" t="s">
        <v>486</v>
      </c>
      <c r="AC23" s="146"/>
      <c r="AD23" s="1147"/>
      <c r="AE23" s="1718"/>
      <c r="AF23" s="1">
        <v>3779</v>
      </c>
      <c r="AG23" s="2" t="s">
        <v>669</v>
      </c>
      <c r="AH23" s="84"/>
      <c r="AI23" s="1147"/>
      <c r="AJ23" s="1718"/>
      <c r="AK23" s="1">
        <v>3862</v>
      </c>
      <c r="AL23" s="2" t="s">
        <v>332</v>
      </c>
      <c r="AM23" s="39"/>
      <c r="AN23" s="1147"/>
      <c r="AO23" s="1094"/>
      <c r="AP23" s="9" t="s">
        <v>86</v>
      </c>
      <c r="AQ23" s="6" t="s">
        <v>199</v>
      </c>
      <c r="AR23" s="56"/>
      <c r="AS23" s="1149"/>
      <c r="AT23" s="1094"/>
      <c r="AU23" s="9">
        <v>4235</v>
      </c>
      <c r="AV23" s="2" t="s">
        <v>166</v>
      </c>
      <c r="AW23" s="6"/>
      <c r="AX23" s="1149"/>
      <c r="AY23" s="1094"/>
      <c r="AZ23" s="9">
        <v>4517</v>
      </c>
      <c r="BA23" s="2" t="s">
        <v>236</v>
      </c>
      <c r="BB23" s="6"/>
      <c r="BC23" s="1149"/>
      <c r="BD23" s="1094"/>
      <c r="BE23" s="9" t="s">
        <v>811</v>
      </c>
      <c r="BF23" s="6" t="s">
        <v>841</v>
      </c>
      <c r="BG23" s="431"/>
      <c r="BH23" s="1147"/>
      <c r="BI23" s="1094"/>
      <c r="BJ23" s="9">
        <v>30553</v>
      </c>
      <c r="BK23" s="6" t="s">
        <v>1410</v>
      </c>
      <c r="BL23" s="546"/>
      <c r="BM23" s="1147"/>
      <c r="BN23" s="1094"/>
      <c r="BO23" s="9" t="s">
        <v>1268</v>
      </c>
      <c r="BP23" s="2" t="s">
        <v>755</v>
      </c>
      <c r="BQ23" s="8"/>
      <c r="BR23" s="1150"/>
      <c r="BS23" s="1094"/>
      <c r="BT23" s="9" t="s">
        <v>921</v>
      </c>
      <c r="BU23" s="6" t="s">
        <v>1226</v>
      </c>
      <c r="BV23" s="1120" t="s">
        <v>1236</v>
      </c>
      <c r="BW23" s="1150"/>
      <c r="BX23" s="1094"/>
      <c r="BZ23" s="12"/>
      <c r="CA23" s="2"/>
      <c r="CC23" s="1746"/>
    </row>
    <row r="24" spans="1:81" ht="17" thickBot="1">
      <c r="A24" s="1718"/>
      <c r="B24" s="1">
        <v>15</v>
      </c>
      <c r="C24" s="15" t="s">
        <v>121</v>
      </c>
      <c r="D24" s="446"/>
      <c r="E24" s="1147"/>
      <c r="F24" s="1718"/>
      <c r="G24" s="1">
        <v>333</v>
      </c>
      <c r="H24" s="2" t="s">
        <v>419</v>
      </c>
      <c r="I24" s="387"/>
      <c r="J24" s="1147"/>
      <c r="K24" s="1718"/>
      <c r="L24" s="1">
        <v>581</v>
      </c>
      <c r="M24" s="2" t="s">
        <v>13</v>
      </c>
      <c r="N24" s="332"/>
      <c r="O24" s="1147"/>
      <c r="P24" s="1718"/>
      <c r="Q24" s="1">
        <v>778</v>
      </c>
      <c r="R24" s="2" t="s">
        <v>575</v>
      </c>
      <c r="S24" s="270"/>
      <c r="T24" s="1147"/>
      <c r="U24" s="1718"/>
      <c r="V24" s="1">
        <v>913</v>
      </c>
      <c r="W24" s="2" t="s">
        <v>487</v>
      </c>
      <c r="X24" s="209"/>
      <c r="Y24" s="1147"/>
      <c r="Z24" s="1718"/>
      <c r="AA24" s="1">
        <v>3042</v>
      </c>
      <c r="AB24" s="2" t="s">
        <v>576</v>
      </c>
      <c r="AC24" s="147"/>
      <c r="AD24" s="1147"/>
      <c r="AE24" s="1718"/>
      <c r="AF24" s="1">
        <v>3781</v>
      </c>
      <c r="AG24" s="2" t="s">
        <v>333</v>
      </c>
      <c r="AH24" s="85"/>
      <c r="AI24" s="1147"/>
      <c r="AJ24" s="1718"/>
      <c r="AK24" s="1">
        <v>3863</v>
      </c>
      <c r="AL24" s="2" t="s">
        <v>488</v>
      </c>
      <c r="AM24" s="40"/>
      <c r="AN24" s="1147"/>
      <c r="AO24" s="1094"/>
      <c r="AP24" s="9" t="s">
        <v>91</v>
      </c>
      <c r="AQ24" s="6" t="s">
        <v>200</v>
      </c>
      <c r="AR24" s="57"/>
      <c r="AS24" s="1149"/>
      <c r="AT24" s="1094"/>
      <c r="AU24" s="10">
        <v>4240</v>
      </c>
      <c r="AV24" s="4" t="s">
        <v>167</v>
      </c>
      <c r="AW24" s="16"/>
      <c r="AX24" s="1154"/>
      <c r="AY24" s="1094"/>
      <c r="AZ24" s="9">
        <v>4518</v>
      </c>
      <c r="BA24" s="2" t="s">
        <v>237</v>
      </c>
      <c r="BB24" s="6"/>
      <c r="BC24" s="1149"/>
      <c r="BD24" s="1094"/>
      <c r="BE24" s="9" t="s">
        <v>814</v>
      </c>
      <c r="BF24" s="6" t="s">
        <v>843</v>
      </c>
      <c r="BG24" s="323"/>
      <c r="BH24" s="1147"/>
      <c r="BI24" s="1094"/>
      <c r="BJ24" s="9">
        <v>30554</v>
      </c>
      <c r="BK24" s="6" t="s">
        <v>1411</v>
      </c>
      <c r="BL24" s="326"/>
      <c r="BM24" s="1147"/>
      <c r="BN24" s="1094"/>
      <c r="BO24" s="9" t="s">
        <v>1269</v>
      </c>
      <c r="BP24" s="2" t="s">
        <v>741</v>
      </c>
      <c r="BR24" s="1150"/>
      <c r="BS24" s="1094"/>
      <c r="BT24" s="9" t="s">
        <v>922</v>
      </c>
      <c r="BU24" s="6" t="s">
        <v>1230</v>
      </c>
      <c r="BV24" s="1121" t="s">
        <v>1236</v>
      </c>
      <c r="BW24" s="1150"/>
      <c r="BX24" s="1094"/>
      <c r="BZ24" s="12"/>
      <c r="CA24" s="2"/>
      <c r="CB24" s="8"/>
      <c r="CC24" s="1746"/>
    </row>
    <row r="25" spans="1:81">
      <c r="A25" s="1718"/>
      <c r="B25" s="1">
        <v>16</v>
      </c>
      <c r="C25" s="2" t="s">
        <v>693</v>
      </c>
      <c r="D25" s="447"/>
      <c r="E25" s="1147"/>
      <c r="F25" s="1718"/>
      <c r="G25" s="1">
        <v>334</v>
      </c>
      <c r="H25" s="2" t="s">
        <v>489</v>
      </c>
      <c r="I25" s="52"/>
      <c r="J25" s="1147"/>
      <c r="K25" s="1718"/>
      <c r="L25" s="1">
        <v>597</v>
      </c>
      <c r="M25" s="2" t="s">
        <v>14</v>
      </c>
      <c r="N25" s="333"/>
      <c r="O25" s="1147"/>
      <c r="P25" s="1718"/>
      <c r="Q25" s="1">
        <v>779</v>
      </c>
      <c r="R25" s="2" t="s">
        <v>65</v>
      </c>
      <c r="S25" s="271"/>
      <c r="T25" s="1147"/>
      <c r="U25" s="1718"/>
      <c r="V25" s="1">
        <v>915</v>
      </c>
      <c r="W25" s="2" t="s">
        <v>334</v>
      </c>
      <c r="X25" s="210"/>
      <c r="Y25" s="1147"/>
      <c r="Z25" s="1718"/>
      <c r="AA25" s="1">
        <v>3045</v>
      </c>
      <c r="AB25" s="2" t="s">
        <v>335</v>
      </c>
      <c r="AC25" s="148"/>
      <c r="AD25" s="1147"/>
      <c r="AE25" s="1718"/>
      <c r="AF25" s="1">
        <v>3782</v>
      </c>
      <c r="AG25" s="2" t="s">
        <v>577</v>
      </c>
      <c r="AH25" s="86"/>
      <c r="AI25" s="1147"/>
      <c r="AJ25" s="1718"/>
      <c r="AK25" s="1">
        <v>3864</v>
      </c>
      <c r="AL25" s="2" t="s">
        <v>578</v>
      </c>
      <c r="AM25" s="41"/>
      <c r="AN25" s="1147"/>
      <c r="AO25" s="1094"/>
      <c r="AP25" s="9" t="s">
        <v>92</v>
      </c>
      <c r="AQ25" s="6" t="s">
        <v>201</v>
      </c>
      <c r="AR25" s="58"/>
      <c r="AS25" s="1149"/>
      <c r="AT25" s="1094"/>
      <c r="AU25" s="1094"/>
      <c r="AV25" s="1094"/>
      <c r="AW25" s="1094"/>
      <c r="AX25" s="1073"/>
      <c r="AY25" s="1094"/>
      <c r="AZ25" s="9">
        <v>4519</v>
      </c>
      <c r="BA25" s="2" t="s">
        <v>238</v>
      </c>
      <c r="BC25" s="1150"/>
      <c r="BD25" s="1094"/>
      <c r="BE25" s="9" t="s">
        <v>815</v>
      </c>
      <c r="BF25" s="6" t="s">
        <v>898</v>
      </c>
      <c r="BG25" s="324"/>
      <c r="BH25" s="1147"/>
      <c r="BI25" s="1094"/>
      <c r="BJ25" s="9">
        <v>30580</v>
      </c>
      <c r="BK25" s="6" t="s">
        <v>1412</v>
      </c>
      <c r="BL25" s="331"/>
      <c r="BM25" s="1147"/>
      <c r="BN25" s="1094"/>
      <c r="BO25" s="9" t="s">
        <v>1270</v>
      </c>
      <c r="BP25" s="2" t="s">
        <v>756</v>
      </c>
      <c r="BQ25" s="8"/>
      <c r="BR25" s="1150"/>
      <c r="BS25" s="1094"/>
      <c r="BT25" s="9" t="s">
        <v>924</v>
      </c>
      <c r="BU25" s="6" t="s">
        <v>1221</v>
      </c>
      <c r="BV25" s="1115" t="s">
        <v>1236</v>
      </c>
      <c r="BW25" s="1150"/>
      <c r="BX25" s="1094"/>
      <c r="BZ25" s="12"/>
      <c r="CA25" s="2"/>
      <c r="CB25" s="8"/>
      <c r="CC25" s="1746"/>
    </row>
    <row r="26" spans="1:81">
      <c r="A26" s="1718"/>
      <c r="B26" s="1">
        <v>17</v>
      </c>
      <c r="C26" s="2" t="s">
        <v>692</v>
      </c>
      <c r="D26" s="448"/>
      <c r="E26" s="1147"/>
      <c r="F26" s="1718"/>
      <c r="G26" s="1">
        <v>335</v>
      </c>
      <c r="H26" s="2" t="s">
        <v>4</v>
      </c>
      <c r="I26" s="388"/>
      <c r="J26" s="1147"/>
      <c r="K26" s="1718"/>
      <c r="L26" s="1">
        <v>598</v>
      </c>
      <c r="M26" s="2" t="s">
        <v>579</v>
      </c>
      <c r="N26" s="334"/>
      <c r="O26" s="1147"/>
      <c r="P26" s="1718"/>
      <c r="Q26" s="1">
        <v>780</v>
      </c>
      <c r="R26" s="2" t="s">
        <v>670</v>
      </c>
      <c r="S26" s="272"/>
      <c r="T26" s="1147"/>
      <c r="U26" s="1718"/>
      <c r="V26" s="1">
        <v>917</v>
      </c>
      <c r="W26" s="2" t="s">
        <v>490</v>
      </c>
      <c r="X26" s="211"/>
      <c r="Y26" s="1147"/>
      <c r="Z26" s="1718"/>
      <c r="AA26" s="1">
        <v>3046</v>
      </c>
      <c r="AB26" s="2" t="s">
        <v>491</v>
      </c>
      <c r="AC26" s="149"/>
      <c r="AD26" s="1147"/>
      <c r="AE26" s="1718"/>
      <c r="AF26" s="1">
        <v>3787</v>
      </c>
      <c r="AG26" s="2" t="s">
        <v>336</v>
      </c>
      <c r="AH26" s="87"/>
      <c r="AI26" s="1147"/>
      <c r="AJ26" s="1718"/>
      <c r="AK26" s="1">
        <v>3865</v>
      </c>
      <c r="AL26" s="2" t="s">
        <v>80</v>
      </c>
      <c r="AM26" s="42"/>
      <c r="AN26" s="1147"/>
      <c r="AO26" s="1094"/>
      <c r="AP26" s="9" t="s">
        <v>107</v>
      </c>
      <c r="AQ26" s="6" t="s">
        <v>202</v>
      </c>
      <c r="AR26" s="59"/>
      <c r="AS26" s="1149"/>
      <c r="AT26" s="1094"/>
      <c r="AU26" s="1094"/>
      <c r="AV26" s="1094"/>
      <c r="AW26" s="1094"/>
      <c r="AX26" s="1073"/>
      <c r="AY26" s="1094"/>
      <c r="AZ26" s="9">
        <v>4520</v>
      </c>
      <c r="BA26" s="2" t="s">
        <v>239</v>
      </c>
      <c r="BC26" s="1150"/>
      <c r="BD26" s="1094"/>
      <c r="BE26" s="9" t="s">
        <v>876</v>
      </c>
      <c r="BF26" s="6" t="s">
        <v>842</v>
      </c>
      <c r="BG26" s="546"/>
      <c r="BH26" s="1147"/>
      <c r="BI26" s="1094"/>
      <c r="BJ26" s="9">
        <v>30601</v>
      </c>
      <c r="BK26" s="6" t="s">
        <v>1413</v>
      </c>
      <c r="BL26" s="336"/>
      <c r="BM26" s="1147"/>
      <c r="BN26" s="1094"/>
      <c r="BO26" s="9" t="s">
        <v>1271</v>
      </c>
      <c r="BP26" s="2" t="s">
        <v>757</v>
      </c>
      <c r="BQ26" s="8"/>
      <c r="BR26" s="1150"/>
      <c r="BS26" s="1094"/>
      <c r="BT26" s="9" t="s">
        <v>923</v>
      </c>
      <c r="BU26" s="6" t="s">
        <v>1227</v>
      </c>
      <c r="BV26" s="1122" t="s">
        <v>1236</v>
      </c>
      <c r="BW26" s="1150"/>
      <c r="BX26" s="1094"/>
      <c r="BZ26" s="12"/>
      <c r="CA26" s="2"/>
      <c r="CC26" s="1746"/>
    </row>
    <row r="27" spans="1:81">
      <c r="A27" s="1718"/>
      <c r="B27" s="1">
        <v>18</v>
      </c>
      <c r="C27" s="15" t="s">
        <v>122</v>
      </c>
      <c r="D27" s="449"/>
      <c r="E27" s="1147"/>
      <c r="F27" s="1718"/>
      <c r="G27" s="1">
        <v>336</v>
      </c>
      <c r="H27" s="2" t="s">
        <v>54</v>
      </c>
      <c r="I27" s="389"/>
      <c r="J27" s="1147"/>
      <c r="K27" s="1718"/>
      <c r="L27" s="1">
        <v>600</v>
      </c>
      <c r="M27" s="2" t="s">
        <v>420</v>
      </c>
      <c r="N27" s="335"/>
      <c r="O27" s="1147"/>
      <c r="P27" s="1718"/>
      <c r="Q27" s="1" t="s">
        <v>294</v>
      </c>
      <c r="R27" s="2" t="s">
        <v>421</v>
      </c>
      <c r="S27" s="273"/>
      <c r="T27" s="1147"/>
      <c r="U27" s="1718"/>
      <c r="V27" s="1">
        <v>918</v>
      </c>
      <c r="W27" s="2" t="s">
        <v>337</v>
      </c>
      <c r="X27" s="212"/>
      <c r="Y27" s="1147"/>
      <c r="Z27" s="1718"/>
      <c r="AA27" s="1">
        <v>3047</v>
      </c>
      <c r="AB27" s="2" t="s">
        <v>580</v>
      </c>
      <c r="AC27" s="150"/>
      <c r="AD27" s="1147"/>
      <c r="AE27" s="1718"/>
      <c r="AF27" s="1">
        <v>3790</v>
      </c>
      <c r="AG27" s="2" t="s">
        <v>671</v>
      </c>
      <c r="AH27" s="88"/>
      <c r="AI27" s="1147"/>
      <c r="AJ27" s="1718"/>
      <c r="AK27" s="1">
        <v>3866</v>
      </c>
      <c r="AL27" s="2" t="s">
        <v>672</v>
      </c>
      <c r="AM27" s="43"/>
      <c r="AN27" s="1147"/>
      <c r="AO27" s="1094"/>
      <c r="AP27" s="9" t="s">
        <v>110</v>
      </c>
      <c r="AQ27" s="6" t="s">
        <v>203</v>
      </c>
      <c r="AR27" s="60"/>
      <c r="AS27" s="1149"/>
      <c r="AT27" s="1094"/>
      <c r="AU27" s="1094"/>
      <c r="AV27" s="1094"/>
      <c r="AW27" s="1094"/>
      <c r="AX27" s="1073"/>
      <c r="AY27" s="1094"/>
      <c r="AZ27" s="9">
        <v>4521</v>
      </c>
      <c r="BA27" s="2" t="s">
        <v>240</v>
      </c>
      <c r="BB27" s="12"/>
      <c r="BC27" s="1149"/>
      <c r="BD27" s="1094"/>
      <c r="BE27" s="9" t="s">
        <v>816</v>
      </c>
      <c r="BF27" s="6" t="s">
        <v>844</v>
      </c>
      <c r="BG27" s="336"/>
      <c r="BH27" s="1147"/>
      <c r="BI27" s="1094"/>
      <c r="BJ27" s="9">
        <v>30602</v>
      </c>
      <c r="BK27" s="6" t="s">
        <v>1414</v>
      </c>
      <c r="BL27" s="337"/>
      <c r="BM27" s="1147"/>
      <c r="BN27" s="1094"/>
      <c r="BO27" s="9" t="s">
        <v>1272</v>
      </c>
      <c r="BP27" s="2" t="s">
        <v>742</v>
      </c>
      <c r="BR27" s="1150"/>
      <c r="BS27" s="1094"/>
      <c r="BT27" s="9" t="s">
        <v>925</v>
      </c>
      <c r="BU27" s="6" t="s">
        <v>1223</v>
      </c>
      <c r="BV27" s="1116" t="s">
        <v>1236</v>
      </c>
      <c r="BW27" s="1150"/>
      <c r="BX27" s="1094"/>
      <c r="BZ27" s="12"/>
      <c r="CA27" s="2"/>
      <c r="CB27" s="8"/>
      <c r="CC27" s="1746"/>
    </row>
    <row r="28" spans="1:81">
      <c r="A28" s="1718"/>
      <c r="B28" s="1">
        <v>19</v>
      </c>
      <c r="C28" s="2" t="s">
        <v>713</v>
      </c>
      <c r="D28" s="450"/>
      <c r="E28" s="1147"/>
      <c r="F28" s="1718"/>
      <c r="G28" s="1">
        <v>340</v>
      </c>
      <c r="H28" s="2" t="s">
        <v>492</v>
      </c>
      <c r="I28" s="390"/>
      <c r="J28" s="1147"/>
      <c r="K28" s="1718"/>
      <c r="L28" s="1">
        <v>601</v>
      </c>
      <c r="M28" s="2" t="s">
        <v>338</v>
      </c>
      <c r="N28" s="336"/>
      <c r="O28" s="1147"/>
      <c r="P28" s="1718"/>
      <c r="Q28" s="1">
        <v>782</v>
      </c>
      <c r="R28" s="2" t="s">
        <v>339</v>
      </c>
      <c r="S28" s="274"/>
      <c r="T28" s="1147"/>
      <c r="U28" s="1718"/>
      <c r="V28" s="1">
        <v>919</v>
      </c>
      <c r="W28" s="2" t="s">
        <v>29</v>
      </c>
      <c r="X28" s="213"/>
      <c r="Y28" s="1147"/>
      <c r="Z28" s="1718"/>
      <c r="AA28" s="1">
        <v>3051</v>
      </c>
      <c r="AB28" s="2" t="s">
        <v>340</v>
      </c>
      <c r="AC28" s="151"/>
      <c r="AD28" s="1147"/>
      <c r="AE28" s="1718"/>
      <c r="AF28" s="1">
        <v>3799</v>
      </c>
      <c r="AG28" s="2" t="s">
        <v>422</v>
      </c>
      <c r="AH28" s="89"/>
      <c r="AI28" s="1147"/>
      <c r="AJ28" s="1718"/>
      <c r="AK28" s="9" t="s">
        <v>299</v>
      </c>
      <c r="AL28" s="2" t="s">
        <v>581</v>
      </c>
      <c r="AM28" s="489"/>
      <c r="AN28" s="1149"/>
      <c r="AO28" s="1094"/>
      <c r="AP28" s="9" t="s">
        <v>93</v>
      </c>
      <c r="AQ28" s="6" t="s">
        <v>204</v>
      </c>
      <c r="AR28" s="61"/>
      <c r="AS28" s="1149"/>
      <c r="AT28" s="1094"/>
      <c r="AU28" s="1094"/>
      <c r="AV28" s="1094"/>
      <c r="AW28" s="1094"/>
      <c r="AX28" s="1073"/>
      <c r="AY28" s="1094"/>
      <c r="AZ28" s="9">
        <v>4522</v>
      </c>
      <c r="BA28" s="2" t="s">
        <v>241</v>
      </c>
      <c r="BB28" s="12"/>
      <c r="BC28" s="1149"/>
      <c r="BD28" s="1094"/>
      <c r="BE28" s="9" t="s">
        <v>817</v>
      </c>
      <c r="BF28" s="6" t="s">
        <v>845</v>
      </c>
      <c r="BG28" s="337"/>
      <c r="BH28" s="1147"/>
      <c r="BI28" s="1094"/>
      <c r="BJ28" s="9">
        <v>30606</v>
      </c>
      <c r="BK28" s="6" t="s">
        <v>1415</v>
      </c>
      <c r="BL28" s="341"/>
      <c r="BM28" s="1147"/>
      <c r="BN28" s="1094"/>
      <c r="BO28" s="9" t="s">
        <v>1273</v>
      </c>
      <c r="BP28" s="2" t="s">
        <v>758</v>
      </c>
      <c r="BQ28" s="8"/>
      <c r="BR28" s="1150"/>
      <c r="BS28" s="1094"/>
      <c r="BT28" s="9" t="s">
        <v>926</v>
      </c>
      <c r="BU28" s="6" t="s">
        <v>1224</v>
      </c>
      <c r="BV28" s="1117" t="s">
        <v>1236</v>
      </c>
      <c r="BW28" s="1150"/>
      <c r="BX28" s="1094"/>
      <c r="BZ28" s="12"/>
      <c r="CA28" s="2"/>
      <c r="CC28" s="1746"/>
    </row>
    <row r="29" spans="1:81">
      <c r="A29" s="1718"/>
      <c r="B29" s="1">
        <v>20</v>
      </c>
      <c r="C29" s="15" t="s">
        <v>123</v>
      </c>
      <c r="D29" s="451"/>
      <c r="E29" s="1147"/>
      <c r="F29" s="1718"/>
      <c r="G29" s="1">
        <v>341</v>
      </c>
      <c r="H29" s="2" t="s">
        <v>583</v>
      </c>
      <c r="I29" s="391"/>
      <c r="J29" s="1147"/>
      <c r="K29" s="1718"/>
      <c r="L29" s="1">
        <v>602</v>
      </c>
      <c r="M29" s="2" t="s">
        <v>493</v>
      </c>
      <c r="N29" s="337"/>
      <c r="O29" s="1147"/>
      <c r="P29" s="1718"/>
      <c r="Q29" s="1">
        <v>783</v>
      </c>
      <c r="R29" s="2" t="s">
        <v>494</v>
      </c>
      <c r="S29" s="275"/>
      <c r="T29" s="1147"/>
      <c r="U29" s="1718"/>
      <c r="V29" s="1">
        <v>920</v>
      </c>
      <c r="W29" s="2" t="s">
        <v>495</v>
      </c>
      <c r="X29" s="214"/>
      <c r="Y29" s="1147"/>
      <c r="Z29" s="1718"/>
      <c r="AA29" s="1">
        <v>3052</v>
      </c>
      <c r="AB29" s="2" t="s">
        <v>496</v>
      </c>
      <c r="AC29" s="152"/>
      <c r="AD29" s="1147"/>
      <c r="AE29" s="1718"/>
      <c r="AF29" s="1">
        <v>3801</v>
      </c>
      <c r="AG29" s="2" t="s">
        <v>423</v>
      </c>
      <c r="AH29" s="90"/>
      <c r="AI29" s="1147"/>
      <c r="AJ29" s="1718"/>
      <c r="AK29" s="9" t="s">
        <v>300</v>
      </c>
      <c r="AL29" s="2" t="s">
        <v>584</v>
      </c>
      <c r="AM29" s="480"/>
      <c r="AN29" s="1149"/>
      <c r="AO29" s="1094"/>
      <c r="AP29" s="9" t="s">
        <v>109</v>
      </c>
      <c r="AQ29" s="6" t="s">
        <v>205</v>
      </c>
      <c r="AR29" s="62"/>
      <c r="AS29" s="1149"/>
      <c r="AT29" s="1094"/>
      <c r="AU29" s="1094"/>
      <c r="AV29" s="1094"/>
      <c r="AW29" s="1094"/>
      <c r="AX29" s="1073"/>
      <c r="AY29" s="1094"/>
      <c r="AZ29" s="9">
        <v>4523</v>
      </c>
      <c r="BA29" s="2" t="s">
        <v>242</v>
      </c>
      <c r="BB29" s="12"/>
      <c r="BC29" s="1149"/>
      <c r="BD29" s="1094"/>
      <c r="BE29" s="9" t="s">
        <v>818</v>
      </c>
      <c r="BF29" s="6" t="s">
        <v>846</v>
      </c>
      <c r="BG29" s="341"/>
      <c r="BH29" s="1147"/>
      <c r="BI29" s="1094"/>
      <c r="BJ29" s="9">
        <v>30666</v>
      </c>
      <c r="BK29" s="6" t="s">
        <v>1416</v>
      </c>
      <c r="BL29" s="547"/>
      <c r="BM29" s="1147"/>
      <c r="BN29" s="1094"/>
      <c r="BO29" s="9" t="s">
        <v>1274</v>
      </c>
      <c r="BP29" s="2" t="s">
        <v>743</v>
      </c>
      <c r="BR29" s="1150"/>
      <c r="BS29" s="1094"/>
      <c r="BT29" s="9" t="s">
        <v>927</v>
      </c>
      <c r="BU29" s="6" t="s">
        <v>1225</v>
      </c>
      <c r="BV29" s="1118" t="s">
        <v>1236</v>
      </c>
      <c r="BW29" s="1150"/>
      <c r="BX29" s="1094"/>
      <c r="BZ29" s="12"/>
      <c r="CA29" s="2"/>
      <c r="CC29" s="1746"/>
    </row>
    <row r="30" spans="1:81">
      <c r="A30" s="1718"/>
      <c r="B30" s="1">
        <v>21</v>
      </c>
      <c r="C30" s="2" t="s">
        <v>712</v>
      </c>
      <c r="D30" s="452"/>
      <c r="E30" s="1147"/>
      <c r="F30" s="1718"/>
      <c r="G30" s="1">
        <v>347</v>
      </c>
      <c r="H30" s="2" t="s">
        <v>424</v>
      </c>
      <c r="I30" s="392"/>
      <c r="J30" s="1147"/>
      <c r="K30" s="1718"/>
      <c r="L30" s="1">
        <v>603</v>
      </c>
      <c r="M30" s="2" t="s">
        <v>585</v>
      </c>
      <c r="N30" s="338"/>
      <c r="O30" s="1147"/>
      <c r="P30" s="1718"/>
      <c r="Q30" s="1">
        <v>791</v>
      </c>
      <c r="R30" s="2" t="s">
        <v>425</v>
      </c>
      <c r="S30" s="276"/>
      <c r="T30" s="1147"/>
      <c r="U30" s="1718"/>
      <c r="V30" s="1">
        <v>921</v>
      </c>
      <c r="W30" s="2" t="s">
        <v>30</v>
      </c>
      <c r="X30" s="215"/>
      <c r="Y30" s="1147"/>
      <c r="Z30" s="1718"/>
      <c r="AA30" s="1">
        <v>3053</v>
      </c>
      <c r="AB30" s="2" t="s">
        <v>69</v>
      </c>
      <c r="AC30" s="153"/>
      <c r="AD30" s="1147"/>
      <c r="AE30" s="1718"/>
      <c r="AF30" s="1">
        <v>3802</v>
      </c>
      <c r="AG30" s="2" t="s">
        <v>426</v>
      </c>
      <c r="AH30" s="91"/>
      <c r="AI30" s="1147"/>
      <c r="AJ30" s="1718"/>
      <c r="AK30" s="9" t="s">
        <v>301</v>
      </c>
      <c r="AL30" s="2" t="s">
        <v>341</v>
      </c>
      <c r="AM30" s="309"/>
      <c r="AN30" s="1149"/>
      <c r="AO30" s="1094"/>
      <c r="AP30" s="9" t="s">
        <v>94</v>
      </c>
      <c r="AQ30" s="6" t="s">
        <v>206</v>
      </c>
      <c r="AR30" s="63"/>
      <c r="AS30" s="1149"/>
      <c r="AT30" s="1094"/>
      <c r="AU30" s="1094"/>
      <c r="AV30" s="1094"/>
      <c r="AW30" s="1094"/>
      <c r="AX30" s="1073"/>
      <c r="AY30" s="1094"/>
      <c r="AZ30" s="9" t="s">
        <v>276</v>
      </c>
      <c r="BA30" s="2" t="s">
        <v>278</v>
      </c>
      <c r="BB30" s="433"/>
      <c r="BC30" s="1149"/>
      <c r="BD30" s="1094"/>
      <c r="BE30" s="9" t="s">
        <v>877</v>
      </c>
      <c r="BF30" s="6" t="s">
        <v>899</v>
      </c>
      <c r="BG30" s="547"/>
      <c r="BH30" s="1147"/>
      <c r="BI30" s="1094"/>
      <c r="BJ30" s="9">
        <v>30676</v>
      </c>
      <c r="BK30" s="6" t="s">
        <v>1417</v>
      </c>
      <c r="BL30" s="548"/>
      <c r="BM30" s="1147"/>
      <c r="BN30" s="1094"/>
      <c r="BO30" s="9" t="s">
        <v>1275</v>
      </c>
      <c r="BP30" s="2" t="s">
        <v>744</v>
      </c>
      <c r="BR30" s="1150"/>
      <c r="BS30" s="1094"/>
      <c r="BT30" s="9" t="s">
        <v>928</v>
      </c>
      <c r="BU30" s="6" t="s">
        <v>1229</v>
      </c>
      <c r="BV30" s="1123" t="s">
        <v>1236</v>
      </c>
      <c r="BW30" s="1150"/>
      <c r="BX30" s="1094"/>
      <c r="BZ30" s="12"/>
      <c r="CA30" s="2"/>
      <c r="CC30" s="1746"/>
    </row>
    <row r="31" spans="1:81">
      <c r="A31" s="1718"/>
      <c r="B31" s="1">
        <v>22</v>
      </c>
      <c r="C31" s="15" t="s">
        <v>124</v>
      </c>
      <c r="D31" s="453"/>
      <c r="E31" s="1147"/>
      <c r="F31" s="1718"/>
      <c r="G31" s="1">
        <v>349</v>
      </c>
      <c r="H31" s="2" t="s">
        <v>342</v>
      </c>
      <c r="I31" s="393"/>
      <c r="J31" s="1147"/>
      <c r="K31" s="1718"/>
      <c r="L31" s="1">
        <v>604</v>
      </c>
      <c r="M31" s="2" t="s">
        <v>586</v>
      </c>
      <c r="N31" s="339"/>
      <c r="O31" s="1147"/>
      <c r="P31" s="1718"/>
      <c r="Q31" s="1">
        <v>792</v>
      </c>
      <c r="R31" s="2" t="s">
        <v>343</v>
      </c>
      <c r="S31" s="277"/>
      <c r="T31" s="1147"/>
      <c r="U31" s="1718"/>
      <c r="V31" s="1">
        <v>922</v>
      </c>
      <c r="W31" s="2" t="s">
        <v>587</v>
      </c>
      <c r="X31" s="216"/>
      <c r="Y31" s="1147"/>
      <c r="Z31" s="1718"/>
      <c r="AA31" s="1">
        <v>3064</v>
      </c>
      <c r="AB31" s="2" t="s">
        <v>70</v>
      </c>
      <c r="AC31" s="154"/>
      <c r="AD31" s="1147"/>
      <c r="AE31" s="1718"/>
      <c r="AF31" s="1">
        <v>3803</v>
      </c>
      <c r="AG31" s="2" t="s">
        <v>344</v>
      </c>
      <c r="AH31" s="92"/>
      <c r="AI31" s="1147"/>
      <c r="AJ31" s="1718"/>
      <c r="AK31" s="9" t="s">
        <v>302</v>
      </c>
      <c r="AL31" s="2" t="s">
        <v>588</v>
      </c>
      <c r="AM31" s="365"/>
      <c r="AN31" s="1149"/>
      <c r="AO31" s="1094"/>
      <c r="AP31" s="9" t="s">
        <v>101</v>
      </c>
      <c r="AQ31" s="6" t="s">
        <v>207</v>
      </c>
      <c r="AR31" s="64"/>
      <c r="AS31" s="1149"/>
      <c r="AT31" s="1094"/>
      <c r="AU31" s="1094"/>
      <c r="AV31" s="1094"/>
      <c r="AW31" s="1094"/>
      <c r="AX31" s="1073"/>
      <c r="AY31" s="1094"/>
      <c r="AZ31" s="9" t="s">
        <v>277</v>
      </c>
      <c r="BA31" s="2" t="s">
        <v>279</v>
      </c>
      <c r="BB31" s="512"/>
      <c r="BC31" s="1149"/>
      <c r="BD31" s="1094"/>
      <c r="BE31" s="9" t="s">
        <v>878</v>
      </c>
      <c r="BF31" s="6" t="s">
        <v>900</v>
      </c>
      <c r="BG31" s="548"/>
      <c r="BH31" s="1147"/>
      <c r="BI31" s="1094"/>
      <c r="BJ31" s="9">
        <v>30702</v>
      </c>
      <c r="BK31" s="6" t="s">
        <v>1418</v>
      </c>
      <c r="BL31" s="360"/>
      <c r="BM31" s="1147"/>
      <c r="BN31" s="1094"/>
      <c r="BO31" s="9" t="s">
        <v>1276</v>
      </c>
      <c r="BP31" s="2" t="s">
        <v>745</v>
      </c>
      <c r="BR31" s="1150"/>
      <c r="BS31" s="1094"/>
      <c r="BT31" s="9" t="s">
        <v>1248</v>
      </c>
      <c r="BU31" s="6" t="s">
        <v>1232</v>
      </c>
      <c r="BV31" s="1127"/>
      <c r="BW31" s="1150"/>
      <c r="BX31" s="1094"/>
      <c r="BZ31" s="12"/>
      <c r="CA31" s="2"/>
      <c r="CB31" s="8"/>
      <c r="CC31" s="1746"/>
    </row>
    <row r="32" spans="1:81">
      <c r="A32" s="1718"/>
      <c r="B32" s="1">
        <v>23</v>
      </c>
      <c r="C32" s="15" t="s">
        <v>125</v>
      </c>
      <c r="D32" s="454"/>
      <c r="E32" s="1147"/>
      <c r="F32" s="1718"/>
      <c r="G32" s="1">
        <v>350</v>
      </c>
      <c r="H32" s="2" t="s">
        <v>498</v>
      </c>
      <c r="I32" s="394"/>
      <c r="J32" s="1147"/>
      <c r="K32" s="1718"/>
      <c r="L32" s="1">
        <v>605</v>
      </c>
      <c r="M32" s="2" t="s">
        <v>589</v>
      </c>
      <c r="N32" s="340"/>
      <c r="O32" s="1147"/>
      <c r="P32" s="1718"/>
      <c r="Q32" s="1">
        <v>793</v>
      </c>
      <c r="R32" s="2" t="s">
        <v>499</v>
      </c>
      <c r="S32" s="278"/>
      <c r="T32" s="1147"/>
      <c r="U32" s="1718"/>
      <c r="V32" s="1">
        <v>924</v>
      </c>
      <c r="W32" s="5" t="s">
        <v>427</v>
      </c>
      <c r="X32" s="217"/>
      <c r="Y32" s="1147"/>
      <c r="Z32" s="1718"/>
      <c r="AA32" s="1">
        <v>3072</v>
      </c>
      <c r="AB32" s="2" t="s">
        <v>590</v>
      </c>
      <c r="AC32" s="155"/>
      <c r="AD32" s="1147"/>
      <c r="AE32" s="1718"/>
      <c r="AF32" s="1">
        <v>3804</v>
      </c>
      <c r="AG32" s="2" t="s">
        <v>345</v>
      </c>
      <c r="AH32" s="93"/>
      <c r="AI32" s="1147"/>
      <c r="AJ32" s="1718"/>
      <c r="AK32" s="9" t="s">
        <v>303</v>
      </c>
      <c r="AL32" s="2" t="s">
        <v>549</v>
      </c>
      <c r="AM32" s="321"/>
      <c r="AN32" s="1149"/>
      <c r="AO32" s="1094"/>
      <c r="AP32" s="9" t="s">
        <v>108</v>
      </c>
      <c r="AQ32" s="6" t="s">
        <v>208</v>
      </c>
      <c r="AR32" s="65"/>
      <c r="AS32" s="1149"/>
      <c r="AT32" s="1094"/>
      <c r="AU32" s="1094"/>
      <c r="AV32" s="1094"/>
      <c r="AW32" s="1094"/>
      <c r="AX32" s="1073"/>
      <c r="AY32" s="1094"/>
      <c r="AZ32" s="9" t="s">
        <v>244</v>
      </c>
      <c r="BA32" s="2" t="s">
        <v>280</v>
      </c>
      <c r="BB32" s="48"/>
      <c r="BC32" s="1149"/>
      <c r="BD32" s="1094"/>
      <c r="BE32" s="9" t="s">
        <v>819</v>
      </c>
      <c r="BF32" s="6" t="s">
        <v>847</v>
      </c>
      <c r="BG32" s="358"/>
      <c r="BH32" s="1147"/>
      <c r="BI32" s="1094"/>
      <c r="BJ32" s="9">
        <v>30712</v>
      </c>
      <c r="BK32" s="6" t="s">
        <v>1419</v>
      </c>
      <c r="BL32" s="362"/>
      <c r="BM32" s="1147"/>
      <c r="BN32" s="1094"/>
      <c r="BO32" s="9" t="s">
        <v>1277</v>
      </c>
      <c r="BP32" s="2" t="s">
        <v>759</v>
      </c>
      <c r="BQ32" s="8"/>
      <c r="BR32" s="1150"/>
      <c r="BS32" s="1094"/>
      <c r="BT32" s="9" t="s">
        <v>1249</v>
      </c>
      <c r="BU32" s="6" t="s">
        <v>728</v>
      </c>
      <c r="BV32" s="1126"/>
      <c r="BW32" s="1150"/>
      <c r="BX32" s="1094"/>
      <c r="BZ32" s="12"/>
      <c r="CA32" s="2"/>
      <c r="CC32" s="1746"/>
    </row>
    <row r="33" spans="1:81">
      <c r="A33" s="1718"/>
      <c r="B33" s="1">
        <v>24</v>
      </c>
      <c r="C33" s="15" t="s">
        <v>126</v>
      </c>
      <c r="D33" s="455"/>
      <c r="E33" s="1147"/>
      <c r="F33" s="1718"/>
      <c r="G33" s="1">
        <v>351</v>
      </c>
      <c r="H33" s="2" t="s">
        <v>5</v>
      </c>
      <c r="I33" s="395"/>
      <c r="J33" s="1147"/>
      <c r="K33" s="1718"/>
      <c r="L33" s="1">
        <v>606</v>
      </c>
      <c r="M33" s="2" t="s">
        <v>453</v>
      </c>
      <c r="N33" s="341"/>
      <c r="O33" s="1147"/>
      <c r="P33" s="1718"/>
      <c r="Q33" s="1">
        <v>794</v>
      </c>
      <c r="R33" s="2" t="s">
        <v>591</v>
      </c>
      <c r="S33" s="279"/>
      <c r="T33" s="1147"/>
      <c r="U33" s="1718"/>
      <c r="V33" s="1">
        <v>926</v>
      </c>
      <c r="W33" s="2" t="s">
        <v>500</v>
      </c>
      <c r="X33" s="218"/>
      <c r="Y33" s="1147"/>
      <c r="Z33" s="1718"/>
      <c r="AA33" s="1">
        <v>3078</v>
      </c>
      <c r="AB33" s="2" t="s">
        <v>592</v>
      </c>
      <c r="AC33" s="156"/>
      <c r="AD33" s="1147"/>
      <c r="AE33" s="1718"/>
      <c r="AF33" s="1">
        <v>3805</v>
      </c>
      <c r="AG33" s="2" t="s">
        <v>71</v>
      </c>
      <c r="AH33" s="94"/>
      <c r="AI33" s="1147"/>
      <c r="AJ33" s="1718"/>
      <c r="AK33" s="9" t="s">
        <v>304</v>
      </c>
      <c r="AL33" s="2" t="s">
        <v>406</v>
      </c>
      <c r="AM33" s="379"/>
      <c r="AN33" s="1149"/>
      <c r="AO33" s="1094"/>
      <c r="AP33" s="9" t="s">
        <v>111</v>
      </c>
      <c r="AQ33" s="6" t="s">
        <v>209</v>
      </c>
      <c r="AR33" s="66"/>
      <c r="AS33" s="1149"/>
      <c r="AT33" s="1094"/>
      <c r="AU33" s="1094"/>
      <c r="AV33" s="1094"/>
      <c r="AW33" s="1094"/>
      <c r="AX33" s="1073"/>
      <c r="AY33" s="1094"/>
      <c r="AZ33" s="9" t="s">
        <v>245</v>
      </c>
      <c r="BA33" s="2" t="s">
        <v>582</v>
      </c>
      <c r="BB33" s="381"/>
      <c r="BC33" s="1149"/>
      <c r="BD33" s="1094"/>
      <c r="BE33" s="9" t="s">
        <v>879</v>
      </c>
      <c r="BF33" s="2" t="s">
        <v>912</v>
      </c>
      <c r="BG33" s="360"/>
      <c r="BH33" s="1147"/>
      <c r="BI33" s="1094"/>
      <c r="BJ33" s="9">
        <v>30726</v>
      </c>
      <c r="BK33" s="6" t="s">
        <v>1420</v>
      </c>
      <c r="BL33" s="367"/>
      <c r="BM33" s="1147"/>
      <c r="BN33" s="1094"/>
      <c r="BO33" s="9" t="s">
        <v>1278</v>
      </c>
      <c r="BP33" s="2" t="s">
        <v>746</v>
      </c>
      <c r="BR33" s="1150"/>
      <c r="BS33" s="1094"/>
      <c r="BT33" s="9" t="s">
        <v>1250</v>
      </c>
      <c r="BU33" s="6" t="s">
        <v>1233</v>
      </c>
      <c r="BV33" s="1124"/>
      <c r="BW33" s="1150"/>
      <c r="BX33" s="1094"/>
      <c r="BZ33" s="12"/>
      <c r="CA33" s="2"/>
      <c r="CB33" s="8"/>
      <c r="CC33" s="1746"/>
    </row>
    <row r="34" spans="1:81">
      <c r="A34" s="1718"/>
      <c r="B34" s="1">
        <v>25</v>
      </c>
      <c r="C34" s="2" t="s">
        <v>711</v>
      </c>
      <c r="D34" s="456"/>
      <c r="E34" s="1147"/>
      <c r="F34" s="1718"/>
      <c r="G34" s="1">
        <v>352</v>
      </c>
      <c r="H34" s="2" t="s">
        <v>593</v>
      </c>
      <c r="I34" s="396"/>
      <c r="J34" s="1147"/>
      <c r="K34" s="1718"/>
      <c r="L34" s="1">
        <v>608</v>
      </c>
      <c r="M34" s="2" t="s">
        <v>454</v>
      </c>
      <c r="N34" s="342"/>
      <c r="O34" s="1147"/>
      <c r="P34" s="1718"/>
      <c r="Q34" s="1">
        <v>796</v>
      </c>
      <c r="R34" s="2" t="s">
        <v>347</v>
      </c>
      <c r="S34" s="280"/>
      <c r="T34" s="1147"/>
      <c r="U34" s="1718"/>
      <c r="V34" s="1">
        <v>927</v>
      </c>
      <c r="W34" s="2" t="s">
        <v>594</v>
      </c>
      <c r="X34" s="219"/>
      <c r="Y34" s="1147"/>
      <c r="Z34" s="1718"/>
      <c r="AA34" s="1">
        <v>3325</v>
      </c>
      <c r="AB34" s="2" t="s">
        <v>595</v>
      </c>
      <c r="AC34" s="157"/>
      <c r="AD34" s="1147"/>
      <c r="AE34" s="1718"/>
      <c r="AF34" s="1">
        <v>3806</v>
      </c>
      <c r="AG34" s="2" t="s">
        <v>596</v>
      </c>
      <c r="AH34" s="95"/>
      <c r="AI34" s="1147"/>
      <c r="AJ34" s="1718"/>
      <c r="AK34" s="9" t="s">
        <v>305</v>
      </c>
      <c r="AL34" s="2" t="s">
        <v>428</v>
      </c>
      <c r="AM34" s="67"/>
      <c r="AN34" s="1149"/>
      <c r="AO34" s="1094"/>
      <c r="AP34" s="9" t="s">
        <v>103</v>
      </c>
      <c r="AQ34" s="6" t="s">
        <v>210</v>
      </c>
      <c r="AR34" s="67"/>
      <c r="AS34" s="1149"/>
      <c r="AT34" s="1094"/>
      <c r="AU34" s="1094"/>
      <c r="AV34" s="1094"/>
      <c r="AW34" s="1094"/>
      <c r="AX34" s="1073"/>
      <c r="AY34" s="1094"/>
      <c r="AZ34" s="9" t="s">
        <v>246</v>
      </c>
      <c r="BA34" s="2" t="s">
        <v>281</v>
      </c>
      <c r="BB34" s="51"/>
      <c r="BC34" s="1149"/>
      <c r="BD34" s="1094"/>
      <c r="BE34" s="9" t="s">
        <v>880</v>
      </c>
      <c r="BF34" s="2" t="s">
        <v>913</v>
      </c>
      <c r="BG34" s="362"/>
      <c r="BH34" s="1147"/>
      <c r="BI34" s="1094"/>
      <c r="BJ34" s="9">
        <v>30742</v>
      </c>
      <c r="BK34" s="6" t="s">
        <v>1421</v>
      </c>
      <c r="BL34" s="257"/>
      <c r="BM34" s="1147"/>
      <c r="BN34" s="1094"/>
      <c r="BO34" s="9" t="s">
        <v>1279</v>
      </c>
      <c r="BP34" s="2" t="s">
        <v>760</v>
      </c>
      <c r="BQ34" s="8"/>
      <c r="BR34" s="1150"/>
      <c r="BS34" s="1094"/>
      <c r="BT34" s="9" t="s">
        <v>1251</v>
      </c>
      <c r="BU34" s="6" t="s">
        <v>1234</v>
      </c>
      <c r="BV34" s="1125"/>
      <c r="BW34" s="1150"/>
      <c r="BX34" s="1094"/>
      <c r="BZ34" s="12"/>
      <c r="CA34" s="2"/>
      <c r="CB34" s="8"/>
      <c r="CC34" s="1746"/>
    </row>
    <row r="35" spans="1:81">
      <c r="A35" s="1718"/>
      <c r="B35" s="1">
        <v>26</v>
      </c>
      <c r="C35" s="2" t="s">
        <v>710</v>
      </c>
      <c r="D35" s="457"/>
      <c r="E35" s="1147"/>
      <c r="F35" s="1718"/>
      <c r="G35" s="1">
        <v>353</v>
      </c>
      <c r="H35" s="2" t="s">
        <v>58</v>
      </c>
      <c r="I35" s="397"/>
      <c r="J35" s="1147"/>
      <c r="K35" s="1718"/>
      <c r="L35" s="1">
        <v>610</v>
      </c>
      <c r="M35" s="2" t="s">
        <v>348</v>
      </c>
      <c r="N35" s="343"/>
      <c r="O35" s="1147"/>
      <c r="P35" s="1718"/>
      <c r="Q35" s="1">
        <v>797</v>
      </c>
      <c r="R35" s="2" t="s">
        <v>24</v>
      </c>
      <c r="S35" s="281"/>
      <c r="T35" s="1147"/>
      <c r="U35" s="1718"/>
      <c r="V35" s="1">
        <v>928</v>
      </c>
      <c r="W35" s="2" t="s">
        <v>598</v>
      </c>
      <c r="X35" s="220"/>
      <c r="Y35" s="1147"/>
      <c r="Z35" s="1718"/>
      <c r="AA35" s="1">
        <v>3326</v>
      </c>
      <c r="AB35" s="2" t="s">
        <v>599</v>
      </c>
      <c r="AC35" s="158"/>
      <c r="AD35" s="1147"/>
      <c r="AE35" s="1718"/>
      <c r="AF35" s="1">
        <v>3807</v>
      </c>
      <c r="AG35" s="2" t="s">
        <v>72</v>
      </c>
      <c r="AH35" s="96"/>
      <c r="AI35" s="1147"/>
      <c r="AJ35" s="1718"/>
      <c r="AK35" s="9" t="s">
        <v>306</v>
      </c>
      <c r="AL35" s="2" t="s">
        <v>429</v>
      </c>
      <c r="AM35" s="485"/>
      <c r="AN35" s="1149"/>
      <c r="AO35" s="1094"/>
      <c r="AP35" s="9" t="s">
        <v>112</v>
      </c>
      <c r="AQ35" s="6" t="s">
        <v>211</v>
      </c>
      <c r="AR35" s="534"/>
      <c r="AS35" s="1149"/>
      <c r="AT35" s="1094"/>
      <c r="AU35" s="1094"/>
      <c r="AV35" s="1094"/>
      <c r="AW35" s="1094"/>
      <c r="AX35" s="1073"/>
      <c r="AY35" s="1094"/>
      <c r="AZ35" s="9" t="s">
        <v>247</v>
      </c>
      <c r="BA35" s="2" t="s">
        <v>282</v>
      </c>
      <c r="BB35" s="53"/>
      <c r="BC35" s="1149"/>
      <c r="BD35" s="1094"/>
      <c r="BE35" s="9" t="s">
        <v>881</v>
      </c>
      <c r="BF35" s="2" t="s">
        <v>911</v>
      </c>
      <c r="BG35" s="367"/>
      <c r="BH35" s="1147"/>
      <c r="BI35" s="1094"/>
      <c r="BJ35" s="9">
        <v>30744</v>
      </c>
      <c r="BK35" s="6" t="s">
        <v>1422</v>
      </c>
      <c r="BL35" s="259"/>
      <c r="BM35" s="1147"/>
      <c r="BN35" s="1094"/>
      <c r="BO35" s="9" t="s">
        <v>1280</v>
      </c>
      <c r="BP35" s="2" t="s">
        <v>761</v>
      </c>
      <c r="BQ35" s="8"/>
      <c r="BR35" s="1150"/>
      <c r="BS35" s="1094"/>
      <c r="BT35" s="9" t="s">
        <v>1252</v>
      </c>
      <c r="BU35" s="6" t="s">
        <v>1235</v>
      </c>
      <c r="BV35" s="1128"/>
      <c r="BW35" s="1150"/>
      <c r="BX35" s="1094"/>
      <c r="BZ35" s="12"/>
      <c r="CA35" s="2"/>
      <c r="CB35" s="8"/>
      <c r="CC35" s="1746"/>
    </row>
    <row r="36" spans="1:81">
      <c r="A36" s="1718"/>
      <c r="B36" s="1">
        <v>27</v>
      </c>
      <c r="C36" s="15" t="s">
        <v>127</v>
      </c>
      <c r="D36" s="458"/>
      <c r="E36" s="1147"/>
      <c r="F36" s="1718"/>
      <c r="G36" s="1">
        <v>355</v>
      </c>
      <c r="H36" s="2" t="s">
        <v>349</v>
      </c>
      <c r="I36" s="398"/>
      <c r="J36" s="1147"/>
      <c r="K36" s="1718"/>
      <c r="L36" s="1">
        <v>611</v>
      </c>
      <c r="M36" s="2" t="s">
        <v>62</v>
      </c>
      <c r="N36" s="344"/>
      <c r="O36" s="1147"/>
      <c r="P36" s="1718"/>
      <c r="Q36" s="1">
        <v>798</v>
      </c>
      <c r="R36" s="2" t="s">
        <v>350</v>
      </c>
      <c r="S36" s="282"/>
      <c r="T36" s="1147"/>
      <c r="U36" s="1718"/>
      <c r="V36" s="1">
        <v>930</v>
      </c>
      <c r="W36" s="2" t="s">
        <v>351</v>
      </c>
      <c r="X36" s="221"/>
      <c r="Y36" s="1147"/>
      <c r="Z36" s="1718"/>
      <c r="AA36" s="1">
        <v>3328</v>
      </c>
      <c r="AB36" s="2" t="s">
        <v>352</v>
      </c>
      <c r="AC36" s="159"/>
      <c r="AD36" s="1147"/>
      <c r="AE36" s="1718"/>
      <c r="AF36" s="1">
        <v>3808</v>
      </c>
      <c r="AG36" s="2" t="s">
        <v>673</v>
      </c>
      <c r="AH36" s="97"/>
      <c r="AI36" s="1147"/>
      <c r="AJ36" s="1718"/>
      <c r="AK36" s="9" t="s">
        <v>307</v>
      </c>
      <c r="AL36" s="2" t="s">
        <v>353</v>
      </c>
      <c r="AM36" s="190"/>
      <c r="AN36" s="1149"/>
      <c r="AO36" s="1094"/>
      <c r="AP36" s="9" t="s">
        <v>99</v>
      </c>
      <c r="AQ36" s="6" t="s">
        <v>212</v>
      </c>
      <c r="AR36" s="533"/>
      <c r="AS36" s="1149"/>
      <c r="AT36" s="1094"/>
      <c r="AU36" s="1094"/>
      <c r="AV36" s="1094"/>
      <c r="AW36" s="1094"/>
      <c r="AX36" s="1073"/>
      <c r="AY36" s="1094"/>
      <c r="AZ36" s="9" t="s">
        <v>248</v>
      </c>
      <c r="BA36" s="2" t="s">
        <v>497</v>
      </c>
      <c r="BB36" s="413"/>
      <c r="BC36" s="1149"/>
      <c r="BD36" s="1094"/>
      <c r="BE36" s="9" t="s">
        <v>882</v>
      </c>
      <c r="BF36" s="6" t="s">
        <v>910</v>
      </c>
      <c r="BG36" s="554"/>
      <c r="BH36" s="1147"/>
      <c r="BI36" s="1094"/>
      <c r="BJ36" s="9">
        <v>30797</v>
      </c>
      <c r="BK36" s="6" t="s">
        <v>1423</v>
      </c>
      <c r="BL36" s="281"/>
      <c r="BM36" s="1147"/>
      <c r="BN36" s="1094"/>
      <c r="BO36" s="9" t="s">
        <v>1281</v>
      </c>
      <c r="BP36" s="2" t="s">
        <v>762</v>
      </c>
      <c r="BQ36" s="8"/>
      <c r="BR36" s="1150"/>
      <c r="BS36" s="1094"/>
      <c r="BT36" s="1" t="s">
        <v>1390</v>
      </c>
      <c r="BU36" s="2" t="s">
        <v>1378</v>
      </c>
      <c r="BV36" s="433"/>
      <c r="BW36" s="1150"/>
      <c r="BX36" s="1094"/>
      <c r="BZ36" s="12"/>
      <c r="CA36" s="2"/>
      <c r="CC36" s="1746"/>
    </row>
    <row r="37" spans="1:81">
      <c r="A37" s="1718"/>
      <c r="B37" s="1">
        <v>28</v>
      </c>
      <c r="C37" s="2" t="s">
        <v>709</v>
      </c>
      <c r="D37" s="459"/>
      <c r="E37" s="1147"/>
      <c r="F37" s="1718"/>
      <c r="G37" s="1">
        <v>356</v>
      </c>
      <c r="H37" s="2" t="s">
        <v>501</v>
      </c>
      <c r="I37" s="399"/>
      <c r="J37" s="1147"/>
      <c r="K37" s="1718"/>
      <c r="L37" s="1">
        <v>612</v>
      </c>
      <c r="M37" s="2" t="s">
        <v>600</v>
      </c>
      <c r="N37" s="345"/>
      <c r="O37" s="1147"/>
      <c r="P37" s="1718"/>
      <c r="Q37" s="1">
        <v>799</v>
      </c>
      <c r="R37" s="2" t="s">
        <v>502</v>
      </c>
      <c r="S37" s="283"/>
      <c r="T37" s="1147"/>
      <c r="U37" s="1718"/>
      <c r="V37" s="1">
        <v>931</v>
      </c>
      <c r="W37" s="2" t="s">
        <v>503</v>
      </c>
      <c r="X37" s="222"/>
      <c r="Y37" s="1147"/>
      <c r="Z37" s="1718"/>
      <c r="AA37" s="1">
        <v>3340</v>
      </c>
      <c r="AB37" s="2" t="s">
        <v>504</v>
      </c>
      <c r="AC37" s="160"/>
      <c r="AD37" s="1147"/>
      <c r="AE37" s="1718"/>
      <c r="AF37" s="1">
        <v>3809</v>
      </c>
      <c r="AG37" s="2" t="s">
        <v>431</v>
      </c>
      <c r="AH37" s="98"/>
      <c r="AI37" s="1147"/>
      <c r="AJ37" s="1718"/>
      <c r="AK37" s="9" t="s">
        <v>314</v>
      </c>
      <c r="AL37" s="2" t="s">
        <v>601</v>
      </c>
      <c r="AM37" s="418"/>
      <c r="AN37" s="1149"/>
      <c r="AO37" s="1094"/>
      <c r="AP37" s="9" t="s">
        <v>87</v>
      </c>
      <c r="AQ37" s="6" t="s">
        <v>213</v>
      </c>
      <c r="AR37" s="530"/>
      <c r="AS37" s="1149"/>
      <c r="AT37" s="1094"/>
      <c r="AU37" s="1094"/>
      <c r="AV37" s="1094"/>
      <c r="AW37" s="1094"/>
      <c r="AX37" s="1073"/>
      <c r="AY37" s="1094"/>
      <c r="AZ37" s="9" t="s">
        <v>249</v>
      </c>
      <c r="BA37" s="2" t="s">
        <v>283</v>
      </c>
      <c r="BB37" s="54"/>
      <c r="BC37" s="1149"/>
      <c r="BD37" s="1094"/>
      <c r="BE37" s="9" t="s">
        <v>883</v>
      </c>
      <c r="BF37" s="6" t="s">
        <v>909</v>
      </c>
      <c r="BG37" s="553"/>
      <c r="BH37" s="1147"/>
      <c r="BI37" s="1094"/>
      <c r="BJ37" s="9">
        <v>30798</v>
      </c>
      <c r="BK37" s="6" t="s">
        <v>1424</v>
      </c>
      <c r="BL37" s="282"/>
      <c r="BM37" s="1147"/>
      <c r="BN37" s="1094"/>
      <c r="BO37" s="9" t="s">
        <v>1282</v>
      </c>
      <c r="BP37" s="2" t="s">
        <v>747</v>
      </c>
      <c r="BR37" s="1150"/>
      <c r="BS37" s="1094"/>
      <c r="BT37" s="1" t="s">
        <v>1525</v>
      </c>
      <c r="BU37" s="2" t="s">
        <v>1379</v>
      </c>
      <c r="BV37" s="51"/>
      <c r="BW37" s="1158"/>
      <c r="BX37" s="1094"/>
      <c r="BZ37" s="12"/>
      <c r="CA37" s="2"/>
      <c r="CB37" s="8"/>
      <c r="CC37" s="1746"/>
    </row>
    <row r="38" spans="1:81">
      <c r="A38" s="1718"/>
      <c r="B38" s="1">
        <v>29</v>
      </c>
      <c r="C38" s="15" t="s">
        <v>128</v>
      </c>
      <c r="D38" s="460"/>
      <c r="E38" s="1147"/>
      <c r="F38" s="1718"/>
      <c r="G38" s="1">
        <v>367</v>
      </c>
      <c r="H38" s="2" t="s">
        <v>354</v>
      </c>
      <c r="I38" s="400"/>
      <c r="J38" s="1147"/>
      <c r="K38" s="1718"/>
      <c r="L38" s="1">
        <v>613</v>
      </c>
      <c r="M38" s="2" t="s">
        <v>603</v>
      </c>
      <c r="N38" s="346"/>
      <c r="O38" s="1147"/>
      <c r="P38" s="1718"/>
      <c r="Q38" s="1">
        <v>800</v>
      </c>
      <c r="R38" s="2" t="s">
        <v>699</v>
      </c>
      <c r="S38" s="284"/>
      <c r="T38" s="1147"/>
      <c r="U38" s="1718"/>
      <c r="V38" s="1">
        <v>932</v>
      </c>
      <c r="W38" s="2" t="s">
        <v>604</v>
      </c>
      <c r="X38" s="223"/>
      <c r="Y38" s="1147"/>
      <c r="Z38" s="1718"/>
      <c r="AA38" s="1">
        <v>3341</v>
      </c>
      <c r="AB38" s="2" t="s">
        <v>37</v>
      </c>
      <c r="AC38" s="161"/>
      <c r="AD38" s="1147"/>
      <c r="AE38" s="1718"/>
      <c r="AF38" s="1">
        <v>3810</v>
      </c>
      <c r="AG38" s="2" t="s">
        <v>355</v>
      </c>
      <c r="AH38" s="99"/>
      <c r="AI38" s="1147"/>
      <c r="AJ38" s="1718"/>
      <c r="AK38" s="9" t="s">
        <v>308</v>
      </c>
      <c r="AL38" s="2" t="s">
        <v>550</v>
      </c>
      <c r="AM38" s="74"/>
      <c r="AN38" s="1149"/>
      <c r="AO38" s="1094"/>
      <c r="AP38" s="9" t="s">
        <v>88</v>
      </c>
      <c r="AQ38" s="6" t="s">
        <v>214</v>
      </c>
      <c r="AR38" s="531"/>
      <c r="AS38" s="1149"/>
      <c r="AT38" s="1094"/>
      <c r="AU38" s="1094"/>
      <c r="AV38" s="1094"/>
      <c r="AW38" s="1094"/>
      <c r="AX38" s="1073"/>
      <c r="AY38" s="1094"/>
      <c r="AZ38" s="9" t="s">
        <v>250</v>
      </c>
      <c r="BA38" s="2" t="s">
        <v>346</v>
      </c>
      <c r="BB38" s="417"/>
      <c r="BC38" s="1149"/>
      <c r="BD38" s="1094"/>
      <c r="BE38" s="9" t="s">
        <v>820</v>
      </c>
      <c r="BF38" s="6" t="s">
        <v>848</v>
      </c>
      <c r="BG38" s="256"/>
      <c r="BH38" s="1147"/>
      <c r="BI38" s="1094"/>
      <c r="BJ38" s="9">
        <v>30799</v>
      </c>
      <c r="BK38" s="6" t="s">
        <v>1425</v>
      </c>
      <c r="BL38" s="283"/>
      <c r="BM38" s="1147"/>
      <c r="BN38" s="1094"/>
      <c r="BO38" s="9" t="s">
        <v>1283</v>
      </c>
      <c r="BP38" s="2" t="s">
        <v>763</v>
      </c>
      <c r="BQ38" s="8"/>
      <c r="BR38" s="1150"/>
      <c r="BS38" s="1094"/>
      <c r="BT38" s="1" t="s">
        <v>1391</v>
      </c>
      <c r="BU38" s="2" t="s">
        <v>1380</v>
      </c>
      <c r="BV38" s="390"/>
      <c r="BW38" s="1158"/>
      <c r="BX38" s="1094"/>
      <c r="BZ38" s="12"/>
      <c r="CA38" s="2"/>
      <c r="CC38" s="1746"/>
    </row>
    <row r="39" spans="1:81">
      <c r="A39" s="1718"/>
      <c r="B39" s="1">
        <v>30</v>
      </c>
      <c r="C39" s="2" t="s">
        <v>708</v>
      </c>
      <c r="D39" s="461"/>
      <c r="E39" s="1147"/>
      <c r="F39" s="1718"/>
      <c r="G39" s="1">
        <v>368</v>
      </c>
      <c r="H39" s="2" t="s">
        <v>605</v>
      </c>
      <c r="I39" s="401"/>
      <c r="J39" s="1147"/>
      <c r="K39" s="1718"/>
      <c r="L39" s="1">
        <v>632</v>
      </c>
      <c r="M39" s="2" t="s">
        <v>674</v>
      </c>
      <c r="N39" s="347"/>
      <c r="O39" s="1147"/>
      <c r="P39" s="1718"/>
      <c r="Q39" s="1">
        <v>801</v>
      </c>
      <c r="R39" s="2" t="s">
        <v>356</v>
      </c>
      <c r="S39" s="285"/>
      <c r="T39" s="1147"/>
      <c r="U39" s="1718"/>
      <c r="V39" s="1">
        <v>934</v>
      </c>
      <c r="W39" s="2" t="s">
        <v>67</v>
      </c>
      <c r="X39" s="224"/>
      <c r="Y39" s="1147"/>
      <c r="Z39" s="1718"/>
      <c r="AA39" s="1">
        <v>3345</v>
      </c>
      <c r="AB39" s="2" t="s">
        <v>357</v>
      </c>
      <c r="AC39" s="162"/>
      <c r="AD39" s="1147"/>
      <c r="AE39" s="1718"/>
      <c r="AF39" s="1">
        <v>3811</v>
      </c>
      <c r="AG39" s="2" t="s">
        <v>606</v>
      </c>
      <c r="AH39" s="100"/>
      <c r="AI39" s="1147"/>
      <c r="AJ39" s="1718"/>
      <c r="AK39" s="9" t="s">
        <v>309</v>
      </c>
      <c r="AL39" s="2" t="s">
        <v>321</v>
      </c>
      <c r="AM39" s="134"/>
      <c r="AN39" s="1147"/>
      <c r="AO39" s="1094"/>
      <c r="AP39" s="9" t="s">
        <v>90</v>
      </c>
      <c r="AQ39" s="6" t="s">
        <v>215</v>
      </c>
      <c r="AR39" s="532"/>
      <c r="AS39" s="1149"/>
      <c r="AT39" s="1094"/>
      <c r="AU39" s="1094"/>
      <c r="AV39" s="1094"/>
      <c r="AW39" s="1094"/>
      <c r="AX39" s="1073"/>
      <c r="AY39" s="1094"/>
      <c r="AZ39" s="9" t="s">
        <v>251</v>
      </c>
      <c r="BA39" s="2" t="s">
        <v>597</v>
      </c>
      <c r="BB39" s="424"/>
      <c r="BC39" s="1149"/>
      <c r="BD39" s="1094"/>
      <c r="BE39" s="9" t="s">
        <v>884</v>
      </c>
      <c r="BF39" s="2" t="s">
        <v>907</v>
      </c>
      <c r="BG39" s="259"/>
      <c r="BH39" s="1147"/>
      <c r="BI39" s="1094"/>
      <c r="BJ39" s="9">
        <v>30813</v>
      </c>
      <c r="BK39" s="6" t="s">
        <v>1426</v>
      </c>
      <c r="BL39" s="290"/>
      <c r="BM39" s="1147"/>
      <c r="BN39" s="1094"/>
      <c r="BO39" s="9" t="s">
        <v>1284</v>
      </c>
      <c r="BP39" s="2" t="s">
        <v>748</v>
      </c>
      <c r="BR39" s="1150"/>
      <c r="BS39" s="1094"/>
      <c r="BT39" s="1" t="s">
        <v>1526</v>
      </c>
      <c r="BU39" s="2" t="s">
        <v>1381</v>
      </c>
      <c r="BV39" s="338"/>
      <c r="BW39" s="1158"/>
      <c r="BX39" s="1094"/>
      <c r="BZ39" s="12"/>
      <c r="CA39" s="2"/>
      <c r="CB39" s="8"/>
      <c r="CC39" s="1746"/>
    </row>
    <row r="40" spans="1:81">
      <c r="A40" s="1718"/>
      <c r="B40" s="1">
        <v>31</v>
      </c>
      <c r="C40" s="15" t="s">
        <v>129</v>
      </c>
      <c r="D40" s="462"/>
      <c r="E40" s="1147"/>
      <c r="F40" s="1718"/>
      <c r="G40" s="1">
        <v>369</v>
      </c>
      <c r="H40" s="2" t="s">
        <v>607</v>
      </c>
      <c r="I40" s="402"/>
      <c r="J40" s="1147"/>
      <c r="K40" s="1718"/>
      <c r="L40" s="1">
        <v>640</v>
      </c>
      <c r="M40" s="2" t="s">
        <v>433</v>
      </c>
      <c r="N40" s="348"/>
      <c r="O40" s="1147"/>
      <c r="P40" s="1718"/>
      <c r="Q40" s="1">
        <v>803</v>
      </c>
      <c r="R40" s="2" t="s">
        <v>688</v>
      </c>
      <c r="S40" s="286"/>
      <c r="T40" s="1147"/>
      <c r="U40" s="1718"/>
      <c r="V40" s="1">
        <v>935</v>
      </c>
      <c r="W40" s="2" t="s">
        <v>358</v>
      </c>
      <c r="X40" s="225"/>
      <c r="Y40" s="1147"/>
      <c r="Z40" s="1718"/>
      <c r="AA40" s="1">
        <v>3346</v>
      </c>
      <c r="AB40" s="2" t="s">
        <v>38</v>
      </c>
      <c r="AC40" s="163"/>
      <c r="AD40" s="1147"/>
      <c r="AE40" s="1718"/>
      <c r="AF40" s="1">
        <v>3812</v>
      </c>
      <c r="AG40" s="2" t="s">
        <v>434</v>
      </c>
      <c r="AH40" s="101"/>
      <c r="AI40" s="1147"/>
      <c r="AJ40" s="1718"/>
      <c r="AK40" s="9" t="s">
        <v>310</v>
      </c>
      <c r="AL40" s="2" t="s">
        <v>21</v>
      </c>
      <c r="AM40" s="255"/>
      <c r="AN40" s="1149"/>
      <c r="AO40" s="1094"/>
      <c r="AP40" s="9" t="s">
        <v>100</v>
      </c>
      <c r="AQ40" s="6" t="s">
        <v>216</v>
      </c>
      <c r="AR40" s="535"/>
      <c r="AS40" s="1149"/>
      <c r="AT40" s="1094"/>
      <c r="AU40" s="1094"/>
      <c r="AV40" s="1094"/>
      <c r="AW40" s="1094"/>
      <c r="AX40" s="1073"/>
      <c r="AY40" s="1094"/>
      <c r="AZ40" s="9" t="s">
        <v>252</v>
      </c>
      <c r="BA40" s="2" t="s">
        <v>284</v>
      </c>
      <c r="BB40" s="316"/>
      <c r="BC40" s="1150"/>
      <c r="BD40" s="1094"/>
      <c r="BE40" s="9" t="s">
        <v>885</v>
      </c>
      <c r="BF40" s="2" t="s">
        <v>908</v>
      </c>
      <c r="BG40" s="260"/>
      <c r="BH40" s="1147"/>
      <c r="BI40" s="1094"/>
      <c r="BJ40" s="9">
        <v>30814</v>
      </c>
      <c r="BK40" s="6" t="s">
        <v>1427</v>
      </c>
      <c r="BL40" s="291"/>
      <c r="BM40" s="1147"/>
      <c r="BN40" s="1094"/>
      <c r="BO40" s="9" t="s">
        <v>1285</v>
      </c>
      <c r="BP40" s="2" t="s">
        <v>764</v>
      </c>
      <c r="BQ40" s="8"/>
      <c r="BR40" s="1150"/>
      <c r="BS40" s="1094"/>
      <c r="BT40" s="1" t="s">
        <v>1527</v>
      </c>
      <c r="BU40" s="2" t="s">
        <v>1382</v>
      </c>
      <c r="BV40" s="57"/>
      <c r="BW40" s="1158"/>
      <c r="BX40" s="1094"/>
      <c r="BZ40" s="12"/>
      <c r="CA40" s="2"/>
      <c r="CB40" s="8"/>
      <c r="CC40" s="1746"/>
    </row>
    <row r="41" spans="1:81">
      <c r="A41" s="1718"/>
      <c r="B41" s="1">
        <v>32</v>
      </c>
      <c r="C41" s="2" t="s">
        <v>707</v>
      </c>
      <c r="D41" s="463"/>
      <c r="E41" s="1147"/>
      <c r="F41" s="1718"/>
      <c r="G41" s="1">
        <v>370</v>
      </c>
      <c r="H41" s="2" t="s">
        <v>505</v>
      </c>
      <c r="I41" s="403"/>
      <c r="J41" s="1147"/>
      <c r="K41" s="1718"/>
      <c r="L41" s="1">
        <v>642</v>
      </c>
      <c r="M41" s="2" t="s">
        <v>359</v>
      </c>
      <c r="N41" s="349"/>
      <c r="O41" s="1147"/>
      <c r="P41" s="1718"/>
      <c r="Q41" s="1" t="s">
        <v>296</v>
      </c>
      <c r="R41" s="2" t="s">
        <v>360</v>
      </c>
      <c r="S41" s="287"/>
      <c r="T41" s="1147"/>
      <c r="U41" s="1718"/>
      <c r="V41" s="1">
        <v>936</v>
      </c>
      <c r="W41" s="2" t="s">
        <v>435</v>
      </c>
      <c r="X41" s="226"/>
      <c r="Y41" s="1147"/>
      <c r="Z41" s="1718"/>
      <c r="AA41" s="1">
        <v>3347</v>
      </c>
      <c r="AB41" s="2" t="s">
        <v>506</v>
      </c>
      <c r="AC41" s="164"/>
      <c r="AD41" s="1147"/>
      <c r="AE41" s="1718"/>
      <c r="AF41" s="1">
        <v>3813</v>
      </c>
      <c r="AG41" s="2" t="s">
        <v>608</v>
      </c>
      <c r="AH41" s="102"/>
      <c r="AI41" s="1147"/>
      <c r="AJ41" s="1718"/>
      <c r="AK41" s="9" t="s">
        <v>311</v>
      </c>
      <c r="AL41" s="2" t="s">
        <v>667</v>
      </c>
      <c r="AM41" s="322"/>
      <c r="AN41" s="1149"/>
      <c r="AO41" s="1094"/>
      <c r="AP41" s="9" t="s">
        <v>114</v>
      </c>
      <c r="AQ41" s="6" t="s">
        <v>939</v>
      </c>
      <c r="AR41" s="556"/>
      <c r="AS41" s="1149"/>
      <c r="AT41" s="1094"/>
      <c r="AU41" s="1094"/>
      <c r="AV41" s="1094"/>
      <c r="AW41" s="1094"/>
      <c r="AX41" s="1073"/>
      <c r="AY41" s="1094"/>
      <c r="AZ41" s="9" t="s">
        <v>253</v>
      </c>
      <c r="BA41" s="2" t="s">
        <v>430</v>
      </c>
      <c r="BB41" s="323"/>
      <c r="BC41" s="1150"/>
      <c r="BD41" s="1094"/>
      <c r="BE41" s="9" t="s">
        <v>866</v>
      </c>
      <c r="BF41" s="6" t="s">
        <v>840</v>
      </c>
      <c r="BG41" s="265"/>
      <c r="BH41" s="1147"/>
      <c r="BI41" s="1094"/>
      <c r="BJ41" s="9">
        <v>30818</v>
      </c>
      <c r="BK41" s="6" t="s">
        <v>1428</v>
      </c>
      <c r="BL41" s="62"/>
      <c r="BM41" s="1147"/>
      <c r="BN41" s="1094"/>
      <c r="BO41" s="9" t="s">
        <v>1286</v>
      </c>
      <c r="BP41" s="2" t="s">
        <v>765</v>
      </c>
      <c r="BQ41" s="8"/>
      <c r="BR41" s="1150"/>
      <c r="BS41" s="1094"/>
      <c r="BT41" s="1" t="s">
        <v>1528</v>
      </c>
      <c r="BU41" s="2" t="s">
        <v>1383</v>
      </c>
      <c r="BV41" s="367"/>
      <c r="BW41" s="1158"/>
      <c r="BX41" s="1094"/>
      <c r="BZ41" s="12"/>
      <c r="CA41" s="2"/>
      <c r="CB41" s="8"/>
      <c r="CC41" s="1746"/>
    </row>
    <row r="42" spans="1:81">
      <c r="A42" s="1718"/>
      <c r="B42" s="1">
        <v>33</v>
      </c>
      <c r="C42" s="15" t="s">
        <v>130</v>
      </c>
      <c r="D42" s="464"/>
      <c r="E42" s="1147"/>
      <c r="F42" s="1718"/>
      <c r="G42" s="1">
        <v>371</v>
      </c>
      <c r="H42" s="2" t="s">
        <v>6</v>
      </c>
      <c r="I42" s="404"/>
      <c r="J42" s="1147"/>
      <c r="K42" s="1718"/>
      <c r="L42" s="1">
        <v>644</v>
      </c>
      <c r="M42" s="2" t="s">
        <v>507</v>
      </c>
      <c r="N42" s="350"/>
      <c r="O42" s="1147"/>
      <c r="P42" s="1718"/>
      <c r="Q42" s="1">
        <v>807</v>
      </c>
      <c r="R42" s="2" t="s">
        <v>25</v>
      </c>
      <c r="S42" s="288"/>
      <c r="T42" s="1147"/>
      <c r="U42" s="1718"/>
      <c r="V42" s="1">
        <v>937</v>
      </c>
      <c r="W42" s="2" t="s">
        <v>508</v>
      </c>
      <c r="X42" s="227"/>
      <c r="Y42" s="1147"/>
      <c r="Z42" s="1718"/>
      <c r="AA42" s="1">
        <v>3348</v>
      </c>
      <c r="AB42" s="2" t="s">
        <v>609</v>
      </c>
      <c r="AC42" s="165"/>
      <c r="AD42" s="1147"/>
      <c r="AE42" s="1718"/>
      <c r="AF42" s="1">
        <v>3814</v>
      </c>
      <c r="AG42" s="2" t="s">
        <v>36</v>
      </c>
      <c r="AH42" s="103"/>
      <c r="AI42" s="1147"/>
      <c r="AJ42" s="1718"/>
      <c r="AK42" s="9" t="s">
        <v>312</v>
      </c>
      <c r="AL42" s="2" t="s">
        <v>562</v>
      </c>
      <c r="AM42" s="204"/>
      <c r="AN42" s="1149"/>
      <c r="AO42" s="1094"/>
      <c r="AP42" s="9" t="s">
        <v>115</v>
      </c>
      <c r="AQ42" s="6" t="s">
        <v>940</v>
      </c>
      <c r="AR42" s="528"/>
      <c r="AS42" s="1149"/>
      <c r="AT42" s="1094"/>
      <c r="AU42" s="1094"/>
      <c r="AV42" s="1094"/>
      <c r="AW42" s="1094"/>
      <c r="AX42" s="1073"/>
      <c r="AY42" s="1094"/>
      <c r="AZ42" s="9" t="s">
        <v>254</v>
      </c>
      <c r="BA42" s="2" t="s">
        <v>602</v>
      </c>
      <c r="BB42" s="326"/>
      <c r="BC42" s="1150"/>
      <c r="BD42" s="1094"/>
      <c r="BE42" s="9" t="s">
        <v>886</v>
      </c>
      <c r="BF42" s="2" t="s">
        <v>906</v>
      </c>
      <c r="BG42" s="268"/>
      <c r="BH42" s="1147"/>
      <c r="BI42" s="1094"/>
      <c r="BJ42" s="9">
        <v>30820</v>
      </c>
      <c r="BK42" s="6" t="s">
        <v>1429</v>
      </c>
      <c r="BL42" s="295"/>
      <c r="BM42" s="1147"/>
      <c r="BN42" s="1094"/>
      <c r="BO42" s="9" t="s">
        <v>1287</v>
      </c>
      <c r="BP42" s="2" t="s">
        <v>766</v>
      </c>
      <c r="BQ42" s="8"/>
      <c r="BR42" s="1150"/>
      <c r="BS42" s="1094"/>
      <c r="BT42" s="1" t="s">
        <v>1529</v>
      </c>
      <c r="BU42" s="2" t="s">
        <v>1384</v>
      </c>
      <c r="BV42" s="513"/>
      <c r="BW42" s="1158"/>
      <c r="BX42" s="1094"/>
      <c r="BZ42" s="12"/>
      <c r="CA42" s="2"/>
      <c r="CC42" s="1746"/>
    </row>
    <row r="43" spans="1:81">
      <c r="A43" s="1718"/>
      <c r="B43" s="1">
        <v>34</v>
      </c>
      <c r="C43" s="2" t="s">
        <v>706</v>
      </c>
      <c r="D43" s="465"/>
      <c r="E43" s="1147"/>
      <c r="F43" s="1718"/>
      <c r="G43" s="1">
        <v>372</v>
      </c>
      <c r="H43" s="2" t="s">
        <v>611</v>
      </c>
      <c r="I43" s="405"/>
      <c r="J43" s="1147"/>
      <c r="K43" s="1718"/>
      <c r="L43" s="1">
        <v>645</v>
      </c>
      <c r="M43" s="2" t="s">
        <v>436</v>
      </c>
      <c r="N43" s="351"/>
      <c r="O43" s="1147"/>
      <c r="P43" s="1718"/>
      <c r="Q43" s="1">
        <v>809</v>
      </c>
      <c r="R43" s="2" t="s">
        <v>64</v>
      </c>
      <c r="S43" s="289"/>
      <c r="T43" s="1147"/>
      <c r="U43" s="1718"/>
      <c r="V43" s="1">
        <v>938</v>
      </c>
      <c r="W43" s="2" t="s">
        <v>675</v>
      </c>
      <c r="X43" s="228"/>
      <c r="Y43" s="1147"/>
      <c r="Z43" s="1718"/>
      <c r="AA43" s="1">
        <v>3350</v>
      </c>
      <c r="AB43" s="2" t="s">
        <v>676</v>
      </c>
      <c r="AC43" s="166"/>
      <c r="AD43" s="1147"/>
      <c r="AE43" s="1718"/>
      <c r="AF43" s="1">
        <v>3815</v>
      </c>
      <c r="AG43" s="2" t="s">
        <v>361</v>
      </c>
      <c r="AH43" s="104"/>
      <c r="AI43" s="1147"/>
      <c r="AJ43" s="1718"/>
      <c r="AK43" s="9" t="s">
        <v>313</v>
      </c>
      <c r="AL43" s="2" t="s">
        <v>362</v>
      </c>
      <c r="AM43" s="352"/>
      <c r="AN43" s="1149"/>
      <c r="AO43" s="1094"/>
      <c r="AP43" s="9" t="s">
        <v>948</v>
      </c>
      <c r="AQ43" s="6" t="s">
        <v>951</v>
      </c>
      <c r="AR43" s="529"/>
      <c r="AS43" s="1149"/>
      <c r="AT43" s="1094"/>
      <c r="AU43" s="1094"/>
      <c r="AV43" s="1094"/>
      <c r="AW43" s="1094"/>
      <c r="AX43" s="1073"/>
      <c r="AY43" s="1094"/>
      <c r="AZ43" s="9" t="s">
        <v>255</v>
      </c>
      <c r="BA43" s="2" t="s">
        <v>432</v>
      </c>
      <c r="BB43" s="335"/>
      <c r="BC43" s="1150"/>
      <c r="BD43" s="1094"/>
      <c r="BE43" s="9" t="s">
        <v>887</v>
      </c>
      <c r="BF43" s="6" t="s">
        <v>853</v>
      </c>
      <c r="BG43" s="281"/>
      <c r="BH43" s="1147"/>
      <c r="BI43" s="1094"/>
      <c r="BJ43" s="9">
        <v>30824</v>
      </c>
      <c r="BK43" s="6" t="s">
        <v>1430</v>
      </c>
      <c r="BL43" s="298"/>
      <c r="BM43" s="1147"/>
      <c r="BN43" s="1094"/>
      <c r="BO43" s="9" t="s">
        <v>1288</v>
      </c>
      <c r="BP43" s="2" t="s">
        <v>749</v>
      </c>
      <c r="BR43" s="1150"/>
      <c r="BS43" s="1094"/>
      <c r="BT43" s="1" t="s">
        <v>1530</v>
      </c>
      <c r="BU43" s="2" t="s">
        <v>1385</v>
      </c>
      <c r="BV43" s="256"/>
      <c r="BW43" s="1158"/>
      <c r="BX43" s="1094"/>
      <c r="BZ43" s="12"/>
      <c r="CA43" s="2"/>
      <c r="CB43" s="8"/>
      <c r="CC43" s="1746"/>
    </row>
    <row r="44" spans="1:81">
      <c r="A44" s="1718"/>
      <c r="B44" s="1">
        <v>35</v>
      </c>
      <c r="C44" s="2" t="s">
        <v>705</v>
      </c>
      <c r="D44" s="466"/>
      <c r="E44" s="1147"/>
      <c r="F44" s="1718"/>
      <c r="G44" s="1">
        <v>400</v>
      </c>
      <c r="H44" s="2" t="s">
        <v>363</v>
      </c>
      <c r="I44" s="406"/>
      <c r="J44" s="1147"/>
      <c r="K44" s="1718"/>
      <c r="L44" s="1">
        <v>646</v>
      </c>
      <c r="M44" s="2" t="s">
        <v>362</v>
      </c>
      <c r="N44" s="352"/>
      <c r="O44" s="1147"/>
      <c r="P44" s="1718"/>
      <c r="Q44" s="1">
        <v>813</v>
      </c>
      <c r="R44" s="2" t="s">
        <v>612</v>
      </c>
      <c r="S44" s="290"/>
      <c r="T44" s="1147"/>
      <c r="U44" s="1718"/>
      <c r="V44" s="1">
        <v>939</v>
      </c>
      <c r="W44" s="2" t="s">
        <v>437</v>
      </c>
      <c r="X44" s="229"/>
      <c r="Y44" s="1147"/>
      <c r="Z44" s="1718"/>
      <c r="AA44" s="1">
        <v>3354</v>
      </c>
      <c r="AB44" s="2" t="s">
        <v>613</v>
      </c>
      <c r="AC44" s="167"/>
      <c r="AD44" s="1147"/>
      <c r="AE44" s="1718"/>
      <c r="AF44" s="1">
        <v>3816</v>
      </c>
      <c r="AG44" s="2" t="s">
        <v>74</v>
      </c>
      <c r="AH44" s="105"/>
      <c r="AI44" s="1147"/>
      <c r="AJ44" s="1718"/>
      <c r="AK44" s="9">
        <v>48</v>
      </c>
      <c r="AL44" s="6" t="s">
        <v>131</v>
      </c>
      <c r="AM44" s="6"/>
      <c r="AN44" s="1149"/>
      <c r="AO44" s="1094"/>
      <c r="AP44" s="9" t="s">
        <v>949</v>
      </c>
      <c r="AQ44" s="6" t="s">
        <v>952</v>
      </c>
      <c r="AR44" s="557"/>
      <c r="AS44" s="1149"/>
      <c r="AT44" s="1094"/>
      <c r="AU44" s="1094"/>
      <c r="AV44" s="1094"/>
      <c r="AW44" s="1094"/>
      <c r="AX44" s="1073"/>
      <c r="AY44" s="1094"/>
      <c r="AZ44" s="9" t="s">
        <v>792</v>
      </c>
      <c r="BA44" s="2" t="s">
        <v>793</v>
      </c>
      <c r="BB44" s="538"/>
      <c r="BC44" s="1150"/>
      <c r="BD44" s="1094"/>
      <c r="BE44" s="9" t="s">
        <v>821</v>
      </c>
      <c r="BF44" s="6" t="s">
        <v>850</v>
      </c>
      <c r="BG44" s="282"/>
      <c r="BH44" s="1147"/>
      <c r="BI44" s="1094"/>
      <c r="BJ44" s="9">
        <v>30839</v>
      </c>
      <c r="BK44" s="6" t="s">
        <v>1431</v>
      </c>
      <c r="BL44" s="309"/>
      <c r="BM44" s="1147"/>
      <c r="BN44" s="1094"/>
      <c r="BO44" s="9" t="s">
        <v>1289</v>
      </c>
      <c r="BP44" s="2" t="s">
        <v>767</v>
      </c>
      <c r="BQ44" s="8"/>
      <c r="BR44" s="1150"/>
      <c r="BS44" s="1094"/>
      <c r="BT44" s="1" t="s">
        <v>1531</v>
      </c>
      <c r="BU44" s="2" t="s">
        <v>1386</v>
      </c>
      <c r="BV44" s="260"/>
      <c r="BW44" s="1158"/>
      <c r="BX44" s="1094"/>
      <c r="BZ44" s="12"/>
      <c r="CA44" s="2"/>
      <c r="CC44" s="1747"/>
    </row>
    <row r="45" spans="1:81">
      <c r="A45" s="1718"/>
      <c r="B45" s="1">
        <v>150</v>
      </c>
      <c r="C45" s="2" t="s">
        <v>456</v>
      </c>
      <c r="D45" s="467"/>
      <c r="E45" s="1147"/>
      <c r="F45" s="1718"/>
      <c r="G45" s="1">
        <v>402</v>
      </c>
      <c r="H45" s="2" t="s">
        <v>614</v>
      </c>
      <c r="I45" s="407"/>
      <c r="J45" s="1147"/>
      <c r="K45" s="1718"/>
      <c r="L45" s="1">
        <v>647</v>
      </c>
      <c r="M45" s="2" t="s">
        <v>509</v>
      </c>
      <c r="N45" s="353"/>
      <c r="O45" s="1147"/>
      <c r="P45" s="1718"/>
      <c r="Q45" s="1">
        <v>814</v>
      </c>
      <c r="R45" s="2" t="s">
        <v>365</v>
      </c>
      <c r="S45" s="291"/>
      <c r="T45" s="1147"/>
      <c r="U45" s="1718"/>
      <c r="V45" s="1">
        <v>943</v>
      </c>
      <c r="W45" s="2" t="s">
        <v>510</v>
      </c>
      <c r="X45" s="230"/>
      <c r="Y45" s="1147"/>
      <c r="Z45" s="1718"/>
      <c r="AA45" s="1">
        <v>3362</v>
      </c>
      <c r="AB45" s="2" t="s">
        <v>366</v>
      </c>
      <c r="AC45" s="168"/>
      <c r="AD45" s="1147"/>
      <c r="AE45" s="1718"/>
      <c r="AF45" s="1">
        <v>3817</v>
      </c>
      <c r="AG45" s="2" t="s">
        <v>615</v>
      </c>
      <c r="AH45" s="106"/>
      <c r="AI45" s="1147"/>
      <c r="AJ45" s="1718"/>
      <c r="AK45" s="9">
        <v>51</v>
      </c>
      <c r="AL45" s="6" t="s">
        <v>132</v>
      </c>
      <c r="AM45" s="6"/>
      <c r="AN45" s="1149"/>
      <c r="AO45" s="1094"/>
      <c r="AP45" s="9" t="s">
        <v>950</v>
      </c>
      <c r="AQ45" s="6" t="s">
        <v>953</v>
      </c>
      <c r="AR45" s="558"/>
      <c r="AS45" s="1149"/>
      <c r="AT45" s="1094"/>
      <c r="AU45" s="1094"/>
      <c r="AV45" s="1094"/>
      <c r="AW45" s="1094"/>
      <c r="AX45" s="1073"/>
      <c r="AY45" s="1094"/>
      <c r="AZ45" s="9" t="s">
        <v>256</v>
      </c>
      <c r="BA45" s="2" t="s">
        <v>455</v>
      </c>
      <c r="BB45" s="355"/>
      <c r="BC45" s="1150"/>
      <c r="BD45" s="1094"/>
      <c r="BE45" s="9" t="s">
        <v>822</v>
      </c>
      <c r="BF45" s="6" t="s">
        <v>849</v>
      </c>
      <c r="BG45" s="283"/>
      <c r="BH45" s="1147"/>
      <c r="BI45" s="1094"/>
      <c r="BJ45" s="9">
        <v>30841</v>
      </c>
      <c r="BK45" s="6" t="s">
        <v>1432</v>
      </c>
      <c r="BL45" s="311"/>
      <c r="BM45" s="1149"/>
      <c r="BN45" s="1094"/>
      <c r="BO45" s="9" t="s">
        <v>1290</v>
      </c>
      <c r="BP45" s="2" t="s">
        <v>1050</v>
      </c>
      <c r="BR45" s="1149"/>
      <c r="BS45" s="1094"/>
      <c r="BT45" s="1" t="s">
        <v>1532</v>
      </c>
      <c r="BU45" s="2" t="s">
        <v>1387</v>
      </c>
      <c r="BV45" s="285"/>
      <c r="BW45" s="1150"/>
      <c r="BX45" s="1094"/>
      <c r="BZ45" s="12"/>
      <c r="CA45" s="2"/>
      <c r="CB45" s="12"/>
      <c r="CC45" s="1747"/>
    </row>
    <row r="46" spans="1:81">
      <c r="A46" s="1718"/>
      <c r="B46" s="1">
        <v>151</v>
      </c>
      <c r="C46" s="2" t="s">
        <v>50</v>
      </c>
      <c r="D46" s="468"/>
      <c r="E46" s="1147"/>
      <c r="F46" s="1718"/>
      <c r="G46" s="1">
        <v>407</v>
      </c>
      <c r="H46" s="2" t="s">
        <v>368</v>
      </c>
      <c r="I46" s="408"/>
      <c r="J46" s="1147"/>
      <c r="K46" s="1718"/>
      <c r="L46" s="1">
        <v>648</v>
      </c>
      <c r="M46" s="2" t="s">
        <v>616</v>
      </c>
      <c r="N46" s="354"/>
      <c r="O46" s="1147"/>
      <c r="P46" s="1718"/>
      <c r="Q46" s="1">
        <v>815</v>
      </c>
      <c r="R46" s="2" t="s">
        <v>511</v>
      </c>
      <c r="S46" s="61"/>
      <c r="T46" s="1147"/>
      <c r="U46" s="1718"/>
      <c r="V46" s="1">
        <v>945</v>
      </c>
      <c r="W46" s="2" t="s">
        <v>68</v>
      </c>
      <c r="X46" s="231"/>
      <c r="Y46" s="1147"/>
      <c r="Z46" s="1718"/>
      <c r="AA46" s="1">
        <v>3363</v>
      </c>
      <c r="AB46" s="2" t="s">
        <v>512</v>
      </c>
      <c r="AC46" s="169"/>
      <c r="AD46" s="1147"/>
      <c r="AE46" s="1718"/>
      <c r="AF46" s="1">
        <v>3818</v>
      </c>
      <c r="AG46" s="2" t="s">
        <v>677</v>
      </c>
      <c r="AH46" s="107"/>
      <c r="AI46" s="1147"/>
      <c r="AJ46" s="1718"/>
      <c r="AK46" s="9">
        <v>52</v>
      </c>
      <c r="AL46" s="6" t="s">
        <v>133</v>
      </c>
      <c r="AM46" s="6"/>
      <c r="AN46" s="1149"/>
      <c r="AO46" s="1094"/>
      <c r="AP46" s="9" t="s">
        <v>941</v>
      </c>
      <c r="AQ46" s="6" t="s">
        <v>954</v>
      </c>
      <c r="AR46" s="562"/>
      <c r="AS46" s="1149"/>
      <c r="AT46" s="1094"/>
      <c r="AU46" s="1094"/>
      <c r="AV46" s="1094"/>
      <c r="AW46" s="1094"/>
      <c r="AX46" s="1073"/>
      <c r="AY46" s="1094"/>
      <c r="AZ46" s="9" t="s">
        <v>257</v>
      </c>
      <c r="BA46" s="2" t="s">
        <v>285</v>
      </c>
      <c r="BB46" s="56"/>
      <c r="BC46" s="1150"/>
      <c r="BD46" s="1094"/>
      <c r="BE46" s="9" t="s">
        <v>823</v>
      </c>
      <c r="BF46" s="6" t="s">
        <v>851</v>
      </c>
      <c r="BG46" s="284"/>
      <c r="BH46" s="1149"/>
      <c r="BI46" s="1094"/>
      <c r="BJ46" s="9">
        <v>30898</v>
      </c>
      <c r="BK46" s="6" t="s">
        <v>1433</v>
      </c>
      <c r="BL46" s="64"/>
      <c r="BM46" s="1149"/>
      <c r="BN46" s="1094"/>
      <c r="BO46" s="9" t="s">
        <v>1291</v>
      </c>
      <c r="BP46" s="2" t="s">
        <v>1051</v>
      </c>
      <c r="BQ46" s="12"/>
      <c r="BR46" s="1149"/>
      <c r="BS46" s="1094"/>
      <c r="BT46" s="1" t="s">
        <v>1533</v>
      </c>
      <c r="BU46" s="2" t="s">
        <v>1388</v>
      </c>
      <c r="BV46" s="253"/>
      <c r="BW46" s="1150"/>
      <c r="BX46" s="1094"/>
      <c r="BZ46" s="12"/>
      <c r="CA46" s="2"/>
      <c r="CB46" s="12"/>
      <c r="CC46" s="1747"/>
    </row>
    <row r="47" spans="1:81" ht="17" thickBot="1">
      <c r="A47" s="1718"/>
      <c r="B47" s="1">
        <v>152</v>
      </c>
      <c r="C47" s="2" t="s">
        <v>369</v>
      </c>
      <c r="D47" s="469"/>
      <c r="E47" s="1147"/>
      <c r="F47" s="1718"/>
      <c r="G47" s="1">
        <v>413</v>
      </c>
      <c r="H47" s="2" t="s">
        <v>370</v>
      </c>
      <c r="I47" s="409"/>
      <c r="J47" s="1147"/>
      <c r="K47" s="1718"/>
      <c r="L47" s="1">
        <v>666</v>
      </c>
      <c r="M47" s="2" t="s">
        <v>456</v>
      </c>
      <c r="N47" s="355"/>
      <c r="O47" s="1147"/>
      <c r="P47" s="1718"/>
      <c r="Q47" s="1">
        <v>816</v>
      </c>
      <c r="R47" s="2" t="s">
        <v>26</v>
      </c>
      <c r="S47" s="292"/>
      <c r="T47" s="1147"/>
      <c r="U47" s="1718"/>
      <c r="V47" s="1">
        <v>946</v>
      </c>
      <c r="W47" s="2" t="s">
        <v>513</v>
      </c>
      <c r="X47" s="232"/>
      <c r="Y47" s="1147"/>
      <c r="Z47" s="1718"/>
      <c r="AA47" s="1">
        <v>3364</v>
      </c>
      <c r="AB47" s="2" t="s">
        <v>39</v>
      </c>
      <c r="AC47" s="170"/>
      <c r="AD47" s="1147"/>
      <c r="AE47" s="1718"/>
      <c r="AF47" s="1">
        <v>3819</v>
      </c>
      <c r="AG47" s="2" t="s">
        <v>617</v>
      </c>
      <c r="AH47" s="108"/>
      <c r="AI47" s="1147"/>
      <c r="AJ47" s="1718"/>
      <c r="AK47" s="9">
        <v>53</v>
      </c>
      <c r="AL47" s="6" t="s">
        <v>134</v>
      </c>
      <c r="AM47" s="6"/>
      <c r="AN47" s="1149"/>
      <c r="AO47" s="1094"/>
      <c r="AP47" s="9" t="s">
        <v>942</v>
      </c>
      <c r="AQ47" s="6" t="s">
        <v>955</v>
      </c>
      <c r="AR47" s="563"/>
      <c r="AS47" s="1149"/>
      <c r="AT47" s="1094"/>
      <c r="AU47" s="1094"/>
      <c r="AV47" s="1094"/>
      <c r="AW47" s="1094"/>
      <c r="AX47" s="1073"/>
      <c r="AY47" s="1094"/>
      <c r="AZ47" s="9" t="s">
        <v>258</v>
      </c>
      <c r="BA47" s="2" t="s">
        <v>286</v>
      </c>
      <c r="BB47" s="366"/>
      <c r="BC47" s="1150"/>
      <c r="BD47" s="1094"/>
      <c r="BE47" s="9" t="s">
        <v>824</v>
      </c>
      <c r="BF47" s="6" t="s">
        <v>852</v>
      </c>
      <c r="BG47" s="62"/>
      <c r="BH47" s="1149"/>
      <c r="BI47" s="1094"/>
      <c r="BJ47" s="9">
        <v>30899</v>
      </c>
      <c r="BK47" s="6" t="s">
        <v>1434</v>
      </c>
      <c r="BL47" s="198"/>
      <c r="BM47" s="1149"/>
      <c r="BN47" s="1094"/>
      <c r="BO47" s="9" t="s">
        <v>1292</v>
      </c>
      <c r="BP47" s="2" t="s">
        <v>1052</v>
      </c>
      <c r="BQ47" s="12"/>
      <c r="BR47" s="1149"/>
      <c r="BS47" s="1094"/>
      <c r="BT47" s="3" t="s">
        <v>1534</v>
      </c>
      <c r="BU47" s="4" t="s">
        <v>1389</v>
      </c>
      <c r="BV47" s="1129"/>
      <c r="BW47" s="1156"/>
      <c r="BX47" s="1094"/>
      <c r="BZ47" s="12"/>
      <c r="CA47" s="2"/>
      <c r="CB47" s="12"/>
      <c r="CC47" s="1747"/>
    </row>
    <row r="48" spans="1:81">
      <c r="A48" s="1718"/>
      <c r="B48" s="1">
        <v>153</v>
      </c>
      <c r="C48" s="2" t="s">
        <v>52</v>
      </c>
      <c r="D48" s="470"/>
      <c r="E48" s="1147"/>
      <c r="F48" s="1718"/>
      <c r="G48" s="1">
        <v>414</v>
      </c>
      <c r="H48" s="2" t="s">
        <v>371</v>
      </c>
      <c r="I48" s="410"/>
      <c r="J48" s="1147"/>
      <c r="K48" s="1718"/>
      <c r="L48" s="1">
        <v>676</v>
      </c>
      <c r="M48" s="2" t="s">
        <v>618</v>
      </c>
      <c r="N48" s="356"/>
      <c r="O48" s="1147"/>
      <c r="P48" s="1718"/>
      <c r="Q48" s="1">
        <v>817</v>
      </c>
      <c r="R48" s="2" t="s">
        <v>439</v>
      </c>
      <c r="S48" s="293"/>
      <c r="T48" s="1147"/>
      <c r="U48" s="1718"/>
      <c r="V48" s="1">
        <v>947</v>
      </c>
      <c r="W48" s="2" t="s">
        <v>31</v>
      </c>
      <c r="X48" s="233"/>
      <c r="Y48" s="1147"/>
      <c r="Z48" s="1718"/>
      <c r="AA48" s="1">
        <v>3371</v>
      </c>
      <c r="AB48" s="2" t="s">
        <v>40</v>
      </c>
      <c r="AC48" s="171"/>
      <c r="AD48" s="1147"/>
      <c r="AE48" s="1718"/>
      <c r="AF48" s="1">
        <v>3820</v>
      </c>
      <c r="AG48" s="2" t="s">
        <v>372</v>
      </c>
      <c r="AH48" s="109"/>
      <c r="AI48" s="1147"/>
      <c r="AJ48" s="1718"/>
      <c r="AK48" s="9">
        <v>67</v>
      </c>
      <c r="AL48" s="6" t="s">
        <v>135</v>
      </c>
      <c r="AM48" s="6"/>
      <c r="AN48" s="1149"/>
      <c r="AO48" s="1094"/>
      <c r="AP48" s="9" t="s">
        <v>943</v>
      </c>
      <c r="AQ48" s="6" t="s">
        <v>956</v>
      </c>
      <c r="AR48" s="561"/>
      <c r="AS48" s="1149"/>
      <c r="AT48" s="1094"/>
      <c r="AU48" s="1094"/>
      <c r="AV48" s="1094"/>
      <c r="AW48" s="1094"/>
      <c r="AX48" s="1073"/>
      <c r="AY48" s="1094"/>
      <c r="AZ48" s="9" t="s">
        <v>259</v>
      </c>
      <c r="BA48" s="2" t="s">
        <v>610</v>
      </c>
      <c r="BB48" s="513"/>
      <c r="BC48" s="1150"/>
      <c r="BD48" s="1094"/>
      <c r="BE48" s="9" t="s">
        <v>825</v>
      </c>
      <c r="BF48" s="6" t="s">
        <v>905</v>
      </c>
      <c r="BG48" s="295"/>
      <c r="BH48" s="1149"/>
      <c r="BI48" s="1094"/>
      <c r="BJ48" s="9">
        <v>30909</v>
      </c>
      <c r="BK48" s="6" t="s">
        <v>1435</v>
      </c>
      <c r="BL48" s="541"/>
      <c r="BM48" s="1147"/>
      <c r="BN48" s="1094"/>
      <c r="BO48" s="9" t="s">
        <v>1293</v>
      </c>
      <c r="BP48" s="2" t="s">
        <v>1053</v>
      </c>
      <c r="BQ48" s="12"/>
      <c r="BR48" s="1149"/>
      <c r="BS48" s="1094"/>
      <c r="BT48" s="1719"/>
      <c r="BU48" s="1718"/>
      <c r="BV48" s="1720"/>
      <c r="BW48" s="1073"/>
      <c r="BX48" s="1094"/>
      <c r="BZ48" s="12"/>
      <c r="CA48" s="2"/>
      <c r="CB48" s="12"/>
      <c r="CC48" s="1747"/>
    </row>
    <row r="49" spans="1:81">
      <c r="A49" s="1718"/>
      <c r="B49" s="1">
        <v>154</v>
      </c>
      <c r="C49" s="2" t="s">
        <v>440</v>
      </c>
      <c r="D49" s="471"/>
      <c r="E49" s="1147"/>
      <c r="F49" s="1718"/>
      <c r="G49" s="1">
        <v>415</v>
      </c>
      <c r="H49" s="2" t="s">
        <v>60</v>
      </c>
      <c r="I49" s="53"/>
      <c r="J49" s="1147"/>
      <c r="K49" s="1718"/>
      <c r="L49" s="1">
        <v>677</v>
      </c>
      <c r="M49" s="2" t="s">
        <v>619</v>
      </c>
      <c r="N49" s="55"/>
      <c r="O49" s="1147"/>
      <c r="P49" s="1718"/>
      <c r="Q49" s="1">
        <v>818</v>
      </c>
      <c r="R49" s="2" t="s">
        <v>27</v>
      </c>
      <c r="S49" s="62"/>
      <c r="T49" s="1147"/>
      <c r="U49" s="1718"/>
      <c r="V49" s="1">
        <v>948</v>
      </c>
      <c r="W49" s="2" t="s">
        <v>620</v>
      </c>
      <c r="X49" s="234"/>
      <c r="Y49" s="1147"/>
      <c r="Z49" s="1718"/>
      <c r="AA49" s="1">
        <v>3607</v>
      </c>
      <c r="AB49" s="2" t="s">
        <v>621</v>
      </c>
      <c r="AC49" s="172"/>
      <c r="AD49" s="1147"/>
      <c r="AE49" s="1718"/>
      <c r="AF49" s="1">
        <v>3821</v>
      </c>
      <c r="AG49" s="2" t="s">
        <v>75</v>
      </c>
      <c r="AH49" s="18"/>
      <c r="AI49" s="1147"/>
      <c r="AJ49" s="1718"/>
      <c r="AK49" s="9">
        <v>69</v>
      </c>
      <c r="AL49" s="6" t="s">
        <v>136</v>
      </c>
      <c r="AM49" s="6"/>
      <c r="AN49" s="1149"/>
      <c r="AO49" s="1094"/>
      <c r="AP49" s="9" t="s">
        <v>944</v>
      </c>
      <c r="AQ49" s="6" t="s">
        <v>957</v>
      </c>
      <c r="AR49" s="560"/>
      <c r="AS49" s="1149"/>
      <c r="AT49" s="1094"/>
      <c r="AU49" s="1094"/>
      <c r="AV49" s="1094"/>
      <c r="AW49" s="1094"/>
      <c r="AX49" s="1073"/>
      <c r="AY49" s="1094"/>
      <c r="AZ49" s="9" t="s">
        <v>260</v>
      </c>
      <c r="BA49" s="2" t="s">
        <v>287</v>
      </c>
      <c r="BB49" s="255"/>
      <c r="BC49" s="1150"/>
      <c r="BD49" s="1094"/>
      <c r="BE49" s="9" t="s">
        <v>826</v>
      </c>
      <c r="BF49" s="6" t="s">
        <v>854</v>
      </c>
      <c r="BG49" s="311"/>
      <c r="BH49" s="1147"/>
      <c r="BI49" s="1094"/>
      <c r="BJ49" s="9">
        <v>30911</v>
      </c>
      <c r="BK49" s="6" t="s">
        <v>1436</v>
      </c>
      <c r="BL49" s="207"/>
      <c r="BM49" s="1147"/>
      <c r="BN49" s="1094"/>
      <c r="BO49" s="9" t="s">
        <v>1294</v>
      </c>
      <c r="BP49" s="2" t="s">
        <v>1054</v>
      </c>
      <c r="BQ49" s="12"/>
      <c r="BR49" s="1149"/>
      <c r="BS49" s="1094"/>
      <c r="BT49" s="1719"/>
      <c r="BU49" s="1718"/>
      <c r="BV49" s="1094"/>
      <c r="BW49" s="1073"/>
      <c r="BX49" s="1094"/>
      <c r="BZ49" s="12"/>
      <c r="CA49" s="2"/>
      <c r="CB49" s="12"/>
      <c r="CC49" s="1747"/>
    </row>
    <row r="50" spans="1:81">
      <c r="A50" s="1718"/>
      <c r="B50" s="1">
        <v>155</v>
      </c>
      <c r="C50" s="2" t="s">
        <v>53</v>
      </c>
      <c r="D50" s="44"/>
      <c r="E50" s="1147"/>
      <c r="F50" s="1718"/>
      <c r="G50" s="1">
        <v>420</v>
      </c>
      <c r="H50" s="2" t="s">
        <v>374</v>
      </c>
      <c r="I50" s="411"/>
      <c r="J50" s="1147"/>
      <c r="K50" s="1718"/>
      <c r="L50" s="1">
        <v>680</v>
      </c>
      <c r="M50" s="2" t="s">
        <v>375</v>
      </c>
      <c r="N50" s="357"/>
      <c r="O50" s="1147"/>
      <c r="P50" s="1718"/>
      <c r="Q50" s="1">
        <v>819</v>
      </c>
      <c r="R50" s="2" t="s">
        <v>622</v>
      </c>
      <c r="S50" s="294"/>
      <c r="T50" s="1147"/>
      <c r="U50" s="1718"/>
      <c r="V50" s="1">
        <v>950</v>
      </c>
      <c r="W50" s="2" t="s">
        <v>623</v>
      </c>
      <c r="X50" s="235"/>
      <c r="Y50" s="1147"/>
      <c r="Z50" s="1718"/>
      <c r="AA50" s="1">
        <v>3608</v>
      </c>
      <c r="AB50" s="2" t="s">
        <v>624</v>
      </c>
      <c r="AC50" s="173"/>
      <c r="AD50" s="1147"/>
      <c r="AE50" s="1718"/>
      <c r="AF50" s="1">
        <v>3822</v>
      </c>
      <c r="AG50" s="2" t="s">
        <v>625</v>
      </c>
      <c r="AH50" s="110"/>
      <c r="AI50" s="1147"/>
      <c r="AJ50" s="1718"/>
      <c r="AK50" s="9">
        <v>90</v>
      </c>
      <c r="AL50" s="6" t="s">
        <v>137</v>
      </c>
      <c r="AM50" s="6"/>
      <c r="AN50" s="1149"/>
      <c r="AO50" s="1094"/>
      <c r="AP50" s="9" t="s">
        <v>945</v>
      </c>
      <c r="AQ50" s="6" t="s">
        <v>958</v>
      </c>
      <c r="AR50" s="564"/>
      <c r="AS50" s="1149"/>
      <c r="AT50" s="1094"/>
      <c r="AU50" s="1094"/>
      <c r="AV50" s="1094"/>
      <c r="AW50" s="1094"/>
      <c r="AX50" s="1073"/>
      <c r="AY50" s="1094"/>
      <c r="AZ50" s="9" t="s">
        <v>261</v>
      </c>
      <c r="BA50" s="2" t="s">
        <v>364</v>
      </c>
      <c r="BB50" s="282"/>
      <c r="BC50" s="1150"/>
      <c r="BD50" s="1094"/>
      <c r="BE50" s="9" t="s">
        <v>827</v>
      </c>
      <c r="BF50" s="6" t="s">
        <v>855</v>
      </c>
      <c r="BG50" s="64"/>
      <c r="BH50" s="1147"/>
      <c r="BI50" s="1094"/>
      <c r="BJ50" s="9">
        <v>30913</v>
      </c>
      <c r="BK50" s="6" t="s">
        <v>1437</v>
      </c>
      <c r="BL50" s="209"/>
      <c r="BM50" s="1149"/>
      <c r="BN50" s="1094"/>
      <c r="BO50" s="9" t="s">
        <v>1295</v>
      </c>
      <c r="BP50" s="2" t="s">
        <v>1055</v>
      </c>
      <c r="BQ50" s="12"/>
      <c r="BR50" s="1149"/>
      <c r="BS50" s="1094"/>
      <c r="BT50" s="1719"/>
      <c r="BU50" s="1718"/>
      <c r="BV50" s="1094"/>
      <c r="BW50" s="1073"/>
      <c r="BX50" s="1094"/>
      <c r="BZ50" s="12"/>
      <c r="CA50" s="2"/>
      <c r="CB50" s="12"/>
      <c r="CC50" s="1747"/>
    </row>
    <row r="51" spans="1:81">
      <c r="A51" s="1718"/>
      <c r="B51" s="1">
        <v>156</v>
      </c>
      <c r="C51" s="2" t="s">
        <v>469</v>
      </c>
      <c r="D51" s="472"/>
      <c r="E51" s="1147"/>
      <c r="F51" s="1718"/>
      <c r="G51" s="1">
        <v>422</v>
      </c>
      <c r="H51" s="2" t="s">
        <v>626</v>
      </c>
      <c r="I51" s="412"/>
      <c r="J51" s="1147"/>
      <c r="K51" s="1718"/>
      <c r="L51" s="1">
        <v>699</v>
      </c>
      <c r="M51" s="2" t="s">
        <v>55</v>
      </c>
      <c r="N51" s="56"/>
      <c r="O51" s="1147"/>
      <c r="P51" s="1718"/>
      <c r="Q51" s="1">
        <v>820</v>
      </c>
      <c r="R51" s="2" t="s">
        <v>441</v>
      </c>
      <c r="S51" s="295"/>
      <c r="T51" s="1147"/>
      <c r="U51" s="1718"/>
      <c r="V51" s="1">
        <v>951</v>
      </c>
      <c r="W51" s="2" t="s">
        <v>627</v>
      </c>
      <c r="X51" s="236"/>
      <c r="Y51" s="1147"/>
      <c r="Z51" s="1718"/>
      <c r="AA51" s="1">
        <v>3609</v>
      </c>
      <c r="AB51" s="2" t="s">
        <v>679</v>
      </c>
      <c r="AC51" s="174"/>
      <c r="AD51" s="1147"/>
      <c r="AE51" s="1718"/>
      <c r="AF51" s="1">
        <v>3823</v>
      </c>
      <c r="AG51" s="2" t="s">
        <v>700</v>
      </c>
      <c r="AH51" s="111"/>
      <c r="AI51" s="1147"/>
      <c r="AJ51" s="1718"/>
      <c r="AK51" s="9">
        <v>92</v>
      </c>
      <c r="AL51" s="6" t="s">
        <v>138</v>
      </c>
      <c r="AM51" s="6"/>
      <c r="AN51" s="1149"/>
      <c r="AO51" s="1094"/>
      <c r="AP51" s="9" t="s">
        <v>946</v>
      </c>
      <c r="AQ51" s="6" t="s">
        <v>959</v>
      </c>
      <c r="AR51" s="565"/>
      <c r="AS51" s="1149"/>
      <c r="AT51" s="1094"/>
      <c r="AU51" s="1094"/>
      <c r="AV51" s="1094"/>
      <c r="AW51" s="1094"/>
      <c r="AX51" s="1073"/>
      <c r="AY51" s="1094"/>
      <c r="AZ51" s="9" t="s">
        <v>262</v>
      </c>
      <c r="BA51" s="2" t="s">
        <v>367</v>
      </c>
      <c r="BB51" s="291"/>
      <c r="BC51" s="1150"/>
      <c r="BD51" s="1094"/>
      <c r="BE51" s="9" t="s">
        <v>828</v>
      </c>
      <c r="BF51" s="6" t="s">
        <v>835</v>
      </c>
      <c r="BG51" s="198"/>
      <c r="BH51" s="1149"/>
      <c r="BI51" s="1094"/>
      <c r="BJ51" s="9">
        <v>30915</v>
      </c>
      <c r="BK51" s="6" t="s">
        <v>1438</v>
      </c>
      <c r="BL51" s="552"/>
      <c r="BM51" s="1149"/>
      <c r="BN51" s="1094"/>
      <c r="BO51" s="9" t="s">
        <v>1296</v>
      </c>
      <c r="BP51" s="2" t="s">
        <v>1056</v>
      </c>
      <c r="BQ51" s="12"/>
      <c r="BR51" s="1149"/>
      <c r="BS51" s="1094"/>
      <c r="BT51" s="1721"/>
      <c r="BU51" s="1721"/>
      <c r="BV51" s="1722"/>
      <c r="BW51" s="1721"/>
      <c r="BX51" s="1094"/>
      <c r="BZ51" s="12"/>
      <c r="CA51" s="2"/>
      <c r="CB51" s="12"/>
      <c r="CC51" s="1747"/>
    </row>
    <row r="52" spans="1:81">
      <c r="A52" s="1718"/>
      <c r="B52" s="1">
        <v>157</v>
      </c>
      <c r="C52" s="2" t="s">
        <v>612</v>
      </c>
      <c r="D52" s="473"/>
      <c r="E52" s="1147"/>
      <c r="F52" s="1718"/>
      <c r="G52" s="1">
        <v>433</v>
      </c>
      <c r="H52" s="2" t="s">
        <v>515</v>
      </c>
      <c r="I52" s="413"/>
      <c r="J52" s="1147"/>
      <c r="K52" s="1718"/>
      <c r="L52" s="1">
        <v>700</v>
      </c>
      <c r="M52" s="2" t="s">
        <v>457</v>
      </c>
      <c r="N52" s="358"/>
      <c r="O52" s="1147"/>
      <c r="P52" s="1718"/>
      <c r="Q52" s="1">
        <v>822</v>
      </c>
      <c r="R52" s="2" t="s">
        <v>628</v>
      </c>
      <c r="S52" s="296"/>
      <c r="T52" s="1147"/>
      <c r="U52" s="1718"/>
      <c r="V52" s="1">
        <v>954</v>
      </c>
      <c r="W52" s="2" t="s">
        <v>32</v>
      </c>
      <c r="X52" s="237"/>
      <c r="Y52" s="1147"/>
      <c r="Z52" s="1718"/>
      <c r="AA52" s="1" t="s">
        <v>1475</v>
      </c>
      <c r="AB52" s="2" t="s">
        <v>1476</v>
      </c>
      <c r="AC52" s="1134"/>
      <c r="AD52" s="1147"/>
      <c r="AE52" s="1718"/>
      <c r="AF52" s="1">
        <v>3824</v>
      </c>
      <c r="AG52" s="2" t="s">
        <v>629</v>
      </c>
      <c r="AH52" s="112"/>
      <c r="AI52" s="1147"/>
      <c r="AJ52" s="1718"/>
      <c r="AK52" s="9">
        <v>93</v>
      </c>
      <c r="AL52" s="6" t="s">
        <v>139</v>
      </c>
      <c r="AM52" s="6"/>
      <c r="AN52" s="1149"/>
      <c r="AO52" s="1094"/>
      <c r="AP52" s="9" t="s">
        <v>947</v>
      </c>
      <c r="AQ52" s="6" t="s">
        <v>960</v>
      </c>
      <c r="AR52" s="559"/>
      <c r="AS52" s="1151"/>
      <c r="AT52" s="1094"/>
      <c r="AU52" s="1094"/>
      <c r="AV52" s="1094"/>
      <c r="AW52" s="1094"/>
      <c r="AX52" s="1073"/>
      <c r="AY52" s="1094"/>
      <c r="AZ52" s="9" t="s">
        <v>263</v>
      </c>
      <c r="BA52" s="2" t="s">
        <v>288</v>
      </c>
      <c r="BB52" s="292"/>
      <c r="BC52" s="1150"/>
      <c r="BD52" s="1094"/>
      <c r="BE52" s="9" t="s">
        <v>872</v>
      </c>
      <c r="BF52" s="6" t="s">
        <v>870</v>
      </c>
      <c r="BG52" s="541"/>
      <c r="BH52" s="1149"/>
      <c r="BI52" s="1094"/>
      <c r="BJ52" s="9">
        <v>30931</v>
      </c>
      <c r="BK52" s="6" t="s">
        <v>1439</v>
      </c>
      <c r="BL52" s="222"/>
      <c r="BM52" s="1147"/>
      <c r="BN52" s="1094"/>
      <c r="BO52" s="9" t="s">
        <v>1297</v>
      </c>
      <c r="BP52" s="2" t="s">
        <v>1057</v>
      </c>
      <c r="BQ52" s="12"/>
      <c r="BR52" s="1149"/>
      <c r="BS52" s="1094"/>
      <c r="BT52" s="1721"/>
      <c r="BU52" s="1721"/>
      <c r="BV52" s="1721"/>
      <c r="BW52" s="1721"/>
      <c r="BX52" s="1094"/>
      <c r="BZ52" s="12"/>
      <c r="CA52" s="2"/>
      <c r="CB52" s="12"/>
      <c r="CC52" s="1747"/>
    </row>
    <row r="53" spans="1:81">
      <c r="A53" s="1718"/>
      <c r="B53" s="1">
        <v>158</v>
      </c>
      <c r="C53" s="2" t="s">
        <v>377</v>
      </c>
      <c r="D53" s="474"/>
      <c r="E53" s="1147"/>
      <c r="F53" s="1718"/>
      <c r="G53" s="1">
        <v>434</v>
      </c>
      <c r="H53" s="2" t="s">
        <v>631</v>
      </c>
      <c r="I53" s="414"/>
      <c r="J53" s="1147"/>
      <c r="K53" s="1718"/>
      <c r="L53" s="1">
        <v>701</v>
      </c>
      <c r="M53" s="2" t="s">
        <v>584</v>
      </c>
      <c r="N53" s="359"/>
      <c r="O53" s="1147"/>
      <c r="P53" s="1718"/>
      <c r="Q53" s="1">
        <v>823</v>
      </c>
      <c r="R53" s="2" t="s">
        <v>377</v>
      </c>
      <c r="S53" s="297"/>
      <c r="T53" s="1147"/>
      <c r="U53" s="1718"/>
      <c r="V53" s="1">
        <v>955</v>
      </c>
      <c r="W53" s="2" t="s">
        <v>632</v>
      </c>
      <c r="X53" s="238"/>
      <c r="Y53" s="1147"/>
      <c r="Z53" s="1718"/>
      <c r="AA53" s="1">
        <v>3685</v>
      </c>
      <c r="AB53" s="2" t="s">
        <v>428</v>
      </c>
      <c r="AC53" s="67"/>
      <c r="AD53" s="1147"/>
      <c r="AE53" s="1718"/>
      <c r="AF53" s="1">
        <v>3825</v>
      </c>
      <c r="AG53" s="2" t="s">
        <v>701</v>
      </c>
      <c r="AH53" s="113"/>
      <c r="AI53" s="1147"/>
      <c r="AJ53" s="1718"/>
      <c r="AK53" s="9">
        <v>94</v>
      </c>
      <c r="AL53" s="6" t="s">
        <v>140</v>
      </c>
      <c r="AM53" s="6"/>
      <c r="AN53" s="1149"/>
      <c r="AO53" s="1094"/>
      <c r="AP53" s="9" t="s">
        <v>116</v>
      </c>
      <c r="AQ53" s="6" t="s">
        <v>117</v>
      </c>
      <c r="AR53" s="7"/>
      <c r="AS53" s="1151"/>
      <c r="AT53" s="1094"/>
      <c r="AU53" s="1094"/>
      <c r="AV53" s="1094"/>
      <c r="AW53" s="1094"/>
      <c r="AX53" s="1073"/>
      <c r="AY53" s="1094"/>
      <c r="AZ53" s="9" t="s">
        <v>264</v>
      </c>
      <c r="BA53" s="2" t="s">
        <v>438</v>
      </c>
      <c r="BB53" s="295"/>
      <c r="BC53" s="1150"/>
      <c r="BD53" s="1094"/>
      <c r="BE53" s="9" t="s">
        <v>888</v>
      </c>
      <c r="BF53" s="6" t="s">
        <v>904</v>
      </c>
      <c r="BG53" s="552"/>
      <c r="BH53" s="1147"/>
      <c r="BI53" s="1094"/>
      <c r="BJ53" s="9">
        <v>30932</v>
      </c>
      <c r="BK53" s="6" t="s">
        <v>1440</v>
      </c>
      <c r="BL53" s="551"/>
      <c r="BM53" s="1149"/>
      <c r="BN53" s="1094"/>
      <c r="BO53" s="9" t="s">
        <v>1298</v>
      </c>
      <c r="BP53" s="2" t="s">
        <v>1058</v>
      </c>
      <c r="BQ53" s="12"/>
      <c r="BR53" s="1149"/>
      <c r="BS53" s="1094"/>
      <c r="BT53" s="1721"/>
      <c r="BU53" s="1721"/>
      <c r="BV53" s="1721"/>
      <c r="BW53" s="1721"/>
      <c r="BX53" s="1094"/>
      <c r="BZ53" s="12"/>
      <c r="CA53" s="2"/>
      <c r="CB53" s="12"/>
      <c r="CC53" s="1747"/>
    </row>
    <row r="54" spans="1:81">
      <c r="A54" s="1718"/>
      <c r="B54" s="1">
        <v>159</v>
      </c>
      <c r="C54" s="2" t="s">
        <v>633</v>
      </c>
      <c r="D54" s="475"/>
      <c r="E54" s="1147"/>
      <c r="F54" s="1718"/>
      <c r="G54" s="1">
        <v>435</v>
      </c>
      <c r="H54" s="2" t="s">
        <v>634</v>
      </c>
      <c r="I54" s="415"/>
      <c r="J54" s="1147"/>
      <c r="K54" s="1718"/>
      <c r="L54" s="1">
        <v>702</v>
      </c>
      <c r="M54" s="2" t="s">
        <v>15</v>
      </c>
      <c r="N54" s="360"/>
      <c r="O54" s="1147"/>
      <c r="P54" s="1718"/>
      <c r="Q54" s="1">
        <v>824</v>
      </c>
      <c r="R54" s="2" t="s">
        <v>437</v>
      </c>
      <c r="S54" s="298"/>
      <c r="T54" s="1147"/>
      <c r="U54" s="1718"/>
      <c r="V54" s="1">
        <v>956</v>
      </c>
      <c r="W54" s="2" t="s">
        <v>33</v>
      </c>
      <c r="X54" s="239"/>
      <c r="Y54" s="1147"/>
      <c r="Z54" s="1718"/>
      <c r="AA54" s="1">
        <v>3687</v>
      </c>
      <c r="AB54" s="2" t="s">
        <v>41</v>
      </c>
      <c r="AC54" s="175"/>
      <c r="AD54" s="1147"/>
      <c r="AE54" s="1718"/>
      <c r="AF54" s="1">
        <v>3826</v>
      </c>
      <c r="AG54" s="2" t="s">
        <v>76</v>
      </c>
      <c r="AH54" s="114"/>
      <c r="AI54" s="1147"/>
      <c r="AJ54" s="1718"/>
      <c r="AK54" s="9">
        <v>99</v>
      </c>
      <c r="AL54" s="6" t="s">
        <v>141</v>
      </c>
      <c r="AM54" s="6"/>
      <c r="AN54" s="1149"/>
      <c r="AO54" s="1094"/>
      <c r="AP54" s="9">
        <v>5282</v>
      </c>
      <c r="AQ54" s="2" t="s">
        <v>217</v>
      </c>
      <c r="AR54" s="23"/>
      <c r="AS54" s="1151"/>
      <c r="AT54" s="1094"/>
      <c r="AU54" s="1094"/>
      <c r="AV54" s="1094"/>
      <c r="AW54" s="1094"/>
      <c r="AX54" s="1073"/>
      <c r="AY54" s="1094"/>
      <c r="AZ54" s="9" t="s">
        <v>265</v>
      </c>
      <c r="BA54" s="2" t="s">
        <v>373</v>
      </c>
      <c r="BB54" s="297"/>
      <c r="BC54" s="1150"/>
      <c r="BD54" s="1094"/>
      <c r="BE54" s="9" t="s">
        <v>829</v>
      </c>
      <c r="BF54" s="6" t="s">
        <v>856</v>
      </c>
      <c r="BG54" s="222"/>
      <c r="BH54" s="1149"/>
      <c r="BI54" s="1094"/>
      <c r="BJ54" s="9">
        <v>30943</v>
      </c>
      <c r="BK54" s="6" t="s">
        <v>1441</v>
      </c>
      <c r="BL54" s="230"/>
      <c r="BM54" s="1147"/>
      <c r="BN54" s="1094"/>
      <c r="BO54" s="9" t="s">
        <v>1299</v>
      </c>
      <c r="BP54" s="2" t="s">
        <v>1059</v>
      </c>
      <c r="BQ54" s="12"/>
      <c r="BR54" s="1149"/>
      <c r="BS54" s="1094"/>
      <c r="BT54" s="1721"/>
      <c r="BU54" s="1721"/>
      <c r="BV54" s="1721"/>
      <c r="BW54" s="1721"/>
      <c r="BX54" s="1094"/>
      <c r="BZ54" s="12"/>
      <c r="CA54" s="2"/>
      <c r="CB54" s="12"/>
      <c r="CC54" s="1747"/>
    </row>
    <row r="55" spans="1:81">
      <c r="A55" s="1718"/>
      <c r="B55" s="1">
        <v>160</v>
      </c>
      <c r="C55" s="2" t="s">
        <v>517</v>
      </c>
      <c r="D55" s="476"/>
      <c r="E55" s="1147"/>
      <c r="F55" s="1718"/>
      <c r="G55" s="1">
        <v>436</v>
      </c>
      <c r="H55" s="2" t="s">
        <v>7</v>
      </c>
      <c r="I55" s="54"/>
      <c r="J55" s="1147"/>
      <c r="K55" s="1718"/>
      <c r="L55" s="1">
        <v>703</v>
      </c>
      <c r="M55" s="2" t="s">
        <v>16</v>
      </c>
      <c r="N55" s="57"/>
      <c r="O55" s="1147"/>
      <c r="P55" s="1718"/>
      <c r="Q55" s="1">
        <v>825</v>
      </c>
      <c r="R55" s="2" t="s">
        <v>377</v>
      </c>
      <c r="S55" s="63"/>
      <c r="T55" s="1147"/>
      <c r="U55" s="1718"/>
      <c r="V55" s="1">
        <v>957</v>
      </c>
      <c r="W55" s="2" t="s">
        <v>702</v>
      </c>
      <c r="X55" s="240"/>
      <c r="Y55" s="1147"/>
      <c r="Z55" s="1718"/>
      <c r="AA55" s="1">
        <v>3688</v>
      </c>
      <c r="AB55" s="5" t="s">
        <v>516</v>
      </c>
      <c r="AC55" s="176"/>
      <c r="AD55" s="1147"/>
      <c r="AE55" s="1718"/>
      <c r="AF55" s="1">
        <v>3827</v>
      </c>
      <c r="AG55" s="2" t="s">
        <v>703</v>
      </c>
      <c r="AH55" s="115"/>
      <c r="AI55" s="1147"/>
      <c r="AJ55" s="1718"/>
      <c r="AK55" s="9">
        <v>105</v>
      </c>
      <c r="AL55" s="6" t="s">
        <v>142</v>
      </c>
      <c r="AM55" s="6"/>
      <c r="AN55" s="1149"/>
      <c r="AO55" s="1094"/>
      <c r="AP55" s="9">
        <v>5283</v>
      </c>
      <c r="AQ55" s="2" t="s">
        <v>218</v>
      </c>
      <c r="AR55" s="434"/>
      <c r="AS55" s="1151"/>
      <c r="AT55" s="1094"/>
      <c r="AU55" s="1094"/>
      <c r="AV55" s="1094"/>
      <c r="AW55" s="1094"/>
      <c r="AX55" s="1073"/>
      <c r="AY55" s="1094"/>
      <c r="AZ55" s="9" t="s">
        <v>266</v>
      </c>
      <c r="BA55" s="2" t="s">
        <v>514</v>
      </c>
      <c r="BB55" s="310"/>
      <c r="BC55" s="1150"/>
      <c r="BD55" s="1094"/>
      <c r="BE55" s="9" t="s">
        <v>889</v>
      </c>
      <c r="BF55" s="6" t="s">
        <v>903</v>
      </c>
      <c r="BG55" s="551"/>
      <c r="BH55" s="1147"/>
      <c r="BI55" s="1094"/>
      <c r="BJ55" s="9">
        <v>30955</v>
      </c>
      <c r="BK55" s="6" t="s">
        <v>1442</v>
      </c>
      <c r="BL55" s="238"/>
      <c r="BM55" s="1149"/>
      <c r="BN55" s="1094"/>
      <c r="BO55" s="9" t="s">
        <v>1300</v>
      </c>
      <c r="BP55" s="2" t="s">
        <v>1060</v>
      </c>
      <c r="BQ55" s="12"/>
      <c r="BR55" s="1149"/>
      <c r="BS55" s="1094"/>
      <c r="BT55" s="1721"/>
      <c r="BU55" s="1721"/>
      <c r="BV55" s="1721"/>
      <c r="BW55" s="1723"/>
      <c r="BX55" s="1094"/>
      <c r="BZ55" s="12"/>
      <c r="CA55" s="2"/>
      <c r="CB55" s="12"/>
      <c r="CC55" s="1747"/>
    </row>
    <row r="56" spans="1:81">
      <c r="A56" s="1718"/>
      <c r="B56" s="1">
        <v>161</v>
      </c>
      <c r="C56" s="2" t="s">
        <v>379</v>
      </c>
      <c r="D56" s="477"/>
      <c r="E56" s="1147"/>
      <c r="F56" s="1718"/>
      <c r="G56" s="1">
        <v>437</v>
      </c>
      <c r="H56" s="2" t="s">
        <v>636</v>
      </c>
      <c r="I56" s="416"/>
      <c r="J56" s="1147"/>
      <c r="K56" s="1718"/>
      <c r="L56" s="1">
        <v>704</v>
      </c>
      <c r="M56" s="2" t="s">
        <v>458</v>
      </c>
      <c r="N56" s="361"/>
      <c r="O56" s="1147"/>
      <c r="P56" s="1718"/>
      <c r="Q56" s="1">
        <v>826</v>
      </c>
      <c r="R56" s="2" t="s">
        <v>469</v>
      </c>
      <c r="S56" s="299"/>
      <c r="T56" s="1147"/>
      <c r="U56" s="1718"/>
      <c r="V56" s="1">
        <v>958</v>
      </c>
      <c r="W56" s="2" t="s">
        <v>380</v>
      </c>
      <c r="X56" s="241"/>
      <c r="Y56" s="1147"/>
      <c r="Z56" s="1718"/>
      <c r="AA56" s="1">
        <v>3689</v>
      </c>
      <c r="AB56" s="2" t="s">
        <v>635</v>
      </c>
      <c r="AC56" s="177"/>
      <c r="AD56" s="1147"/>
      <c r="AE56" s="1718"/>
      <c r="AF56" s="1">
        <v>3828</v>
      </c>
      <c r="AG56" s="2" t="s">
        <v>77</v>
      </c>
      <c r="AH56" s="116"/>
      <c r="AI56" s="1147"/>
      <c r="AJ56" s="1718"/>
      <c r="AK56" s="9">
        <v>106</v>
      </c>
      <c r="AL56" s="6" t="s">
        <v>143</v>
      </c>
      <c r="AM56" s="6"/>
      <c r="AN56" s="1149"/>
      <c r="AO56" s="1094"/>
      <c r="AP56" s="9">
        <v>4010</v>
      </c>
      <c r="AQ56" s="2" t="s">
        <v>869</v>
      </c>
      <c r="AR56" s="6"/>
      <c r="AS56" s="1151"/>
      <c r="AT56" s="1094"/>
      <c r="AU56" s="1094"/>
      <c r="AV56" s="1094"/>
      <c r="AW56" s="1094"/>
      <c r="AX56" s="1073"/>
      <c r="AY56" s="1094"/>
      <c r="AZ56" s="9" t="s">
        <v>267</v>
      </c>
      <c r="BA56" s="2" t="s">
        <v>678</v>
      </c>
      <c r="BB56" s="514"/>
      <c r="BC56" s="1150"/>
      <c r="BD56" s="1094"/>
      <c r="BE56" s="9" t="s">
        <v>830</v>
      </c>
      <c r="BF56" s="6" t="s">
        <v>857</v>
      </c>
      <c r="BG56" s="230"/>
      <c r="BH56" s="1149"/>
      <c r="BI56" s="1094"/>
      <c r="BJ56" s="9">
        <v>30956</v>
      </c>
      <c r="BK56" s="6" t="s">
        <v>1443</v>
      </c>
      <c r="BL56" s="239"/>
      <c r="BM56" s="1149"/>
      <c r="BN56" s="1094"/>
      <c r="BO56" s="9" t="s">
        <v>1301</v>
      </c>
      <c r="BP56" s="2" t="s">
        <v>1061</v>
      </c>
      <c r="BQ56" s="12"/>
      <c r="BR56" s="1149"/>
      <c r="BS56" s="1094"/>
      <c r="BT56" s="1081"/>
      <c r="BU56" s="1081"/>
      <c r="BV56" s="1081"/>
      <c r="BW56" s="1081"/>
      <c r="BX56" s="1094"/>
      <c r="BZ56" s="12"/>
      <c r="CA56" s="2"/>
      <c r="CC56" s="1747"/>
    </row>
    <row r="57" spans="1:81">
      <c r="A57" s="1718"/>
      <c r="B57" s="1">
        <v>162</v>
      </c>
      <c r="C57" s="2" t="s">
        <v>595</v>
      </c>
      <c r="D57" s="478"/>
      <c r="E57" s="1147"/>
      <c r="F57" s="1718"/>
      <c r="G57" s="1">
        <v>444</v>
      </c>
      <c r="H57" s="2" t="s">
        <v>383</v>
      </c>
      <c r="I57" s="417"/>
      <c r="J57" s="1147"/>
      <c r="K57" s="1718"/>
      <c r="L57" s="1">
        <v>712</v>
      </c>
      <c r="M57" s="2" t="s">
        <v>17</v>
      </c>
      <c r="N57" s="362"/>
      <c r="O57" s="1147"/>
      <c r="P57" s="1718"/>
      <c r="Q57" s="1">
        <v>827</v>
      </c>
      <c r="R57" s="2" t="s">
        <v>637</v>
      </c>
      <c r="S57" s="300"/>
      <c r="T57" s="1147"/>
      <c r="U57" s="1718"/>
      <c r="V57" s="1">
        <v>959</v>
      </c>
      <c r="W57" s="2" t="s">
        <v>518</v>
      </c>
      <c r="X57" s="242"/>
      <c r="Y57" s="1147"/>
      <c r="Z57" s="1718"/>
      <c r="AA57" s="1">
        <v>3705</v>
      </c>
      <c r="AB57" s="2" t="s">
        <v>381</v>
      </c>
      <c r="AC57" s="178"/>
      <c r="AD57" s="1147"/>
      <c r="AE57" s="1718"/>
      <c r="AF57" s="1">
        <v>3829</v>
      </c>
      <c r="AG57" s="2" t="s">
        <v>442</v>
      </c>
      <c r="AH57" s="117"/>
      <c r="AI57" s="1147"/>
      <c r="AJ57" s="1718"/>
      <c r="AK57" s="9">
        <v>107</v>
      </c>
      <c r="AL57" s="6" t="s">
        <v>144</v>
      </c>
      <c r="AM57" s="6"/>
      <c r="AN57" s="1149"/>
      <c r="AO57" s="1094"/>
      <c r="AP57" s="9">
        <v>4015</v>
      </c>
      <c r="AQ57" s="2" t="s">
        <v>149</v>
      </c>
      <c r="AR57" s="6"/>
      <c r="AS57" s="1151"/>
      <c r="AT57" s="1094"/>
      <c r="AU57" s="1094"/>
      <c r="AV57" s="1094"/>
      <c r="AW57" s="1094"/>
      <c r="AX57" s="1073"/>
      <c r="AY57" s="1094"/>
      <c r="AZ57" s="9" t="s">
        <v>268</v>
      </c>
      <c r="BA57" s="2" t="s">
        <v>376</v>
      </c>
      <c r="BB57" s="199"/>
      <c r="BC57" s="1150"/>
      <c r="BD57" s="1094"/>
      <c r="BE57" s="9" t="s">
        <v>831</v>
      </c>
      <c r="BF57" s="6" t="s">
        <v>858</v>
      </c>
      <c r="BG57" s="242"/>
      <c r="BH57" s="1149"/>
      <c r="BI57" s="1094"/>
      <c r="BJ57" s="9">
        <v>30957</v>
      </c>
      <c r="BK57" s="6" t="s">
        <v>1461</v>
      </c>
      <c r="BL57" s="240"/>
      <c r="BM57" s="1147"/>
      <c r="BN57" s="1094"/>
      <c r="BO57" s="9" t="s">
        <v>1302</v>
      </c>
      <c r="BP57" s="2" t="s">
        <v>1062</v>
      </c>
      <c r="BR57" s="1149"/>
      <c r="BS57" s="1094"/>
      <c r="BT57" s="1081"/>
      <c r="BU57" s="1081"/>
      <c r="BV57" s="1081"/>
      <c r="BW57" s="1081"/>
      <c r="BX57" s="1094"/>
      <c r="BZ57" s="12"/>
      <c r="CA57" s="2"/>
      <c r="CC57" s="1747"/>
    </row>
    <row r="58" spans="1:81">
      <c r="A58" s="1718"/>
      <c r="B58" s="1">
        <v>163</v>
      </c>
      <c r="C58" s="2" t="s">
        <v>55</v>
      </c>
      <c r="D58" s="479"/>
      <c r="E58" s="1147"/>
      <c r="F58" s="1718"/>
      <c r="G58" s="1">
        <v>445</v>
      </c>
      <c r="H58" s="2" t="s">
        <v>601</v>
      </c>
      <c r="I58" s="418"/>
      <c r="J58" s="1147"/>
      <c r="K58" s="1718"/>
      <c r="L58" s="1">
        <v>718</v>
      </c>
      <c r="M58" s="2" t="s">
        <v>18</v>
      </c>
      <c r="N58" s="58"/>
      <c r="O58" s="1147"/>
      <c r="P58" s="1718"/>
      <c r="Q58" s="1">
        <v>828</v>
      </c>
      <c r="R58" s="2" t="s">
        <v>681</v>
      </c>
      <c r="S58" s="301"/>
      <c r="T58" s="1147"/>
      <c r="U58" s="1718"/>
      <c r="V58" s="1">
        <v>961</v>
      </c>
      <c r="W58" s="2" t="s">
        <v>384</v>
      </c>
      <c r="X58" s="243"/>
      <c r="Y58" s="1147"/>
      <c r="Z58" s="1718"/>
      <c r="AA58" s="1">
        <v>3706</v>
      </c>
      <c r="AB58" s="2" t="s">
        <v>519</v>
      </c>
      <c r="AC58" s="179"/>
      <c r="AD58" s="1147"/>
      <c r="AE58" s="1718"/>
      <c r="AF58" s="1">
        <v>3830</v>
      </c>
      <c r="AG58" s="2" t="s">
        <v>78</v>
      </c>
      <c r="AH58" s="118"/>
      <c r="AI58" s="1147"/>
      <c r="AJ58" s="1718"/>
      <c r="AK58" s="9">
        <v>111</v>
      </c>
      <c r="AL58" s="6" t="s">
        <v>145</v>
      </c>
      <c r="AM58" s="6"/>
      <c r="AN58" s="1149"/>
      <c r="AO58" s="1094"/>
      <c r="AP58" s="9">
        <v>4020</v>
      </c>
      <c r="AQ58" s="2" t="s">
        <v>168</v>
      </c>
      <c r="AR58" s="6"/>
      <c r="AS58" s="1151"/>
      <c r="AT58" s="1094"/>
      <c r="AU58" s="1094"/>
      <c r="AV58" s="1094"/>
      <c r="AW58" s="1094"/>
      <c r="AX58" s="1073"/>
      <c r="AY58" s="1094"/>
      <c r="AZ58" s="9" t="s">
        <v>269</v>
      </c>
      <c r="BA58" s="2" t="s">
        <v>630</v>
      </c>
      <c r="BB58" s="204"/>
      <c r="BC58" s="1150"/>
      <c r="BD58" s="1094"/>
      <c r="BE58" s="9" t="s">
        <v>890</v>
      </c>
      <c r="BF58" s="6" t="s">
        <v>902</v>
      </c>
      <c r="BG58" s="550"/>
      <c r="BH58" s="1147"/>
      <c r="BI58" s="1094"/>
      <c r="BJ58" s="9">
        <v>30959</v>
      </c>
      <c r="BK58" s="6" t="s">
        <v>1444</v>
      </c>
      <c r="BL58" s="242"/>
      <c r="BM58" s="1149"/>
      <c r="BN58" s="1094"/>
      <c r="BO58" s="9" t="s">
        <v>1303</v>
      </c>
      <c r="BP58" s="2" t="s">
        <v>1063</v>
      </c>
      <c r="BR58" s="1149"/>
      <c r="BS58" s="1094"/>
      <c r="BT58" s="1081"/>
      <c r="BU58" s="1081"/>
      <c r="BV58" s="1081"/>
      <c r="BW58" s="1081"/>
      <c r="BX58" s="1094"/>
      <c r="BZ58" s="12"/>
      <c r="CA58" s="2"/>
      <c r="CC58" s="1747"/>
    </row>
    <row r="59" spans="1:81">
      <c r="A59" s="1718"/>
      <c r="B59" s="1">
        <v>164</v>
      </c>
      <c r="C59" s="2" t="s">
        <v>584</v>
      </c>
      <c r="D59" s="480"/>
      <c r="E59" s="1147"/>
      <c r="F59" s="1718"/>
      <c r="G59" s="1">
        <v>451</v>
      </c>
      <c r="H59" s="2" t="s">
        <v>385</v>
      </c>
      <c r="I59" s="419"/>
      <c r="J59" s="1147"/>
      <c r="K59" s="1718"/>
      <c r="L59" s="1">
        <v>720</v>
      </c>
      <c r="M59" s="2" t="s">
        <v>386</v>
      </c>
      <c r="N59" s="363"/>
      <c r="O59" s="1147"/>
      <c r="P59" s="1718"/>
      <c r="Q59" s="1">
        <v>829</v>
      </c>
      <c r="R59" s="2" t="s">
        <v>444</v>
      </c>
      <c r="S59" s="302"/>
      <c r="T59" s="1147"/>
      <c r="U59" s="1718"/>
      <c r="V59" s="1">
        <v>962</v>
      </c>
      <c r="W59" s="2" t="s">
        <v>520</v>
      </c>
      <c r="X59" s="244"/>
      <c r="Y59" s="1147"/>
      <c r="Z59" s="1718"/>
      <c r="AA59" s="1">
        <v>3708</v>
      </c>
      <c r="AB59" s="2" t="s">
        <v>638</v>
      </c>
      <c r="AC59" s="180"/>
      <c r="AD59" s="1147"/>
      <c r="AE59" s="1718"/>
      <c r="AF59" s="1">
        <v>3831</v>
      </c>
      <c r="AG59" s="2" t="s">
        <v>387</v>
      </c>
      <c r="AH59" s="119"/>
      <c r="AI59" s="1147"/>
      <c r="AJ59" s="1718"/>
      <c r="AK59" s="9">
        <v>115</v>
      </c>
      <c r="AL59" s="6" t="s">
        <v>146</v>
      </c>
      <c r="AM59" s="6"/>
      <c r="AN59" s="1149"/>
      <c r="AO59" s="1094"/>
      <c r="AP59" s="9">
        <v>4025</v>
      </c>
      <c r="AQ59" s="2" t="s">
        <v>169</v>
      </c>
      <c r="AR59" s="6"/>
      <c r="AS59" s="1151"/>
      <c r="AT59" s="1094"/>
      <c r="AU59" s="1094"/>
      <c r="AV59" s="1094"/>
      <c r="AW59" s="1094"/>
      <c r="AX59" s="1073"/>
      <c r="AY59" s="1094"/>
      <c r="AZ59" s="9" t="s">
        <v>270</v>
      </c>
      <c r="BA59" s="2" t="s">
        <v>378</v>
      </c>
      <c r="BB59" s="210"/>
      <c r="BC59" s="1150"/>
      <c r="BD59" s="1094"/>
      <c r="BE59" s="9" t="s">
        <v>832</v>
      </c>
      <c r="BF59" s="6" t="s">
        <v>859</v>
      </c>
      <c r="BG59" s="252"/>
      <c r="BH59" s="1149"/>
      <c r="BI59" s="1094"/>
      <c r="BJ59" s="9">
        <v>30964</v>
      </c>
      <c r="BK59" s="6" t="s">
        <v>1445</v>
      </c>
      <c r="BL59" s="550"/>
      <c r="BM59" s="1149"/>
      <c r="BN59" s="1094"/>
      <c r="BO59" s="9" t="s">
        <v>1304</v>
      </c>
      <c r="BP59" s="2" t="s">
        <v>1064</v>
      </c>
      <c r="BR59" s="1149"/>
      <c r="BS59" s="1094"/>
      <c r="BT59" s="1081"/>
      <c r="BU59" s="1081"/>
      <c r="BV59" s="1081"/>
      <c r="BW59" s="1081"/>
      <c r="BX59" s="1094"/>
      <c r="BZ59" s="12"/>
      <c r="CA59" s="2"/>
      <c r="CC59" s="1747"/>
    </row>
    <row r="60" spans="1:81">
      <c r="A60" s="1718"/>
      <c r="B60" s="1">
        <v>165</v>
      </c>
      <c r="C60" s="2" t="s">
        <v>457</v>
      </c>
      <c r="D60" s="481"/>
      <c r="E60" s="1147"/>
      <c r="F60" s="1718"/>
      <c r="G60" s="1">
        <v>452</v>
      </c>
      <c r="H60" s="2" t="s">
        <v>522</v>
      </c>
      <c r="I60" s="420"/>
      <c r="J60" s="1147"/>
      <c r="K60" s="1718"/>
      <c r="L60" s="1">
        <v>721</v>
      </c>
      <c r="M60" s="2" t="s">
        <v>523</v>
      </c>
      <c r="N60" s="364"/>
      <c r="O60" s="1147"/>
      <c r="P60" s="1718"/>
      <c r="Q60" s="1">
        <v>830</v>
      </c>
      <c r="R60" s="2" t="s">
        <v>388</v>
      </c>
      <c r="S60" s="303"/>
      <c r="T60" s="1147"/>
      <c r="U60" s="1718"/>
      <c r="V60" s="1">
        <v>963</v>
      </c>
      <c r="W60" s="2" t="s">
        <v>682</v>
      </c>
      <c r="X60" s="245"/>
      <c r="Y60" s="1147"/>
      <c r="Z60" s="1718"/>
      <c r="AA60" s="1">
        <v>3712</v>
      </c>
      <c r="AB60" s="5" t="s">
        <v>521</v>
      </c>
      <c r="AC60" s="181"/>
      <c r="AD60" s="1147"/>
      <c r="AE60" s="1718"/>
      <c r="AF60" s="1">
        <v>3832</v>
      </c>
      <c r="AG60" s="2" t="s">
        <v>524</v>
      </c>
      <c r="AH60" s="120"/>
      <c r="AI60" s="1147"/>
      <c r="AJ60" s="1718"/>
      <c r="AK60" s="9">
        <v>121</v>
      </c>
      <c r="AL60" s="6" t="s">
        <v>147</v>
      </c>
      <c r="AM60" s="6"/>
      <c r="AN60" s="1149"/>
      <c r="AO60" s="1094"/>
      <c r="AP60" s="9">
        <v>4030</v>
      </c>
      <c r="AQ60" s="2" t="s">
        <v>170</v>
      </c>
      <c r="AR60" s="6"/>
      <c r="AS60" s="1151"/>
      <c r="AT60" s="1094"/>
      <c r="AU60" s="1094"/>
      <c r="AV60" s="1094"/>
      <c r="AW60" s="1094"/>
      <c r="AX60" s="1073"/>
      <c r="AY60" s="1094"/>
      <c r="AZ60" s="9" t="s">
        <v>271</v>
      </c>
      <c r="BA60" s="2" t="s">
        <v>680</v>
      </c>
      <c r="BB60" s="228"/>
      <c r="BC60" s="1150"/>
      <c r="BD60" s="1094"/>
      <c r="BE60" s="9" t="s">
        <v>833</v>
      </c>
      <c r="BF60" s="6" t="s">
        <v>860</v>
      </c>
      <c r="BG60" s="131"/>
      <c r="BH60" s="1149"/>
      <c r="BI60" s="1094"/>
      <c r="BJ60" s="9">
        <v>30973</v>
      </c>
      <c r="BK60" s="6" t="s">
        <v>1446</v>
      </c>
      <c r="BL60" s="250"/>
      <c r="BM60" s="1149"/>
      <c r="BN60" s="1094"/>
      <c r="BO60" s="9" t="s">
        <v>1305</v>
      </c>
      <c r="BP60" s="2" t="s">
        <v>1065</v>
      </c>
      <c r="BR60" s="1149"/>
      <c r="BS60" s="1094"/>
      <c r="BT60" s="1081"/>
      <c r="BU60" s="1081"/>
      <c r="BV60" s="1081"/>
      <c r="BW60" s="1081"/>
      <c r="BX60" s="1094"/>
      <c r="BZ60" s="12"/>
      <c r="CA60" s="2"/>
      <c r="CC60" s="1747"/>
    </row>
    <row r="61" spans="1:81">
      <c r="A61" s="1718"/>
      <c r="B61" s="1">
        <v>166</v>
      </c>
      <c r="C61" s="2" t="s">
        <v>56</v>
      </c>
      <c r="D61" s="482"/>
      <c r="E61" s="1147"/>
      <c r="F61" s="1718"/>
      <c r="G61" s="1">
        <v>453</v>
      </c>
      <c r="H61" s="2" t="s">
        <v>640</v>
      </c>
      <c r="I61" s="421"/>
      <c r="J61" s="1147"/>
      <c r="K61" s="1718"/>
      <c r="L61" s="1">
        <v>722</v>
      </c>
      <c r="M61" s="2" t="s">
        <v>588</v>
      </c>
      <c r="N61" s="365"/>
      <c r="O61" s="1147"/>
      <c r="P61" s="1718"/>
      <c r="Q61" s="1">
        <v>831</v>
      </c>
      <c r="R61" s="2" t="s">
        <v>525</v>
      </c>
      <c r="S61" s="304"/>
      <c r="T61" s="1147"/>
      <c r="U61" s="1718"/>
      <c r="V61" s="1">
        <v>964</v>
      </c>
      <c r="W61" s="2" t="s">
        <v>641</v>
      </c>
      <c r="X61" s="246"/>
      <c r="Y61" s="1147"/>
      <c r="Z61" s="1718"/>
      <c r="AA61" s="1">
        <v>3713</v>
      </c>
      <c r="AB61" s="2" t="s">
        <v>639</v>
      </c>
      <c r="AC61" s="182"/>
      <c r="AD61" s="1147"/>
      <c r="AE61" s="1718"/>
      <c r="AF61" s="1">
        <v>3833</v>
      </c>
      <c r="AG61" s="2" t="s">
        <v>643</v>
      </c>
      <c r="AH61" s="121"/>
      <c r="AI61" s="1147"/>
      <c r="AJ61" s="1718"/>
      <c r="AK61" s="9">
        <v>125</v>
      </c>
      <c r="AL61" s="6" t="s">
        <v>148</v>
      </c>
      <c r="AM61" s="6"/>
      <c r="AN61" s="1149"/>
      <c r="AO61" s="1094"/>
      <c r="AP61" s="9">
        <v>4040</v>
      </c>
      <c r="AQ61" s="2" t="s">
        <v>171</v>
      </c>
      <c r="AR61" s="6"/>
      <c r="AS61" s="1151"/>
      <c r="AT61" s="1094"/>
      <c r="AU61" s="1094"/>
      <c r="AV61" s="1094"/>
      <c r="AW61" s="1094"/>
      <c r="AX61" s="1073"/>
      <c r="AY61" s="1094"/>
      <c r="AZ61" s="9" t="s">
        <v>272</v>
      </c>
      <c r="BA61" s="2" t="s">
        <v>689</v>
      </c>
      <c r="BB61" s="249"/>
      <c r="BC61" s="1150"/>
      <c r="BD61" s="1094"/>
      <c r="BE61" s="9" t="s">
        <v>834</v>
      </c>
      <c r="BF61" s="6" t="s">
        <v>861</v>
      </c>
      <c r="BG61" s="134"/>
      <c r="BH61" s="1149"/>
      <c r="BI61" s="1094"/>
      <c r="BJ61" s="9">
        <v>30976</v>
      </c>
      <c r="BK61" s="6" t="s">
        <v>1447</v>
      </c>
      <c r="BL61" s="131"/>
      <c r="BM61" s="1149"/>
      <c r="BN61" s="1094"/>
      <c r="BO61" s="9" t="s">
        <v>1306</v>
      </c>
      <c r="BP61" s="2" t="s">
        <v>1066</v>
      </c>
      <c r="BR61" s="1149"/>
      <c r="BS61" s="1094"/>
      <c r="BT61" s="1094"/>
      <c r="BU61" s="1094"/>
      <c r="BV61" s="1094"/>
      <c r="BW61" s="1073"/>
      <c r="BX61" s="1094"/>
      <c r="BZ61" s="12"/>
      <c r="CA61" s="2"/>
      <c r="CC61" s="1747"/>
    </row>
    <row r="62" spans="1:81">
      <c r="A62" s="1718"/>
      <c r="B62" s="1">
        <v>167</v>
      </c>
      <c r="C62" s="2" t="s">
        <v>57</v>
      </c>
      <c r="D62" s="483"/>
      <c r="E62" s="1147"/>
      <c r="F62" s="1718"/>
      <c r="G62" s="1">
        <v>469</v>
      </c>
      <c r="H62" s="2" t="s">
        <v>8</v>
      </c>
      <c r="I62" s="422"/>
      <c r="J62" s="1147"/>
      <c r="K62" s="1718"/>
      <c r="L62" s="1">
        <v>724</v>
      </c>
      <c r="M62" s="2" t="s">
        <v>1473</v>
      </c>
      <c r="N62" s="1132"/>
      <c r="O62" s="1147"/>
      <c r="P62" s="1718"/>
      <c r="Q62" s="1">
        <v>832</v>
      </c>
      <c r="R62" s="2" t="s">
        <v>28</v>
      </c>
      <c r="S62" s="305"/>
      <c r="T62" s="1147"/>
      <c r="U62" s="1718"/>
      <c r="V62" s="1">
        <v>966</v>
      </c>
      <c r="W62" s="2" t="s">
        <v>526</v>
      </c>
      <c r="X62" s="65"/>
      <c r="Y62" s="1147"/>
      <c r="Z62" s="1718"/>
      <c r="AA62" s="1">
        <v>3716</v>
      </c>
      <c r="AB62" s="2" t="s">
        <v>642</v>
      </c>
      <c r="AC62" s="183"/>
      <c r="AD62" s="1147"/>
      <c r="AE62" s="1718"/>
      <c r="AF62" s="1">
        <v>3834</v>
      </c>
      <c r="AG62" s="2" t="s">
        <v>390</v>
      </c>
      <c r="AH62" s="122"/>
      <c r="AI62" s="1147"/>
      <c r="AJ62" s="1718"/>
      <c r="AK62" s="9">
        <v>127</v>
      </c>
      <c r="AL62" s="6" t="s">
        <v>1392</v>
      </c>
      <c r="AN62" s="1150"/>
      <c r="AO62" s="1094"/>
      <c r="AP62" s="9">
        <v>4045</v>
      </c>
      <c r="AQ62" s="2" t="s">
        <v>172</v>
      </c>
      <c r="AR62" s="6"/>
      <c r="AS62" s="1151"/>
      <c r="AT62" s="1094"/>
      <c r="AU62" s="1094"/>
      <c r="AV62" s="1094"/>
      <c r="AW62" s="1094"/>
      <c r="AX62" s="1073"/>
      <c r="AY62" s="1094"/>
      <c r="AZ62" s="9" t="s">
        <v>273</v>
      </c>
      <c r="BA62" s="2" t="s">
        <v>382</v>
      </c>
      <c r="BB62" s="134"/>
      <c r="BC62" s="1150"/>
      <c r="BD62" s="1094"/>
      <c r="BE62" s="9" t="s">
        <v>867</v>
      </c>
      <c r="BF62" s="6" t="s">
        <v>868</v>
      </c>
      <c r="BG62" s="171"/>
      <c r="BH62" s="1149"/>
      <c r="BI62" s="1094"/>
      <c r="BJ62" s="9">
        <v>30991</v>
      </c>
      <c r="BK62" s="6" t="s">
        <v>1448</v>
      </c>
      <c r="BL62" s="131"/>
      <c r="BM62" s="1147"/>
      <c r="BN62" s="1094"/>
      <c r="BO62" s="9" t="s">
        <v>1307</v>
      </c>
      <c r="BP62" s="2" t="s">
        <v>1067</v>
      </c>
      <c r="BR62" s="1149"/>
      <c r="BS62" s="1094"/>
      <c r="BT62" s="1094"/>
      <c r="BU62" s="1094"/>
      <c r="BV62" s="1094"/>
      <c r="BW62" s="1073"/>
      <c r="BX62" s="1094"/>
      <c r="BZ62" s="12"/>
      <c r="CA62" s="2"/>
      <c r="CC62" s="1747"/>
    </row>
    <row r="63" spans="1:81">
      <c r="A63" s="1718"/>
      <c r="B63" s="1">
        <v>168</v>
      </c>
      <c r="C63" s="2" t="s">
        <v>59</v>
      </c>
      <c r="D63" s="45"/>
      <c r="E63" s="1147"/>
      <c r="F63" s="1718"/>
      <c r="G63" s="1">
        <v>470</v>
      </c>
      <c r="H63" s="2" t="s">
        <v>644</v>
      </c>
      <c r="I63" s="423"/>
      <c r="J63" s="1147"/>
      <c r="K63" s="1718"/>
      <c r="L63" s="1">
        <v>725</v>
      </c>
      <c r="M63" s="2" t="s">
        <v>19</v>
      </c>
      <c r="N63" s="366"/>
      <c r="O63" s="1147"/>
      <c r="P63" s="1718"/>
      <c r="Q63" s="1">
        <v>833</v>
      </c>
      <c r="R63" s="2" t="s">
        <v>646</v>
      </c>
      <c r="S63" s="306"/>
      <c r="T63" s="1147"/>
      <c r="U63" s="1718"/>
      <c r="V63" s="1">
        <v>967</v>
      </c>
      <c r="W63" s="2" t="s">
        <v>552</v>
      </c>
      <c r="X63" s="66"/>
      <c r="Y63" s="1147"/>
      <c r="Z63" s="1718"/>
      <c r="AA63" s="1">
        <v>3721</v>
      </c>
      <c r="AB63" s="2" t="s">
        <v>389</v>
      </c>
      <c r="AC63" s="184"/>
      <c r="AD63" s="1147"/>
      <c r="AE63" s="1718"/>
      <c r="AF63" s="1">
        <v>3835</v>
      </c>
      <c r="AG63" s="2" t="s">
        <v>528</v>
      </c>
      <c r="AH63" s="123"/>
      <c r="AI63" s="1147"/>
      <c r="AJ63" s="1718"/>
      <c r="AK63" s="9" t="s">
        <v>113</v>
      </c>
      <c r="AL63" s="6" t="s">
        <v>184</v>
      </c>
      <c r="AN63" s="1150"/>
      <c r="AO63" s="1094"/>
      <c r="AP63" s="9">
        <v>4050</v>
      </c>
      <c r="AQ63" s="2" t="s">
        <v>173</v>
      </c>
      <c r="AR63" s="6"/>
      <c r="AS63" s="1151"/>
      <c r="AT63" s="1094"/>
      <c r="AU63" s="1094"/>
      <c r="AV63" s="1094"/>
      <c r="AW63" s="1094"/>
      <c r="AX63" s="1073"/>
      <c r="AY63" s="1094"/>
      <c r="AZ63" s="9" t="s">
        <v>274</v>
      </c>
      <c r="BA63" s="2" t="s">
        <v>289</v>
      </c>
      <c r="BB63" s="171"/>
      <c r="BC63" s="1150"/>
      <c r="BD63" s="1094"/>
      <c r="BE63" s="9" t="s">
        <v>891</v>
      </c>
      <c r="BF63" s="6" t="s">
        <v>901</v>
      </c>
      <c r="BG63" s="549"/>
      <c r="BH63" s="1147"/>
      <c r="BI63" s="1094"/>
      <c r="BJ63" s="9">
        <v>30993</v>
      </c>
      <c r="BK63" s="6" t="s">
        <v>1449</v>
      </c>
      <c r="BL63" s="133"/>
      <c r="BM63" s="1147"/>
      <c r="BN63" s="1094"/>
      <c r="BO63" s="9" t="s">
        <v>1308</v>
      </c>
      <c r="BP63" s="2" t="s">
        <v>1068</v>
      </c>
      <c r="BR63" s="1149"/>
      <c r="BS63" s="1094"/>
      <c r="BT63" s="1094"/>
      <c r="BU63" s="1094"/>
      <c r="BV63" s="1094"/>
      <c r="BW63" s="1073"/>
      <c r="BX63" s="1094"/>
      <c r="BZ63" s="12"/>
      <c r="CA63" s="2"/>
      <c r="CC63" s="1747"/>
    </row>
    <row r="64" spans="1:81" ht="17" thickBot="1">
      <c r="A64" s="1718"/>
      <c r="B64" s="1">
        <v>169</v>
      </c>
      <c r="C64" s="2" t="s">
        <v>49</v>
      </c>
      <c r="D64" s="484"/>
      <c r="E64" s="1147"/>
      <c r="F64" s="1718"/>
      <c r="G64" s="1">
        <v>471</v>
      </c>
      <c r="H64" s="2" t="s">
        <v>647</v>
      </c>
      <c r="I64" s="424"/>
      <c r="J64" s="1147"/>
      <c r="K64" s="1718"/>
      <c r="L64" s="1">
        <v>726</v>
      </c>
      <c r="M64" s="2" t="s">
        <v>645</v>
      </c>
      <c r="N64" s="367"/>
      <c r="O64" s="1147"/>
      <c r="P64" s="1718"/>
      <c r="Q64" s="1">
        <v>834</v>
      </c>
      <c r="R64" s="2" t="s">
        <v>649</v>
      </c>
      <c r="S64" s="307"/>
      <c r="T64" s="1147"/>
      <c r="U64" s="1718"/>
      <c r="V64" s="1">
        <v>970</v>
      </c>
      <c r="W64" s="2" t="s">
        <v>650</v>
      </c>
      <c r="X64" s="247"/>
      <c r="Y64" s="1147"/>
      <c r="Z64" s="1718"/>
      <c r="AA64" s="1">
        <v>3722</v>
      </c>
      <c r="AB64" s="2" t="s">
        <v>527</v>
      </c>
      <c r="AC64" s="185"/>
      <c r="AD64" s="1147"/>
      <c r="AE64" s="1718"/>
      <c r="AF64" s="1">
        <v>3836</v>
      </c>
      <c r="AG64" s="2" t="s">
        <v>651</v>
      </c>
      <c r="AH64" s="124"/>
      <c r="AI64" s="1147"/>
      <c r="AJ64" s="1718"/>
      <c r="AK64" s="9" t="s">
        <v>81</v>
      </c>
      <c r="AL64" s="6" t="s">
        <v>185</v>
      </c>
      <c r="AM64" s="6"/>
      <c r="AN64" s="1149"/>
      <c r="AO64" s="1094"/>
      <c r="AP64" s="9">
        <v>4060</v>
      </c>
      <c r="AQ64" s="2" t="s">
        <v>174</v>
      </c>
      <c r="AR64" s="6"/>
      <c r="AS64" s="1151"/>
      <c r="AT64" s="1094"/>
      <c r="AU64" s="1094"/>
      <c r="AV64" s="1094"/>
      <c r="AW64" s="1094"/>
      <c r="AX64" s="1073"/>
      <c r="AY64" s="1094"/>
      <c r="AZ64" s="10" t="s">
        <v>275</v>
      </c>
      <c r="BA64" s="4" t="s">
        <v>443</v>
      </c>
      <c r="BB64" s="515"/>
      <c r="BC64" s="1156"/>
      <c r="BD64" s="1094"/>
      <c r="BE64" s="9" t="s">
        <v>806</v>
      </c>
      <c r="BF64" s="6" t="s">
        <v>862</v>
      </c>
      <c r="BG64" s="67"/>
      <c r="BH64" s="1149"/>
      <c r="BI64" s="1094"/>
      <c r="BJ64" s="9">
        <v>30995</v>
      </c>
      <c r="BK64" s="6" t="s">
        <v>1450</v>
      </c>
      <c r="BL64" s="134"/>
      <c r="BM64" s="1147"/>
      <c r="BN64" s="1094"/>
      <c r="BO64" s="9" t="s">
        <v>1309</v>
      </c>
      <c r="BP64" s="2" t="s">
        <v>1069</v>
      </c>
      <c r="BR64" s="1149"/>
      <c r="BS64" s="1094"/>
      <c r="BT64" s="1094"/>
      <c r="BU64" s="1094"/>
      <c r="BV64" s="1094"/>
      <c r="BW64" s="1073"/>
      <c r="BX64" s="1094"/>
      <c r="BZ64" s="12"/>
      <c r="CA64" s="2"/>
      <c r="CC64" s="1747"/>
    </row>
    <row r="65" spans="1:81" ht="17" thickBot="1">
      <c r="A65" s="1718"/>
      <c r="B65" s="1">
        <v>208</v>
      </c>
      <c r="C65" s="2" t="s">
        <v>429</v>
      </c>
      <c r="D65" s="485"/>
      <c r="E65" s="1147"/>
      <c r="F65" s="1718"/>
      <c r="G65" s="1">
        <v>472</v>
      </c>
      <c r="H65" s="2" t="s">
        <v>683</v>
      </c>
      <c r="I65" s="425"/>
      <c r="J65" s="1147"/>
      <c r="K65" s="1718"/>
      <c r="L65" s="1">
        <v>727</v>
      </c>
      <c r="M65" s="2" t="s">
        <v>648</v>
      </c>
      <c r="N65" s="368"/>
      <c r="O65" s="1147"/>
      <c r="P65" s="1718"/>
      <c r="Q65" s="1">
        <v>838</v>
      </c>
      <c r="R65" s="2" t="s">
        <v>445</v>
      </c>
      <c r="S65" s="308"/>
      <c r="T65" s="1147"/>
      <c r="U65" s="1718"/>
      <c r="V65" s="1" t="s">
        <v>295</v>
      </c>
      <c r="W65" s="2" t="s">
        <v>34</v>
      </c>
      <c r="X65" s="248"/>
      <c r="Y65" s="1147"/>
      <c r="Z65" s="1718"/>
      <c r="AA65" s="1">
        <v>3726</v>
      </c>
      <c r="AB65" s="2" t="s">
        <v>391</v>
      </c>
      <c r="AC65" s="186"/>
      <c r="AD65" s="1147"/>
      <c r="AE65" s="1718"/>
      <c r="AF65" s="1">
        <v>3837</v>
      </c>
      <c r="AG65" s="2" t="s">
        <v>684</v>
      </c>
      <c r="AH65" s="19"/>
      <c r="AI65" s="1147"/>
      <c r="AJ65" s="1718"/>
      <c r="AK65" s="9" t="s">
        <v>915</v>
      </c>
      <c r="AL65" s="6" t="s">
        <v>917</v>
      </c>
      <c r="AM65" s="8"/>
      <c r="AN65" s="1149"/>
      <c r="AO65" s="1094"/>
      <c r="AP65" s="9">
        <v>4065</v>
      </c>
      <c r="AQ65" s="2" t="s">
        <v>175</v>
      </c>
      <c r="AR65" s="6"/>
      <c r="AS65" s="1151"/>
      <c r="AT65" s="1094"/>
      <c r="AU65" s="1094"/>
      <c r="AV65" s="1094"/>
      <c r="AW65" s="1094"/>
      <c r="AX65" s="1073"/>
      <c r="AY65" s="1094"/>
      <c r="AZ65" s="1094"/>
      <c r="BA65" s="1094"/>
      <c r="BB65" s="1094"/>
      <c r="BC65" s="1073"/>
      <c r="BD65" s="1094"/>
      <c r="BE65" s="10" t="s">
        <v>807</v>
      </c>
      <c r="BF65" s="16" t="s">
        <v>863</v>
      </c>
      <c r="BG65" s="1130"/>
      <c r="BH65" s="1154"/>
      <c r="BI65" s="1094"/>
      <c r="BJ65" s="9">
        <v>30996</v>
      </c>
      <c r="BK65" s="6" t="s">
        <v>1451</v>
      </c>
      <c r="BL65" s="135"/>
      <c r="BM65" s="1147"/>
      <c r="BN65" s="1094"/>
      <c r="BO65" s="9" t="s">
        <v>1310</v>
      </c>
      <c r="BP65" s="2" t="s">
        <v>1070</v>
      </c>
      <c r="BR65" s="1149"/>
      <c r="BS65" s="1094"/>
      <c r="BT65" s="1094"/>
      <c r="BU65" s="1094"/>
      <c r="BV65" s="1094"/>
      <c r="BW65" s="1073"/>
      <c r="BX65" s="1094"/>
      <c r="BZ65" s="12"/>
      <c r="CA65" s="2"/>
      <c r="CC65" s="1747"/>
    </row>
    <row r="66" spans="1:81">
      <c r="A66" s="1718"/>
      <c r="B66" s="1">
        <v>209</v>
      </c>
      <c r="C66" s="2" t="s">
        <v>392</v>
      </c>
      <c r="D66" s="486"/>
      <c r="E66" s="1147"/>
      <c r="F66" s="1718"/>
      <c r="G66" s="1">
        <v>498</v>
      </c>
      <c r="H66" s="2" t="s">
        <v>393</v>
      </c>
      <c r="I66" s="426"/>
      <c r="J66" s="1147"/>
      <c r="K66" s="1718"/>
      <c r="L66" s="1">
        <v>728</v>
      </c>
      <c r="M66" s="2" t="s">
        <v>63</v>
      </c>
      <c r="N66" s="23"/>
      <c r="O66" s="1147"/>
      <c r="P66" s="1718"/>
      <c r="Q66" s="1">
        <v>839</v>
      </c>
      <c r="R66" s="2" t="s">
        <v>341</v>
      </c>
      <c r="S66" s="309"/>
      <c r="T66" s="1147"/>
      <c r="U66" s="1718"/>
      <c r="V66" s="1">
        <v>972</v>
      </c>
      <c r="W66" s="2" t="s">
        <v>690</v>
      </c>
      <c r="X66" s="249"/>
      <c r="Y66" s="1147"/>
      <c r="Z66" s="1718"/>
      <c r="AA66" s="1">
        <v>3727</v>
      </c>
      <c r="AB66" s="2" t="s">
        <v>652</v>
      </c>
      <c r="AC66" s="187"/>
      <c r="AD66" s="1147"/>
      <c r="AE66" s="1718"/>
      <c r="AF66" s="1">
        <v>3838</v>
      </c>
      <c r="AG66" s="2" t="s">
        <v>394</v>
      </c>
      <c r="AH66" s="125"/>
      <c r="AI66" s="1147"/>
      <c r="AJ66" s="1718"/>
      <c r="AK66" s="9" t="s">
        <v>916</v>
      </c>
      <c r="AL66" s="6" t="s">
        <v>918</v>
      </c>
      <c r="AM66" s="8"/>
      <c r="AN66" s="1147"/>
      <c r="AO66" s="1094"/>
      <c r="AP66" s="9">
        <v>4070</v>
      </c>
      <c r="AQ66" s="2" t="s">
        <v>176</v>
      </c>
      <c r="AR66" s="6"/>
      <c r="AS66" s="1151"/>
      <c r="AT66" s="1094"/>
      <c r="AU66" s="1094"/>
      <c r="AV66" s="1094"/>
      <c r="AW66" s="1094"/>
      <c r="AX66" s="1073"/>
      <c r="AY66" s="1094"/>
      <c r="AZ66" s="1721" t="s">
        <v>1802</v>
      </c>
      <c r="BA66" s="1094"/>
      <c r="BB66" s="1094"/>
      <c r="BC66" s="1073"/>
      <c r="BD66" s="1094"/>
      <c r="BE66" s="1718" t="s">
        <v>794</v>
      </c>
      <c r="BF66" s="1718"/>
      <c r="BG66" s="1724"/>
      <c r="BH66" s="1719"/>
      <c r="BI66" s="1094"/>
      <c r="BJ66" s="9">
        <v>33325</v>
      </c>
      <c r="BK66" s="6" t="s">
        <v>1452</v>
      </c>
      <c r="BL66" s="157"/>
      <c r="BM66" s="1147"/>
      <c r="BN66" s="1094"/>
      <c r="BO66" s="9" t="s">
        <v>1311</v>
      </c>
      <c r="BP66" s="2" t="s">
        <v>1071</v>
      </c>
      <c r="BR66" s="1149"/>
      <c r="BS66" s="1094"/>
      <c r="BT66" s="1094"/>
      <c r="BU66" s="1094"/>
      <c r="BV66" s="1094"/>
      <c r="BW66" s="1073"/>
      <c r="BX66" s="1094"/>
      <c r="BZ66" s="12"/>
      <c r="CA66" s="2"/>
      <c r="CC66" s="1747"/>
    </row>
    <row r="67" spans="1:81">
      <c r="A67" s="1718"/>
      <c r="B67" s="1">
        <v>210</v>
      </c>
      <c r="C67" s="2" t="s">
        <v>530</v>
      </c>
      <c r="D67" s="487"/>
      <c r="E67" s="1147"/>
      <c r="F67" s="1718"/>
      <c r="G67" s="1">
        <v>500</v>
      </c>
      <c r="H67" s="2" t="s">
        <v>447</v>
      </c>
      <c r="I67" s="427"/>
      <c r="J67" s="1147"/>
      <c r="K67" s="1718"/>
      <c r="L67" s="1">
        <v>729</v>
      </c>
      <c r="M67" s="2" t="s">
        <v>529</v>
      </c>
      <c r="N67" s="369"/>
      <c r="O67" s="1147"/>
      <c r="P67" s="1718"/>
      <c r="Q67" s="1">
        <v>840</v>
      </c>
      <c r="R67" s="2" t="s">
        <v>531</v>
      </c>
      <c r="S67" s="310"/>
      <c r="T67" s="1147"/>
      <c r="U67" s="1718"/>
      <c r="V67" s="1">
        <v>973</v>
      </c>
      <c r="W67" s="2" t="s">
        <v>459</v>
      </c>
      <c r="X67" s="250"/>
      <c r="Y67" s="1147"/>
      <c r="Z67" s="1718"/>
      <c r="AA67" s="1">
        <v>3731</v>
      </c>
      <c r="AB67" s="2" t="s">
        <v>446</v>
      </c>
      <c r="AC67" s="188"/>
      <c r="AD67" s="1147"/>
      <c r="AE67" s="1718"/>
      <c r="AF67" s="1">
        <v>3839</v>
      </c>
      <c r="AG67" s="2" t="s">
        <v>532</v>
      </c>
      <c r="AH67" s="126"/>
      <c r="AI67" s="1147"/>
      <c r="AJ67" s="1718"/>
      <c r="AK67" s="9" t="s">
        <v>82</v>
      </c>
      <c r="AL67" s="6" t="s">
        <v>186</v>
      </c>
      <c r="AM67" s="6"/>
      <c r="AN67" s="1149"/>
      <c r="AO67" s="1094"/>
      <c r="AP67" s="9">
        <v>4075</v>
      </c>
      <c r="AQ67" s="2" t="s">
        <v>177</v>
      </c>
      <c r="AR67" s="6"/>
      <c r="AS67" s="1151"/>
      <c r="AT67" s="1094"/>
      <c r="AU67" s="1094"/>
      <c r="AV67" s="1094"/>
      <c r="AW67" s="1094"/>
      <c r="AX67" s="1073"/>
      <c r="AY67" s="1094"/>
      <c r="AZ67" s="1094"/>
      <c r="BA67" s="1094"/>
      <c r="BB67" s="1094"/>
      <c r="BC67" s="1073"/>
      <c r="BD67" s="1094"/>
      <c r="BE67" s="1719"/>
      <c r="BF67" s="1718"/>
      <c r="BG67" s="1724"/>
      <c r="BH67" s="1719"/>
      <c r="BI67" s="1094"/>
      <c r="BJ67" s="9">
        <v>33350</v>
      </c>
      <c r="BK67" s="6" t="s">
        <v>1453</v>
      </c>
      <c r="BL67" s="166"/>
      <c r="BM67" s="1147"/>
      <c r="BN67" s="1094"/>
      <c r="BO67" s="9" t="s">
        <v>1312</v>
      </c>
      <c r="BP67" s="2" t="s">
        <v>1072</v>
      </c>
      <c r="BR67" s="1149"/>
      <c r="BS67" s="1094"/>
      <c r="BT67" s="1094"/>
      <c r="BU67" s="1094"/>
      <c r="BV67" s="1094"/>
      <c r="BW67" s="1073"/>
      <c r="BX67" s="1094"/>
      <c r="BZ67" s="12"/>
      <c r="CA67" s="2"/>
      <c r="CC67" s="1747"/>
    </row>
    <row r="68" spans="1:81" ht="17" thickBot="1">
      <c r="A68" s="1718"/>
      <c r="B68" s="1">
        <v>211</v>
      </c>
      <c r="C68" s="2" t="s">
        <v>653</v>
      </c>
      <c r="D68" s="46"/>
      <c r="E68" s="1147"/>
      <c r="F68" s="1718"/>
      <c r="G68" s="1">
        <v>501</v>
      </c>
      <c r="H68" s="2" t="s">
        <v>395</v>
      </c>
      <c r="I68" s="428"/>
      <c r="J68" s="1147"/>
      <c r="K68" s="1718"/>
      <c r="L68" s="1">
        <v>730</v>
      </c>
      <c r="M68" s="2" t="s">
        <v>448</v>
      </c>
      <c r="N68" s="370"/>
      <c r="O68" s="1147"/>
      <c r="P68" s="1718"/>
      <c r="Q68" s="1">
        <v>841</v>
      </c>
      <c r="R68" s="2" t="s">
        <v>654</v>
      </c>
      <c r="S68" s="311"/>
      <c r="T68" s="1147"/>
      <c r="U68" s="1718"/>
      <c r="V68" s="1">
        <v>974</v>
      </c>
      <c r="W68" s="2" t="s">
        <v>1474</v>
      </c>
      <c r="X68" s="1133"/>
      <c r="Y68" s="1147"/>
      <c r="Z68" s="1718"/>
      <c r="AA68" s="1">
        <v>3733</v>
      </c>
      <c r="AB68" s="2" t="s">
        <v>42</v>
      </c>
      <c r="AC68" s="189"/>
      <c r="AD68" s="1147"/>
      <c r="AE68" s="1718"/>
      <c r="AF68" s="1">
        <v>3840</v>
      </c>
      <c r="AG68" s="2" t="s">
        <v>655</v>
      </c>
      <c r="AH68" s="127"/>
      <c r="AI68" s="1147"/>
      <c r="AJ68" s="1718"/>
      <c r="AK68" s="9" t="s">
        <v>919</v>
      </c>
      <c r="AL68" s="6" t="s">
        <v>929</v>
      </c>
      <c r="AM68" s="8"/>
      <c r="AN68" s="1147"/>
      <c r="AO68" s="1094"/>
      <c r="AP68" s="9">
        <v>4077</v>
      </c>
      <c r="AQ68" s="2" t="s">
        <v>178</v>
      </c>
      <c r="AR68" s="6"/>
      <c r="AS68" s="1151"/>
      <c r="AT68" s="1094"/>
      <c r="AU68" s="1094"/>
      <c r="AV68" s="1094"/>
      <c r="AW68" s="1094"/>
      <c r="AX68" s="1073"/>
      <c r="AY68" s="1094"/>
      <c r="AZ68" s="1094"/>
      <c r="BA68" s="1094"/>
      <c r="BB68" s="1094"/>
      <c r="BC68" s="1073"/>
      <c r="BD68" s="1094"/>
      <c r="BE68" s="1719"/>
      <c r="BF68" s="1718"/>
      <c r="BG68" s="1724"/>
      <c r="BH68" s="1719"/>
      <c r="BI68" s="1094"/>
      <c r="BJ68" s="9">
        <v>33371</v>
      </c>
      <c r="BK68" s="6" t="s">
        <v>1454</v>
      </c>
      <c r="BL68" s="171"/>
      <c r="BM68" s="1147"/>
      <c r="BN68" s="1094"/>
      <c r="BO68" s="10" t="s">
        <v>1313</v>
      </c>
      <c r="BP68" s="4" t="s">
        <v>1073</v>
      </c>
      <c r="BQ68" s="537"/>
      <c r="BR68" s="1154"/>
      <c r="BS68" s="1094"/>
      <c r="BT68" s="1094"/>
      <c r="BU68" s="1094"/>
      <c r="BV68" s="1094"/>
      <c r="BW68" s="1073"/>
      <c r="BX68" s="1094"/>
    </row>
    <row r="69" spans="1:81">
      <c r="A69" s="1718"/>
      <c r="B69" s="1">
        <v>221</v>
      </c>
      <c r="C69" s="2" t="s">
        <v>449</v>
      </c>
      <c r="D69" s="488"/>
      <c r="E69" s="1147"/>
      <c r="F69" s="1718"/>
      <c r="G69" s="1">
        <v>502</v>
      </c>
      <c r="H69" s="2" t="s">
        <v>9</v>
      </c>
      <c r="I69" s="429"/>
      <c r="J69" s="1147"/>
      <c r="K69" s="1718"/>
      <c r="L69" s="1" t="s">
        <v>292</v>
      </c>
      <c r="M69" s="2" t="s">
        <v>396</v>
      </c>
      <c r="N69" s="371"/>
      <c r="O69" s="1147"/>
      <c r="P69" s="1718"/>
      <c r="Q69" s="1">
        <v>842</v>
      </c>
      <c r="R69" s="2" t="s">
        <v>656</v>
      </c>
      <c r="S69" s="312"/>
      <c r="T69" s="1147"/>
      <c r="U69" s="1718"/>
      <c r="V69" s="1">
        <v>975</v>
      </c>
      <c r="W69" s="2" t="s">
        <v>397</v>
      </c>
      <c r="X69" s="251"/>
      <c r="Y69" s="1147"/>
      <c r="Z69" s="1718"/>
      <c r="AA69" s="1">
        <v>3740</v>
      </c>
      <c r="AB69" s="2" t="s">
        <v>353</v>
      </c>
      <c r="AC69" s="190"/>
      <c r="AD69" s="1147"/>
      <c r="AE69" s="1718"/>
      <c r="AF69" s="1">
        <v>3841</v>
      </c>
      <c r="AG69" s="2" t="s">
        <v>704</v>
      </c>
      <c r="AH69" s="128"/>
      <c r="AI69" s="1147"/>
      <c r="AJ69" s="1718"/>
      <c r="AK69" s="9" t="s">
        <v>920</v>
      </c>
      <c r="AL69" s="6" t="s">
        <v>930</v>
      </c>
      <c r="AM69" s="8"/>
      <c r="AN69" s="1147"/>
      <c r="AO69" s="1094"/>
      <c r="AP69" s="9">
        <v>4080</v>
      </c>
      <c r="AQ69" s="2" t="s">
        <v>179</v>
      </c>
      <c r="AR69" s="6"/>
      <c r="AS69" s="1151"/>
      <c r="AT69" s="1094"/>
      <c r="AU69" s="1094"/>
      <c r="AV69" s="1094"/>
      <c r="AW69" s="1094"/>
      <c r="AX69" s="1073"/>
      <c r="AY69" s="1094"/>
      <c r="AZ69" s="1094"/>
      <c r="BA69" s="1094"/>
      <c r="BB69" s="1094"/>
      <c r="BC69" s="1073"/>
      <c r="BD69" s="1094"/>
      <c r="BE69" s="1719"/>
      <c r="BF69" s="1718"/>
      <c r="BG69" s="1724"/>
      <c r="BH69" s="1719"/>
      <c r="BI69" s="1094"/>
      <c r="BJ69" s="9">
        <v>33607</v>
      </c>
      <c r="BK69" s="6" t="s">
        <v>1455</v>
      </c>
      <c r="BL69" s="549"/>
      <c r="BM69" s="1147"/>
      <c r="BN69" s="1094"/>
      <c r="BO69" s="1094"/>
      <c r="BP69" s="1094"/>
      <c r="BQ69" s="1094"/>
      <c r="BR69" s="1073"/>
      <c r="BS69" s="1094"/>
      <c r="BT69" s="1094"/>
      <c r="BU69" s="1094"/>
      <c r="BV69" s="1094"/>
      <c r="BW69" s="1073"/>
      <c r="BX69" s="1094"/>
    </row>
    <row r="70" spans="1:81">
      <c r="A70" s="1718"/>
      <c r="B70" s="1">
        <v>223</v>
      </c>
      <c r="C70" s="2" t="s">
        <v>581</v>
      </c>
      <c r="D70" s="489"/>
      <c r="E70" s="1147"/>
      <c r="F70" s="1718"/>
      <c r="G70" s="1">
        <v>503</v>
      </c>
      <c r="H70" s="2" t="s">
        <v>534</v>
      </c>
      <c r="I70" s="430"/>
      <c r="J70" s="1147"/>
      <c r="K70" s="1718"/>
      <c r="L70" s="1">
        <v>732</v>
      </c>
      <c r="M70" s="2" t="s">
        <v>20</v>
      </c>
      <c r="N70" s="372"/>
      <c r="O70" s="1147"/>
      <c r="P70" s="1718"/>
      <c r="Q70" s="1">
        <v>844</v>
      </c>
      <c r="R70" s="2" t="s">
        <v>685</v>
      </c>
      <c r="S70" s="313"/>
      <c r="T70" s="1147"/>
      <c r="U70" s="1718"/>
      <c r="V70" s="1">
        <v>976</v>
      </c>
      <c r="W70" s="2" t="s">
        <v>533</v>
      </c>
      <c r="X70" s="252"/>
      <c r="Y70" s="1147"/>
      <c r="Z70" s="1718"/>
      <c r="AA70" s="1">
        <v>3743</v>
      </c>
      <c r="AB70" s="2" t="s">
        <v>657</v>
      </c>
      <c r="AC70" s="191"/>
      <c r="AD70" s="1147"/>
      <c r="AE70" s="1718"/>
      <c r="AF70" s="1">
        <v>3842</v>
      </c>
      <c r="AG70" s="2" t="s">
        <v>315</v>
      </c>
      <c r="AH70" s="129"/>
      <c r="AI70" s="1147"/>
      <c r="AJ70" s="1718"/>
      <c r="AK70" s="9" t="s">
        <v>921</v>
      </c>
      <c r="AL70" s="6" t="s">
        <v>931</v>
      </c>
      <c r="AM70" s="8"/>
      <c r="AN70" s="1147"/>
      <c r="AO70" s="1094"/>
      <c r="AP70" s="9">
        <v>4090</v>
      </c>
      <c r="AQ70" s="2" t="s">
        <v>180</v>
      </c>
      <c r="AR70" s="6"/>
      <c r="AS70" s="1151"/>
      <c r="AT70" s="1094"/>
      <c r="AU70" s="1094"/>
      <c r="AV70" s="1094"/>
      <c r="AW70" s="1094"/>
      <c r="AX70" s="1073"/>
      <c r="AY70" s="1094"/>
      <c r="AZ70" s="1094"/>
      <c r="BA70" s="1094"/>
      <c r="BB70" s="1094"/>
      <c r="BC70" s="1073"/>
      <c r="BD70" s="1094"/>
      <c r="BE70" s="1719"/>
      <c r="BF70" s="1718"/>
      <c r="BG70" s="1724"/>
      <c r="BH70" s="1073"/>
      <c r="BI70" s="1094"/>
      <c r="BJ70" s="9">
        <v>33608</v>
      </c>
      <c r="BK70" s="6" t="s">
        <v>1456</v>
      </c>
      <c r="BL70" s="173"/>
      <c r="BM70" s="1147"/>
      <c r="BN70" s="1094"/>
      <c r="BO70" s="1094"/>
      <c r="BP70" s="1094"/>
      <c r="BQ70" s="1094"/>
      <c r="BR70" s="1073"/>
      <c r="BS70" s="1094"/>
      <c r="BT70" s="1094"/>
      <c r="BU70" s="1094"/>
      <c r="BV70" s="1094"/>
      <c r="BW70" s="1073"/>
      <c r="BX70" s="1094"/>
    </row>
    <row r="71" spans="1:81">
      <c r="A71" s="1718"/>
      <c r="B71" s="1">
        <v>224</v>
      </c>
      <c r="C71" s="2" t="s">
        <v>659</v>
      </c>
      <c r="D71" s="490"/>
      <c r="E71" s="1147"/>
      <c r="F71" s="1718"/>
      <c r="G71" s="1" t="s">
        <v>291</v>
      </c>
      <c r="H71" s="2" t="s">
        <v>660</v>
      </c>
      <c r="I71" s="431"/>
      <c r="J71" s="1147"/>
      <c r="K71" s="1718"/>
      <c r="L71" s="1">
        <v>733</v>
      </c>
      <c r="M71" s="2" t="s">
        <v>535</v>
      </c>
      <c r="N71" s="373"/>
      <c r="O71" s="1147"/>
      <c r="P71" s="1718"/>
      <c r="Q71" s="1" t="s">
        <v>297</v>
      </c>
      <c r="R71" s="2" t="s">
        <v>66</v>
      </c>
      <c r="S71" s="314"/>
      <c r="T71" s="1147"/>
      <c r="U71" s="1718"/>
      <c r="V71" s="1">
        <v>977</v>
      </c>
      <c r="W71" s="2" t="s">
        <v>658</v>
      </c>
      <c r="X71" s="253"/>
      <c r="Y71" s="1147"/>
      <c r="Z71" s="1718"/>
      <c r="AA71" s="1">
        <v>3746</v>
      </c>
      <c r="AB71" s="2" t="s">
        <v>398</v>
      </c>
      <c r="AC71" s="192"/>
      <c r="AD71" s="1147"/>
      <c r="AE71" s="1718"/>
      <c r="AF71" s="1">
        <v>3843</v>
      </c>
      <c r="AG71" s="2" t="s">
        <v>73</v>
      </c>
      <c r="AH71" s="20"/>
      <c r="AI71" s="1147"/>
      <c r="AJ71" s="1718"/>
      <c r="AK71" s="9" t="s">
        <v>922</v>
      </c>
      <c r="AL71" s="6" t="s">
        <v>932</v>
      </c>
      <c r="AM71" s="8"/>
      <c r="AN71" s="1147"/>
      <c r="AO71" s="1094"/>
      <c r="AP71" s="9">
        <v>4100</v>
      </c>
      <c r="AQ71" s="2" t="s">
        <v>181</v>
      </c>
      <c r="AR71" s="6"/>
      <c r="AS71" s="1151"/>
      <c r="AT71" s="1094"/>
      <c r="AU71" s="1094"/>
      <c r="AV71" s="1094"/>
      <c r="AW71" s="1094"/>
      <c r="AX71" s="1073"/>
      <c r="AY71" s="1094"/>
      <c r="AZ71" s="1094"/>
      <c r="BA71" s="1094"/>
      <c r="BB71" s="1094"/>
      <c r="BC71" s="1073"/>
      <c r="BD71" s="1094"/>
      <c r="BE71" s="1719"/>
      <c r="BF71" s="1718"/>
      <c r="BG71" s="1724"/>
      <c r="BH71" s="1719"/>
      <c r="BI71" s="1094"/>
      <c r="BJ71" s="9">
        <v>33687</v>
      </c>
      <c r="BK71" s="6" t="s">
        <v>1457</v>
      </c>
      <c r="BL71" s="175"/>
      <c r="BM71" s="1147"/>
      <c r="BN71" s="1094"/>
      <c r="BO71" s="1094"/>
      <c r="BP71" s="1094"/>
      <c r="BQ71" s="1094"/>
      <c r="BR71" s="1073"/>
      <c r="BS71" s="1094"/>
      <c r="BT71" s="1094"/>
      <c r="BU71" s="1094"/>
      <c r="BV71" s="1094"/>
      <c r="BW71" s="1073"/>
      <c r="BX71" s="1094"/>
    </row>
    <row r="72" spans="1:81" ht="17" thickBot="1">
      <c r="A72" s="1718"/>
      <c r="B72" s="3">
        <v>225</v>
      </c>
      <c r="C72" s="4" t="s">
        <v>686</v>
      </c>
      <c r="D72" s="511"/>
      <c r="E72" s="1148"/>
      <c r="F72" s="1718"/>
      <c r="G72" s="3">
        <v>505</v>
      </c>
      <c r="H72" s="4" t="s">
        <v>399</v>
      </c>
      <c r="I72" s="524"/>
      <c r="J72" s="1148"/>
      <c r="K72" s="1718"/>
      <c r="L72" s="1">
        <v>734</v>
      </c>
      <c r="M72" s="2" t="s">
        <v>661</v>
      </c>
      <c r="N72" s="374"/>
      <c r="O72" s="1147"/>
      <c r="P72" s="1718"/>
      <c r="Q72" s="3">
        <v>869</v>
      </c>
      <c r="R72" s="4" t="s">
        <v>451</v>
      </c>
      <c r="S72" s="506"/>
      <c r="T72" s="1148"/>
      <c r="U72" s="1718"/>
      <c r="V72" s="1">
        <v>986</v>
      </c>
      <c r="W72" s="2" t="s">
        <v>450</v>
      </c>
      <c r="X72" s="254"/>
      <c r="Y72" s="1147"/>
      <c r="Z72" s="1718"/>
      <c r="AA72" s="1">
        <v>3747</v>
      </c>
      <c r="AB72" s="2" t="s">
        <v>662</v>
      </c>
      <c r="AC72" s="17"/>
      <c r="AD72" s="1147"/>
      <c r="AE72" s="1718"/>
      <c r="AF72" s="3">
        <v>3844</v>
      </c>
      <c r="AG72" s="4" t="s">
        <v>401</v>
      </c>
      <c r="AH72" s="500"/>
      <c r="AI72" s="1148"/>
      <c r="AJ72" s="1718"/>
      <c r="AK72" s="10" t="s">
        <v>924</v>
      </c>
      <c r="AL72" s="16" t="s">
        <v>933</v>
      </c>
      <c r="AM72" s="566"/>
      <c r="AN72" s="1148"/>
      <c r="AO72" s="1094"/>
      <c r="AP72" s="10">
        <v>4110</v>
      </c>
      <c r="AQ72" s="4" t="s">
        <v>182</v>
      </c>
      <c r="AR72" s="16"/>
      <c r="AS72" s="1152"/>
      <c r="AT72" s="1094"/>
      <c r="AU72" s="1094"/>
      <c r="AV72" s="1094"/>
      <c r="AW72" s="1094"/>
      <c r="AX72" s="1073"/>
      <c r="AY72" s="1094"/>
      <c r="AZ72" s="1094"/>
      <c r="BA72" s="1094"/>
      <c r="BB72" s="1094"/>
      <c r="BC72" s="1073"/>
      <c r="BD72" s="1094"/>
      <c r="BE72" s="1718"/>
      <c r="BF72" s="1725"/>
      <c r="BG72" s="1718"/>
      <c r="BH72" s="1719"/>
      <c r="BI72" s="1094"/>
      <c r="BJ72" s="9">
        <v>33689</v>
      </c>
      <c r="BK72" s="6" t="s">
        <v>1458</v>
      </c>
      <c r="BL72" s="177"/>
      <c r="BM72" s="1147"/>
      <c r="BN72" s="1094"/>
      <c r="BO72" s="1094"/>
      <c r="BP72" s="1094"/>
      <c r="BQ72" s="1094"/>
      <c r="BR72" s="1073"/>
      <c r="BS72" s="1094"/>
      <c r="BT72" s="1094"/>
      <c r="BU72" s="1094"/>
      <c r="BV72" s="1094"/>
      <c r="BW72" s="1073"/>
      <c r="BX72" s="1094"/>
    </row>
    <row r="73" spans="1:81" ht="17" thickBot="1">
      <c r="A73" s="1718"/>
      <c r="B73" s="1718" t="s">
        <v>963</v>
      </c>
      <c r="C73" s="1725"/>
      <c r="D73" s="1724"/>
      <c r="E73" s="1724"/>
      <c r="F73" s="1718"/>
      <c r="G73" s="1718" t="s">
        <v>794</v>
      </c>
      <c r="H73" s="1725"/>
      <c r="I73" s="1724"/>
      <c r="J73" s="1724"/>
      <c r="K73" s="1718"/>
      <c r="L73" s="3">
        <v>738</v>
      </c>
      <c r="M73" s="4" t="s">
        <v>663</v>
      </c>
      <c r="N73" s="508"/>
      <c r="O73" s="1148"/>
      <c r="P73" s="1718"/>
      <c r="Q73" s="1718" t="s">
        <v>794</v>
      </c>
      <c r="R73" s="1725"/>
      <c r="S73" s="1724"/>
      <c r="T73" s="1727" t="s">
        <v>290</v>
      </c>
      <c r="U73" s="1718"/>
      <c r="V73" s="3">
        <v>987</v>
      </c>
      <c r="W73" s="4" t="s">
        <v>400</v>
      </c>
      <c r="X73" s="504"/>
      <c r="Y73" s="1148"/>
      <c r="Z73" s="1718"/>
      <c r="AA73" s="3">
        <v>3750</v>
      </c>
      <c r="AB73" s="4" t="s">
        <v>452</v>
      </c>
      <c r="AC73" s="502"/>
      <c r="AD73" s="1148"/>
      <c r="AE73" s="1718"/>
      <c r="AF73" s="1718" t="s">
        <v>794</v>
      </c>
      <c r="AG73" s="1725"/>
      <c r="AH73" s="1724"/>
      <c r="AI73" s="1724"/>
      <c r="AJ73" s="1718"/>
      <c r="AK73" s="1718" t="s">
        <v>794</v>
      </c>
      <c r="AL73" s="1718"/>
      <c r="AM73" s="1718"/>
      <c r="AN73" s="1719"/>
      <c r="AO73" s="1094"/>
      <c r="AP73" s="1718" t="s">
        <v>794</v>
      </c>
      <c r="AQ73" s="1725"/>
      <c r="AR73" s="1725"/>
      <c r="AS73" s="1726"/>
      <c r="AT73" s="1094"/>
      <c r="AU73" s="1094"/>
      <c r="AV73" s="1094"/>
      <c r="AW73" s="1094"/>
      <c r="AX73" s="1073"/>
      <c r="AY73" s="1094"/>
      <c r="AZ73" s="1094"/>
      <c r="BA73" s="1094"/>
      <c r="BB73" s="1094"/>
      <c r="BC73" s="1073"/>
      <c r="BD73" s="1094"/>
      <c r="BE73" s="1719"/>
      <c r="BF73" s="1718"/>
      <c r="BG73" s="1724"/>
      <c r="BH73" s="1073"/>
      <c r="BI73" s="1094"/>
      <c r="BJ73" s="9">
        <v>33733</v>
      </c>
      <c r="BK73" s="6" t="s">
        <v>1459</v>
      </c>
      <c r="BL73" s="189"/>
      <c r="BM73" s="1147"/>
      <c r="BN73" s="1094"/>
      <c r="BO73" s="1094"/>
      <c r="BP73" s="1094"/>
      <c r="BQ73" s="1094"/>
      <c r="BR73" s="1073"/>
      <c r="BS73" s="1094"/>
      <c r="BT73" s="1094"/>
      <c r="BU73" s="1094"/>
      <c r="BV73" s="1094"/>
      <c r="BW73" s="1073"/>
      <c r="BX73" s="1094"/>
    </row>
    <row r="74" spans="1:81" ht="17" thickBot="1">
      <c r="A74" s="1718"/>
      <c r="B74" s="1724"/>
      <c r="C74" s="1725"/>
      <c r="D74" s="1724"/>
      <c r="E74" s="1724"/>
      <c r="F74" s="1718"/>
      <c r="G74" s="1724"/>
      <c r="H74" s="1725"/>
      <c r="I74" s="1724"/>
      <c r="J74" s="1724"/>
      <c r="K74" s="1718"/>
      <c r="L74" s="1718" t="s">
        <v>794</v>
      </c>
      <c r="M74" s="1725"/>
      <c r="N74" s="1724"/>
      <c r="O74" s="1724"/>
      <c r="P74" s="1718"/>
      <c r="Q74" s="1724"/>
      <c r="R74" s="1719"/>
      <c r="S74" s="1724"/>
      <c r="T74" s="1724"/>
      <c r="U74" s="1718"/>
      <c r="V74" s="1724"/>
      <c r="W74" s="1725"/>
      <c r="X74" s="1724"/>
      <c r="Y74" s="1724"/>
      <c r="Z74" s="1718"/>
      <c r="AA74" s="1724"/>
      <c r="AB74" s="1725"/>
      <c r="AC74" s="1724"/>
      <c r="AD74" s="1724"/>
      <c r="AE74" s="1718"/>
      <c r="AF74" s="1724"/>
      <c r="AG74" s="1725"/>
      <c r="AH74" s="1724"/>
      <c r="AI74" s="1724"/>
      <c r="AJ74" s="1718"/>
      <c r="AK74" s="1718"/>
      <c r="AL74" s="1718"/>
      <c r="AM74" s="1718"/>
      <c r="AN74" s="1719"/>
      <c r="AO74" s="1094"/>
      <c r="AP74" s="1719"/>
      <c r="AQ74" s="1725"/>
      <c r="AR74" s="1725"/>
      <c r="AS74" s="1726"/>
      <c r="AT74" s="1094"/>
      <c r="AU74" s="1094"/>
      <c r="AV74" s="1094"/>
      <c r="AW74" s="1094"/>
      <c r="AX74" s="1073"/>
      <c r="AY74" s="1094"/>
      <c r="AZ74" s="1094"/>
      <c r="BA74" s="1094"/>
      <c r="BB74" s="1094"/>
      <c r="BC74" s="1073"/>
      <c r="BD74" s="1094"/>
      <c r="BE74" s="1719"/>
      <c r="BF74" s="1718"/>
      <c r="BG74" s="1724"/>
      <c r="BH74" s="1073"/>
      <c r="BI74" s="1094"/>
      <c r="BJ74" s="10">
        <v>33814</v>
      </c>
      <c r="BK74" s="16" t="s">
        <v>1460</v>
      </c>
      <c r="BL74" s="1131"/>
      <c r="BM74" s="1154"/>
      <c r="BN74" s="1094"/>
      <c r="BO74" s="1094"/>
      <c r="BP74" s="1094"/>
      <c r="BQ74" s="1094"/>
      <c r="BR74" s="1073"/>
      <c r="BS74" s="1094"/>
      <c r="BT74" s="1094"/>
      <c r="BU74" s="1094"/>
      <c r="BV74" s="1094"/>
      <c r="BW74" s="1073"/>
      <c r="BX74" s="1094"/>
    </row>
    <row r="75" spans="1:81">
      <c r="A75" s="1094"/>
      <c r="B75" s="1073"/>
      <c r="C75" s="1094"/>
      <c r="D75" s="1094"/>
      <c r="E75" s="1073"/>
      <c r="F75" s="1094"/>
      <c r="G75" s="1073"/>
      <c r="H75" s="1094"/>
      <c r="I75" s="1094"/>
      <c r="J75" s="1073"/>
      <c r="K75" s="1094"/>
      <c r="L75" s="1073"/>
      <c r="M75" s="1094"/>
      <c r="N75" s="1094"/>
      <c r="O75" s="1073"/>
      <c r="P75" s="1094"/>
      <c r="Q75" s="1073"/>
      <c r="R75" s="1094"/>
      <c r="S75" s="1094"/>
      <c r="T75" s="1073"/>
      <c r="U75" s="1094"/>
      <c r="V75" s="1073"/>
      <c r="W75" s="1094"/>
      <c r="X75" s="1094"/>
      <c r="Y75" s="1073"/>
      <c r="Z75" s="1094"/>
      <c r="AA75" s="1073"/>
      <c r="AB75" s="1094"/>
      <c r="AC75" s="1094"/>
      <c r="AD75" s="1073"/>
      <c r="AE75" s="1094"/>
      <c r="AF75" s="1073"/>
      <c r="AG75" s="1094"/>
      <c r="AH75" s="1094"/>
      <c r="AI75" s="1073"/>
      <c r="AJ75" s="1094"/>
      <c r="AK75" s="1073"/>
      <c r="AL75" s="1094"/>
      <c r="AM75" s="1094"/>
      <c r="AN75" s="1073"/>
      <c r="AO75" s="1094"/>
      <c r="AP75" s="1094"/>
      <c r="AQ75" s="1094"/>
      <c r="AR75" s="1094"/>
      <c r="AS75" s="1073"/>
      <c r="AT75" s="1094"/>
      <c r="AU75" s="1094"/>
      <c r="AV75" s="1094"/>
      <c r="AW75" s="1094"/>
      <c r="AX75" s="1073"/>
      <c r="AY75" s="1094"/>
      <c r="AZ75" s="1094"/>
      <c r="BA75" s="1094"/>
      <c r="BB75" s="1094"/>
      <c r="BC75" s="1073"/>
      <c r="BD75" s="1094"/>
      <c r="BE75" s="1094"/>
      <c r="BF75" s="1094"/>
      <c r="BG75" s="1094"/>
      <c r="BH75" s="1073"/>
      <c r="BI75" s="1094"/>
      <c r="BJ75" s="1094"/>
      <c r="BK75" s="1094"/>
      <c r="BL75" s="1094"/>
      <c r="BM75" s="1073"/>
      <c r="BN75" s="1094"/>
      <c r="BO75" s="1094"/>
      <c r="BP75" s="1094"/>
      <c r="BQ75" s="1094"/>
      <c r="BR75" s="1073"/>
      <c r="BS75" s="1094"/>
      <c r="BT75" s="1094"/>
      <c r="BU75" s="1094"/>
      <c r="BV75" s="1094"/>
      <c r="BW75" s="1073"/>
      <c r="BX75" s="1094"/>
    </row>
  </sheetData>
  <sheetProtection algorithmName="SHA-512" hashValue="KVXHm8dPjAIzofAjpjH6ChG0cuUQXoDozP7VbLY6sIjtNOag28Tlxx6+l0YTE9Dz64Ho6jTgJHmUnds314KSxQ==" saltValue="rHVbdDVoHboMB/n2dp7obw==" spinCount="100000" sheet="1" objects="1" scenarios="1"/>
  <mergeCells count="2">
    <mergeCell ref="BO5:BR5"/>
    <mergeCell ref="BT5:BW5"/>
  </mergeCells>
  <pageMargins left="0.75" right="0.75" top="1" bottom="1" header="0.5" footer="0.5"/>
  <pageSetup paperSize="9" orientation="portrait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D9E2-2FD6-3746-BE5F-8277F3E22A78}">
  <sheetPr>
    <tabColor theme="4"/>
  </sheetPr>
  <dimension ref="A1:D900"/>
  <sheetViews>
    <sheetView topLeftCell="A204" workbookViewId="0">
      <selection activeCell="A780" sqref="A780"/>
    </sheetView>
  </sheetViews>
  <sheetFormatPr baseColWidth="10" defaultColWidth="11" defaultRowHeight="16"/>
  <cols>
    <col min="1" max="1" width="10.83203125" style="8"/>
    <col min="2" max="2" width="37.83203125" customWidth="1"/>
  </cols>
  <sheetData>
    <row r="1" spans="1:4">
      <c r="A1" s="8" t="s">
        <v>44</v>
      </c>
      <c r="B1" s="14" t="s">
        <v>45</v>
      </c>
      <c r="C1">
        <f>'DMC Threads - By Number'!E6</f>
        <v>0</v>
      </c>
      <c r="D1">
        <v>19</v>
      </c>
    </row>
    <row r="2" spans="1:4">
      <c r="A2" s="8" t="s">
        <v>1001</v>
      </c>
      <c r="B2" s="2" t="s">
        <v>46</v>
      </c>
      <c r="C2">
        <f>'DMC Threads - By Number'!E7</f>
        <v>0</v>
      </c>
      <c r="D2">
        <v>20</v>
      </c>
    </row>
    <row r="3" spans="1:4">
      <c r="A3" s="8" t="s">
        <v>46</v>
      </c>
      <c r="B3" s="2" t="s">
        <v>46</v>
      </c>
      <c r="C3">
        <f>'DMC Threads - By Number'!E8</f>
        <v>0</v>
      </c>
      <c r="D3">
        <v>20</v>
      </c>
    </row>
    <row r="4" spans="1:4">
      <c r="A4" s="8" t="s">
        <v>47</v>
      </c>
      <c r="B4" s="2" t="s">
        <v>48</v>
      </c>
      <c r="C4">
        <f>'DMC Threads - By Number'!E9</f>
        <v>0</v>
      </c>
      <c r="D4">
        <v>20</v>
      </c>
    </row>
    <row r="5" spans="1:4">
      <c r="A5" s="8">
        <v>1</v>
      </c>
      <c r="B5" s="15" t="s">
        <v>118</v>
      </c>
      <c r="C5">
        <f>'DMC Threads - By Number'!E10</f>
        <v>0</v>
      </c>
      <c r="D5">
        <v>20</v>
      </c>
    </row>
    <row r="6" spans="1:4">
      <c r="A6" s="8">
        <v>2</v>
      </c>
      <c r="B6" s="15" t="s">
        <v>119</v>
      </c>
      <c r="C6">
        <f>'DMC Threads - By Number'!E11</f>
        <v>0</v>
      </c>
      <c r="D6">
        <v>20</v>
      </c>
    </row>
    <row r="7" spans="1:4">
      <c r="A7" s="8">
        <v>3</v>
      </c>
      <c r="B7" s="2" t="s">
        <v>720</v>
      </c>
      <c r="C7">
        <f>'DMC Threads - By Number'!E12</f>
        <v>0</v>
      </c>
      <c r="D7">
        <v>20</v>
      </c>
    </row>
    <row r="8" spans="1:4">
      <c r="A8" s="8">
        <v>4</v>
      </c>
      <c r="B8" s="2" t="s">
        <v>719</v>
      </c>
      <c r="C8">
        <f>'DMC Threads - By Number'!E13</f>
        <v>0</v>
      </c>
      <c r="D8">
        <v>20</v>
      </c>
    </row>
    <row r="9" spans="1:4">
      <c r="A9" s="8">
        <v>5</v>
      </c>
      <c r="B9" s="2" t="s">
        <v>718</v>
      </c>
      <c r="C9">
        <f>'DMC Threads - By Number'!E14</f>
        <v>0</v>
      </c>
      <c r="D9">
        <v>19</v>
      </c>
    </row>
    <row r="10" spans="1:4">
      <c r="A10" s="8">
        <v>6</v>
      </c>
      <c r="B10" s="2" t="s">
        <v>717</v>
      </c>
      <c r="C10">
        <f>'DMC Threads - By Number'!E15</f>
        <v>0</v>
      </c>
      <c r="D10">
        <v>19</v>
      </c>
    </row>
    <row r="11" spans="1:4">
      <c r="A11" s="8">
        <v>7</v>
      </c>
      <c r="B11" s="2" t="s">
        <v>691</v>
      </c>
      <c r="C11">
        <f>'DMC Threads - By Number'!E16</f>
        <v>0</v>
      </c>
      <c r="D11">
        <v>19</v>
      </c>
    </row>
    <row r="12" spans="1:4">
      <c r="A12" s="8">
        <v>8</v>
      </c>
      <c r="B12" s="2" t="s">
        <v>716</v>
      </c>
      <c r="C12">
        <f>'DMC Threads - By Number'!E17</f>
        <v>0</v>
      </c>
      <c r="D12">
        <v>19</v>
      </c>
    </row>
    <row r="13" spans="1:4">
      <c r="A13" s="8">
        <v>9</v>
      </c>
      <c r="B13" s="2" t="s">
        <v>715</v>
      </c>
      <c r="C13">
        <f>'DMC Threads - By Number'!E18</f>
        <v>0</v>
      </c>
      <c r="D13">
        <v>18</v>
      </c>
    </row>
    <row r="14" spans="1:4">
      <c r="A14" s="8">
        <v>10</v>
      </c>
      <c r="B14" s="2" t="s">
        <v>714</v>
      </c>
      <c r="C14">
        <f>'DMC Threads - By Number'!E19</f>
        <v>0</v>
      </c>
      <c r="D14">
        <v>12</v>
      </c>
    </row>
    <row r="15" spans="1:4">
      <c r="A15" s="8">
        <v>11</v>
      </c>
      <c r="B15" s="2" t="s">
        <v>695</v>
      </c>
      <c r="C15">
        <f>'DMC Threads - By Number'!E20</f>
        <v>0</v>
      </c>
      <c r="D15">
        <v>12</v>
      </c>
    </row>
    <row r="16" spans="1:4">
      <c r="A16" s="8">
        <v>12</v>
      </c>
      <c r="B16" s="15" t="s">
        <v>120</v>
      </c>
      <c r="C16">
        <f>'DMC Threads - By Number'!E21</f>
        <v>0</v>
      </c>
      <c r="D16">
        <v>12</v>
      </c>
    </row>
    <row r="17" spans="1:4">
      <c r="A17" s="8">
        <v>13</v>
      </c>
      <c r="B17" s="2" t="s">
        <v>694</v>
      </c>
      <c r="C17">
        <f>'DMC Threads - By Number'!E22</f>
        <v>0</v>
      </c>
      <c r="D17">
        <v>10</v>
      </c>
    </row>
    <row r="18" spans="1:4">
      <c r="A18" s="8">
        <v>14</v>
      </c>
      <c r="B18" s="2" t="s">
        <v>696</v>
      </c>
      <c r="C18">
        <f>'DMC Threads - By Number'!E23</f>
        <v>0</v>
      </c>
      <c r="D18">
        <v>11</v>
      </c>
    </row>
    <row r="19" spans="1:4">
      <c r="A19" s="8">
        <v>15</v>
      </c>
      <c r="B19" s="15" t="s">
        <v>121</v>
      </c>
      <c r="C19">
        <f>'DMC Threads - By Number'!E24</f>
        <v>0</v>
      </c>
      <c r="D19">
        <v>11</v>
      </c>
    </row>
    <row r="20" spans="1:4">
      <c r="A20" s="8">
        <v>16</v>
      </c>
      <c r="B20" s="2" t="s">
        <v>693</v>
      </c>
      <c r="C20">
        <f>'DMC Threads - By Number'!E25</f>
        <v>0</v>
      </c>
      <c r="D20">
        <v>11</v>
      </c>
    </row>
    <row r="21" spans="1:4">
      <c r="A21" s="8">
        <v>17</v>
      </c>
      <c r="B21" s="2" t="s">
        <v>692</v>
      </c>
      <c r="C21">
        <f>'DMC Threads - By Number'!E26</f>
        <v>0</v>
      </c>
      <c r="D21">
        <v>13</v>
      </c>
    </row>
    <row r="22" spans="1:4">
      <c r="A22" s="8">
        <v>18</v>
      </c>
      <c r="B22" s="15" t="s">
        <v>122</v>
      </c>
      <c r="C22">
        <f>'DMC Threads - By Number'!E27</f>
        <v>0</v>
      </c>
      <c r="D22">
        <v>13</v>
      </c>
    </row>
    <row r="23" spans="1:4">
      <c r="A23" s="8">
        <v>19</v>
      </c>
      <c r="B23" s="2" t="s">
        <v>713</v>
      </c>
      <c r="C23">
        <f>'DMC Threads - By Number'!E28</f>
        <v>0</v>
      </c>
      <c r="D23">
        <v>14</v>
      </c>
    </row>
    <row r="24" spans="1:4">
      <c r="A24" s="8">
        <v>20</v>
      </c>
      <c r="B24" s="15" t="s">
        <v>123</v>
      </c>
      <c r="C24">
        <f>'DMC Threads - By Number'!E29</f>
        <v>0</v>
      </c>
      <c r="D24">
        <v>17</v>
      </c>
    </row>
    <row r="25" spans="1:4">
      <c r="A25" s="8">
        <v>21</v>
      </c>
      <c r="B25" s="2" t="s">
        <v>712</v>
      </c>
      <c r="C25">
        <f>'DMC Threads - By Number'!E30</f>
        <v>0</v>
      </c>
      <c r="D25">
        <v>17</v>
      </c>
    </row>
    <row r="26" spans="1:4">
      <c r="A26" s="8">
        <v>22</v>
      </c>
      <c r="B26" s="15" t="s">
        <v>124</v>
      </c>
      <c r="C26">
        <f>'DMC Threads - By Number'!E31</f>
        <v>0</v>
      </c>
      <c r="D26">
        <v>17</v>
      </c>
    </row>
    <row r="27" spans="1:4">
      <c r="A27" s="8">
        <v>23</v>
      </c>
      <c r="B27" s="15" t="s">
        <v>125</v>
      </c>
      <c r="C27">
        <f>'DMC Threads - By Number'!E32</f>
        <v>0</v>
      </c>
      <c r="D27">
        <v>3</v>
      </c>
    </row>
    <row r="28" spans="1:4">
      <c r="A28" s="8">
        <v>24</v>
      </c>
      <c r="B28" s="15" t="s">
        <v>126</v>
      </c>
      <c r="C28">
        <f>'DMC Threads - By Number'!E33</f>
        <v>0</v>
      </c>
      <c r="D28">
        <v>4</v>
      </c>
    </row>
    <row r="29" spans="1:4">
      <c r="A29" s="8">
        <v>25</v>
      </c>
      <c r="B29" s="2" t="s">
        <v>711</v>
      </c>
      <c r="C29">
        <f>'DMC Threads - By Number'!E34</f>
        <v>0</v>
      </c>
      <c r="D29">
        <v>4</v>
      </c>
    </row>
    <row r="30" spans="1:4">
      <c r="A30" s="8">
        <v>26</v>
      </c>
      <c r="B30" s="2" t="s">
        <v>710</v>
      </c>
      <c r="C30">
        <f>'DMC Threads - By Number'!E35</f>
        <v>0</v>
      </c>
      <c r="D30">
        <v>4</v>
      </c>
    </row>
    <row r="31" spans="1:4">
      <c r="A31" s="8">
        <v>27</v>
      </c>
      <c r="B31" s="15" t="s">
        <v>127</v>
      </c>
      <c r="C31">
        <f>'DMC Threads - By Number'!E36</f>
        <v>0</v>
      </c>
      <c r="D31">
        <v>5</v>
      </c>
    </row>
    <row r="32" spans="1:4">
      <c r="A32" s="8">
        <v>28</v>
      </c>
      <c r="B32" s="2" t="s">
        <v>709</v>
      </c>
      <c r="C32">
        <f>'DMC Threads - By Number'!E37</f>
        <v>0</v>
      </c>
      <c r="D32">
        <v>5</v>
      </c>
    </row>
    <row r="33" spans="1:4">
      <c r="A33" s="8">
        <v>29</v>
      </c>
      <c r="B33" s="15" t="s">
        <v>128</v>
      </c>
      <c r="C33">
        <f>'DMC Threads - By Number'!E38</f>
        <v>0</v>
      </c>
      <c r="D33">
        <v>5</v>
      </c>
    </row>
    <row r="34" spans="1:4">
      <c r="A34" s="8">
        <v>30</v>
      </c>
      <c r="B34" s="2" t="s">
        <v>708</v>
      </c>
      <c r="C34">
        <f>'DMC Threads - By Number'!E39</f>
        <v>0</v>
      </c>
      <c r="D34">
        <v>5</v>
      </c>
    </row>
    <row r="35" spans="1:4">
      <c r="A35" s="8">
        <v>31</v>
      </c>
      <c r="B35" s="15" t="s">
        <v>129</v>
      </c>
      <c r="C35">
        <f>'DMC Threads - By Number'!E40</f>
        <v>0</v>
      </c>
      <c r="D35">
        <v>5</v>
      </c>
    </row>
    <row r="36" spans="1:4">
      <c r="A36" s="8">
        <v>32</v>
      </c>
      <c r="B36" s="2" t="s">
        <v>707</v>
      </c>
      <c r="C36">
        <f>'DMC Threads - By Number'!E41</f>
        <v>0</v>
      </c>
      <c r="D36">
        <v>5</v>
      </c>
    </row>
    <row r="37" spans="1:4">
      <c r="A37" s="8">
        <v>33</v>
      </c>
      <c r="B37" s="15" t="s">
        <v>130</v>
      </c>
      <c r="C37">
        <f>'DMC Threads - By Number'!E42</f>
        <v>0</v>
      </c>
      <c r="D37">
        <v>3</v>
      </c>
    </row>
    <row r="38" spans="1:4">
      <c r="A38" s="8">
        <v>34</v>
      </c>
      <c r="B38" s="2" t="s">
        <v>706</v>
      </c>
      <c r="C38">
        <f>'DMC Threads - By Number'!E43</f>
        <v>0</v>
      </c>
      <c r="D38">
        <v>3</v>
      </c>
    </row>
    <row r="39" spans="1:4">
      <c r="A39" s="8">
        <v>35</v>
      </c>
      <c r="B39" s="2" t="s">
        <v>705</v>
      </c>
      <c r="C39">
        <f>'DMC Threads - By Number'!E44</f>
        <v>0</v>
      </c>
      <c r="D39">
        <v>3</v>
      </c>
    </row>
    <row r="40" spans="1:4">
      <c r="A40" s="8">
        <v>150</v>
      </c>
      <c r="B40" s="2" t="s">
        <v>456</v>
      </c>
      <c r="C40">
        <f>'DMC Threads - By Number'!E45</f>
        <v>0</v>
      </c>
      <c r="D40">
        <v>2</v>
      </c>
    </row>
    <row r="41" spans="1:4">
      <c r="A41" s="8">
        <v>151</v>
      </c>
      <c r="B41" s="2" t="s">
        <v>50</v>
      </c>
      <c r="C41">
        <f>'DMC Threads - By Number'!E46</f>
        <v>0</v>
      </c>
      <c r="D41">
        <v>2</v>
      </c>
    </row>
    <row r="42" spans="1:4">
      <c r="A42" s="8">
        <v>152</v>
      </c>
      <c r="B42" s="2" t="s">
        <v>369</v>
      </c>
      <c r="C42">
        <f>'DMC Threads - By Number'!E47</f>
        <v>0</v>
      </c>
      <c r="D42">
        <v>16</v>
      </c>
    </row>
    <row r="43" spans="1:4">
      <c r="A43" s="8">
        <v>153</v>
      </c>
      <c r="B43" s="2" t="s">
        <v>52</v>
      </c>
      <c r="C43">
        <f>'DMC Threads - By Number'!E48</f>
        <v>0</v>
      </c>
      <c r="D43">
        <v>4</v>
      </c>
    </row>
    <row r="44" spans="1:4">
      <c r="A44" s="8">
        <v>154</v>
      </c>
      <c r="B44" s="2" t="s">
        <v>440</v>
      </c>
      <c r="C44">
        <f>'DMC Threads - By Number'!E49</f>
        <v>0</v>
      </c>
      <c r="D44">
        <v>4</v>
      </c>
    </row>
    <row r="45" spans="1:4">
      <c r="A45" s="8">
        <v>155</v>
      </c>
      <c r="B45" s="2" t="s">
        <v>53</v>
      </c>
      <c r="C45">
        <f>'DMC Threads - By Number'!E50</f>
        <v>0</v>
      </c>
      <c r="D45">
        <v>5</v>
      </c>
    </row>
    <row r="46" spans="1:4">
      <c r="A46" s="8">
        <v>156</v>
      </c>
      <c r="B46" s="2" t="s">
        <v>469</v>
      </c>
      <c r="C46">
        <f>'DMC Threads - By Number'!E51</f>
        <v>0</v>
      </c>
      <c r="D46">
        <v>5</v>
      </c>
    </row>
    <row r="47" spans="1:4">
      <c r="A47" s="8">
        <v>157</v>
      </c>
      <c r="B47" s="2" t="s">
        <v>612</v>
      </c>
      <c r="C47">
        <f>'DMC Threads - By Number'!E52</f>
        <v>0</v>
      </c>
      <c r="D47">
        <v>5</v>
      </c>
    </row>
    <row r="48" spans="1:4">
      <c r="A48" s="8">
        <v>158</v>
      </c>
      <c r="B48" s="2" t="s">
        <v>377</v>
      </c>
      <c r="C48">
        <f>'DMC Threads - By Number'!E53</f>
        <v>0</v>
      </c>
      <c r="D48">
        <v>5</v>
      </c>
    </row>
    <row r="49" spans="1:4">
      <c r="A49" s="8">
        <v>159</v>
      </c>
      <c r="B49" s="2" t="s">
        <v>633</v>
      </c>
      <c r="C49">
        <f>'DMC Threads - By Number'!E54</f>
        <v>0</v>
      </c>
      <c r="D49">
        <v>7</v>
      </c>
    </row>
    <row r="50" spans="1:4">
      <c r="A50" s="8">
        <v>160</v>
      </c>
      <c r="B50" s="2" t="s">
        <v>517</v>
      </c>
      <c r="C50">
        <f>'DMC Threads - By Number'!E55</f>
        <v>0</v>
      </c>
      <c r="D50">
        <v>7</v>
      </c>
    </row>
    <row r="51" spans="1:4">
      <c r="A51" s="8">
        <v>161</v>
      </c>
      <c r="B51" s="2" t="s">
        <v>379</v>
      </c>
      <c r="C51">
        <f>'DMC Threads - By Number'!E56</f>
        <v>0</v>
      </c>
      <c r="D51">
        <v>7</v>
      </c>
    </row>
    <row r="52" spans="1:4">
      <c r="A52" s="8">
        <v>162</v>
      </c>
      <c r="B52" s="2" t="s">
        <v>595</v>
      </c>
      <c r="C52">
        <f>'DMC Threads - By Number'!E57</f>
        <v>0</v>
      </c>
      <c r="D52">
        <v>6</v>
      </c>
    </row>
    <row r="53" spans="1:4">
      <c r="A53" s="8">
        <v>163</v>
      </c>
      <c r="B53" s="2" t="s">
        <v>55</v>
      </c>
      <c r="C53">
        <f>'DMC Threads - By Number'!E58</f>
        <v>0</v>
      </c>
      <c r="D53">
        <v>9</v>
      </c>
    </row>
    <row r="54" spans="1:4">
      <c r="A54" s="8">
        <v>164</v>
      </c>
      <c r="B54" s="2" t="s">
        <v>584</v>
      </c>
      <c r="C54">
        <f>'DMC Threads - By Number'!E59</f>
        <v>0</v>
      </c>
      <c r="D54">
        <v>10</v>
      </c>
    </row>
    <row r="55" spans="1:4">
      <c r="A55" s="8">
        <v>165</v>
      </c>
      <c r="B55" s="2" t="s">
        <v>457</v>
      </c>
      <c r="C55">
        <f>'DMC Threads - By Number'!E60</f>
        <v>0</v>
      </c>
      <c r="D55">
        <v>12</v>
      </c>
    </row>
    <row r="56" spans="1:4">
      <c r="A56" s="8">
        <v>166</v>
      </c>
      <c r="B56" s="2" t="s">
        <v>56</v>
      </c>
      <c r="C56">
        <f>'DMC Threads - By Number'!E61</f>
        <v>0</v>
      </c>
      <c r="D56">
        <v>12</v>
      </c>
    </row>
    <row r="57" spans="1:4">
      <c r="A57" s="8">
        <v>167</v>
      </c>
      <c r="B57" s="2" t="s">
        <v>57</v>
      </c>
      <c r="C57">
        <f>'DMC Threads - By Number'!E62</f>
        <v>0</v>
      </c>
      <c r="D57">
        <v>13</v>
      </c>
    </row>
    <row r="58" spans="1:4">
      <c r="A58" s="8">
        <v>168</v>
      </c>
      <c r="B58" s="2" t="s">
        <v>59</v>
      </c>
      <c r="C58">
        <f>'DMC Threads - By Number'!E63</f>
        <v>0</v>
      </c>
      <c r="D58">
        <v>20</v>
      </c>
    </row>
    <row r="59" spans="1:4">
      <c r="A59" s="8">
        <v>169</v>
      </c>
      <c r="B59" s="2" t="s">
        <v>49</v>
      </c>
      <c r="C59">
        <f>'DMC Threads - By Number'!E64</f>
        <v>0</v>
      </c>
      <c r="D59">
        <v>20</v>
      </c>
    </row>
    <row r="60" spans="1:4">
      <c r="A60" s="8">
        <v>208</v>
      </c>
      <c r="B60" s="2" t="s">
        <v>429</v>
      </c>
      <c r="C60">
        <f>'DMC Threads - By Number'!E65</f>
        <v>0</v>
      </c>
      <c r="D60">
        <v>4</v>
      </c>
    </row>
    <row r="61" spans="1:4">
      <c r="A61" s="8">
        <v>209</v>
      </c>
      <c r="B61" s="2" t="s">
        <v>392</v>
      </c>
      <c r="C61">
        <f>'DMC Threads - By Number'!E66</f>
        <v>0</v>
      </c>
      <c r="D61">
        <v>4</v>
      </c>
    </row>
    <row r="62" spans="1:4">
      <c r="A62" s="8">
        <v>210</v>
      </c>
      <c r="B62" s="2" t="s">
        <v>530</v>
      </c>
      <c r="C62">
        <f>'DMC Threads - By Number'!E67</f>
        <v>0</v>
      </c>
      <c r="D62">
        <v>4</v>
      </c>
    </row>
    <row r="63" spans="1:4">
      <c r="A63" s="8">
        <v>211</v>
      </c>
      <c r="B63" s="2" t="s">
        <v>653</v>
      </c>
      <c r="C63">
        <f>'DMC Threads - By Number'!E68</f>
        <v>0</v>
      </c>
      <c r="D63">
        <v>4</v>
      </c>
    </row>
    <row r="64" spans="1:4">
      <c r="A64" s="8">
        <v>221</v>
      </c>
      <c r="B64" s="2" t="s">
        <v>449</v>
      </c>
      <c r="C64">
        <f>'DMC Threads - By Number'!E69</f>
        <v>0</v>
      </c>
      <c r="D64">
        <v>16</v>
      </c>
    </row>
    <row r="65" spans="1:4">
      <c r="A65" s="8">
        <v>223</v>
      </c>
      <c r="B65" s="2" t="s">
        <v>581</v>
      </c>
      <c r="C65">
        <f>'DMC Threads - By Number'!E70</f>
        <v>0</v>
      </c>
      <c r="D65">
        <v>16</v>
      </c>
    </row>
    <row r="66" spans="1:4">
      <c r="A66" s="8">
        <v>224</v>
      </c>
      <c r="B66" s="2" t="s">
        <v>659</v>
      </c>
      <c r="C66">
        <f>'DMC Threads - By Number'!E71</f>
        <v>0</v>
      </c>
      <c r="D66">
        <v>16</v>
      </c>
    </row>
    <row r="67" spans="1:4" ht="17" thickBot="1">
      <c r="A67" s="8">
        <v>225</v>
      </c>
      <c r="B67" s="4" t="s">
        <v>686</v>
      </c>
      <c r="C67">
        <f>'DMC Threads - By Number'!E72</f>
        <v>0</v>
      </c>
      <c r="D67">
        <v>16</v>
      </c>
    </row>
    <row r="68" spans="1:4">
      <c r="A68" s="8">
        <v>300</v>
      </c>
      <c r="B68" s="14" t="s">
        <v>402</v>
      </c>
      <c r="C68">
        <f>'DMC Threads - By Number'!J6</f>
        <v>0</v>
      </c>
      <c r="D68">
        <v>16</v>
      </c>
    </row>
    <row r="69" spans="1:4">
      <c r="A69" s="8">
        <v>301</v>
      </c>
      <c r="B69" s="2" t="s">
        <v>462</v>
      </c>
      <c r="C69">
        <f>'DMC Threads - By Number'!J7</f>
        <v>0</v>
      </c>
      <c r="D69">
        <v>16</v>
      </c>
    </row>
    <row r="70" spans="1:4">
      <c r="A70" s="8">
        <v>304</v>
      </c>
      <c r="B70" s="2" t="s">
        <v>463</v>
      </c>
      <c r="C70">
        <f>'DMC Threads - By Number'!J8</f>
        <v>0</v>
      </c>
      <c r="D70">
        <v>1</v>
      </c>
    </row>
    <row r="71" spans="1:4">
      <c r="A71" s="8">
        <v>307</v>
      </c>
      <c r="B71" s="2" t="s">
        <v>2</v>
      </c>
      <c r="C71">
        <f>'DMC Threads - By Number'!J9</f>
        <v>0</v>
      </c>
      <c r="D71">
        <v>15</v>
      </c>
    </row>
    <row r="72" spans="1:4">
      <c r="A72" s="8">
        <v>309</v>
      </c>
      <c r="B72" s="2" t="s">
        <v>320</v>
      </c>
      <c r="C72">
        <f>'DMC Threads - By Number'!J10</f>
        <v>0</v>
      </c>
      <c r="D72">
        <v>2</v>
      </c>
    </row>
    <row r="73" spans="1:4">
      <c r="A73" s="8">
        <v>310</v>
      </c>
      <c r="B73" s="2" t="s">
        <v>3</v>
      </c>
      <c r="C73">
        <f>'DMC Threads - By Number'!J11</f>
        <v>0</v>
      </c>
      <c r="D73">
        <v>20</v>
      </c>
    </row>
    <row r="74" spans="1:4">
      <c r="A74" s="8">
        <v>311</v>
      </c>
      <c r="B74" s="2" t="s">
        <v>469</v>
      </c>
      <c r="C74">
        <f>'DMC Threads - By Number'!J12</f>
        <v>0</v>
      </c>
      <c r="D74">
        <v>8</v>
      </c>
    </row>
    <row r="75" spans="1:4">
      <c r="A75" s="8">
        <v>312</v>
      </c>
      <c r="B75" s="2" t="s">
        <v>406</v>
      </c>
      <c r="C75">
        <f>'DMC Threads - By Number'!J13</f>
        <v>0</v>
      </c>
      <c r="D75">
        <v>7</v>
      </c>
    </row>
    <row r="76" spans="1:4">
      <c r="A76" s="8">
        <v>315</v>
      </c>
      <c r="B76" s="2" t="s">
        <v>472</v>
      </c>
      <c r="C76">
        <f>'DMC Threads - By Number'!J14</f>
        <v>0</v>
      </c>
      <c r="D76">
        <v>4</v>
      </c>
    </row>
    <row r="77" spans="1:4">
      <c r="A77" s="8">
        <v>316</v>
      </c>
      <c r="B77" s="2" t="s">
        <v>474</v>
      </c>
      <c r="C77">
        <f>'DMC Threads - By Number'!J15</f>
        <v>0</v>
      </c>
      <c r="D77">
        <v>4</v>
      </c>
    </row>
    <row r="78" spans="1:4">
      <c r="A78" s="8">
        <v>317</v>
      </c>
      <c r="B78" s="2" t="s">
        <v>49</v>
      </c>
      <c r="C78">
        <f>'DMC Threads - By Number'!J16</f>
        <v>0</v>
      </c>
      <c r="D78">
        <v>20</v>
      </c>
    </row>
    <row r="79" spans="1:4">
      <c r="A79" s="8">
        <v>318</v>
      </c>
      <c r="B79" s="2" t="s">
        <v>557</v>
      </c>
      <c r="C79">
        <f>'DMC Threads - By Number'!J17</f>
        <v>0</v>
      </c>
      <c r="D79">
        <v>20</v>
      </c>
    </row>
    <row r="80" spans="1:4">
      <c r="A80" s="8">
        <v>319</v>
      </c>
      <c r="B80" s="2" t="s">
        <v>413</v>
      </c>
      <c r="C80">
        <f>'DMC Threads - By Number'!J18</f>
        <v>0</v>
      </c>
      <c r="D80">
        <v>10</v>
      </c>
    </row>
    <row r="81" spans="1:4">
      <c r="A81" s="8">
        <v>320</v>
      </c>
      <c r="B81" s="2" t="s">
        <v>480</v>
      </c>
      <c r="C81">
        <f>'DMC Threads - By Number'!J19</f>
        <v>0</v>
      </c>
      <c r="D81">
        <v>10</v>
      </c>
    </row>
    <row r="82" spans="1:4">
      <c r="A82" s="8">
        <v>321</v>
      </c>
      <c r="B82" s="2" t="s">
        <v>51</v>
      </c>
      <c r="C82">
        <f>'DMC Threads - By Number'!J20</f>
        <v>0</v>
      </c>
      <c r="D82">
        <v>1</v>
      </c>
    </row>
    <row r="83" spans="1:4">
      <c r="A83" s="8">
        <v>322</v>
      </c>
      <c r="B83" s="2" t="s">
        <v>43</v>
      </c>
      <c r="C83">
        <f>'DMC Threads - By Number'!J21</f>
        <v>0</v>
      </c>
      <c r="D83">
        <v>7</v>
      </c>
    </row>
    <row r="84" spans="1:4">
      <c r="A84" s="8">
        <v>326</v>
      </c>
      <c r="B84" s="2" t="s">
        <v>418</v>
      </c>
      <c r="C84">
        <f>'DMC Threads - By Number'!J22</f>
        <v>0</v>
      </c>
      <c r="D84">
        <v>2</v>
      </c>
    </row>
    <row r="85" spans="1:4">
      <c r="A85" s="8">
        <v>327</v>
      </c>
      <c r="B85" s="2" t="s">
        <v>12</v>
      </c>
      <c r="C85">
        <f>'DMC Threads - By Number'!J23</f>
        <v>0</v>
      </c>
      <c r="D85">
        <v>4</v>
      </c>
    </row>
    <row r="86" spans="1:4">
      <c r="A86" s="8">
        <v>333</v>
      </c>
      <c r="B86" s="2" t="s">
        <v>419</v>
      </c>
      <c r="C86">
        <f>'DMC Threads - By Number'!J24</f>
        <v>0</v>
      </c>
      <c r="D86">
        <v>5</v>
      </c>
    </row>
    <row r="87" spans="1:4">
      <c r="A87" s="8">
        <v>334</v>
      </c>
      <c r="B87" s="2" t="s">
        <v>489</v>
      </c>
      <c r="C87">
        <f>'DMC Threads - By Number'!J25</f>
        <v>0</v>
      </c>
      <c r="D87">
        <v>7</v>
      </c>
    </row>
    <row r="88" spans="1:4">
      <c r="A88" s="8">
        <v>335</v>
      </c>
      <c r="B88" s="2" t="s">
        <v>4</v>
      </c>
      <c r="C88">
        <f>'DMC Threads - By Number'!J26</f>
        <v>0</v>
      </c>
      <c r="D88">
        <v>2</v>
      </c>
    </row>
    <row r="89" spans="1:4">
      <c r="A89" s="8">
        <v>336</v>
      </c>
      <c r="B89" s="2" t="s">
        <v>54</v>
      </c>
      <c r="C89">
        <f>'DMC Threads - By Number'!J27</f>
        <v>0</v>
      </c>
      <c r="D89">
        <v>7</v>
      </c>
    </row>
    <row r="90" spans="1:4">
      <c r="A90" s="8">
        <v>340</v>
      </c>
      <c r="B90" s="2" t="s">
        <v>492</v>
      </c>
      <c r="C90">
        <f>'DMC Threads - By Number'!J28</f>
        <v>0</v>
      </c>
      <c r="D90">
        <v>5</v>
      </c>
    </row>
    <row r="91" spans="1:4">
      <c r="A91" s="8">
        <v>341</v>
      </c>
      <c r="B91" s="2" t="s">
        <v>583</v>
      </c>
      <c r="C91">
        <f>'DMC Threads - By Number'!J29</f>
        <v>0</v>
      </c>
      <c r="D91">
        <v>5</v>
      </c>
    </row>
    <row r="92" spans="1:4">
      <c r="A92" s="8">
        <v>347</v>
      </c>
      <c r="B92" s="2" t="s">
        <v>424</v>
      </c>
      <c r="C92">
        <f>'DMC Threads - By Number'!J30</f>
        <v>0</v>
      </c>
      <c r="D92">
        <v>1</v>
      </c>
    </row>
    <row r="93" spans="1:4">
      <c r="A93" s="8">
        <v>349</v>
      </c>
      <c r="B93" s="2" t="s">
        <v>342</v>
      </c>
      <c r="C93">
        <f>'DMC Threads - By Number'!J31</f>
        <v>0</v>
      </c>
      <c r="D93">
        <v>1</v>
      </c>
    </row>
    <row r="94" spans="1:4">
      <c r="A94" s="8">
        <v>350</v>
      </c>
      <c r="B94" s="2" t="s">
        <v>498</v>
      </c>
      <c r="C94">
        <f>'DMC Threads - By Number'!J32</f>
        <v>0</v>
      </c>
      <c r="D94">
        <v>1</v>
      </c>
    </row>
    <row r="95" spans="1:4">
      <c r="A95" s="8">
        <v>351</v>
      </c>
      <c r="B95" s="2" t="s">
        <v>5</v>
      </c>
      <c r="C95">
        <f>'DMC Threads - By Number'!J33</f>
        <v>0</v>
      </c>
      <c r="D95">
        <v>1</v>
      </c>
    </row>
    <row r="96" spans="1:4">
      <c r="A96" s="8">
        <v>352</v>
      </c>
      <c r="B96" s="2" t="s">
        <v>593</v>
      </c>
      <c r="C96">
        <f>'DMC Threads - By Number'!J34</f>
        <v>0</v>
      </c>
      <c r="D96">
        <v>1</v>
      </c>
    </row>
    <row r="97" spans="1:4">
      <c r="A97" s="8">
        <v>353</v>
      </c>
      <c r="B97" s="2" t="s">
        <v>58</v>
      </c>
      <c r="C97">
        <f>'DMC Threads - By Number'!J35</f>
        <v>0</v>
      </c>
      <c r="D97">
        <v>1</v>
      </c>
    </row>
    <row r="98" spans="1:4">
      <c r="A98" s="8">
        <v>355</v>
      </c>
      <c r="B98" s="2" t="s">
        <v>349</v>
      </c>
      <c r="C98">
        <f>'DMC Threads - By Number'!J36</f>
        <v>0</v>
      </c>
      <c r="D98">
        <v>17</v>
      </c>
    </row>
    <row r="99" spans="1:4">
      <c r="A99" s="8">
        <v>356</v>
      </c>
      <c r="B99" s="2" t="s">
        <v>501</v>
      </c>
      <c r="C99">
        <f>'DMC Threads - By Number'!J37</f>
        <v>0</v>
      </c>
      <c r="D99">
        <v>17</v>
      </c>
    </row>
    <row r="100" spans="1:4">
      <c r="A100" s="8">
        <v>367</v>
      </c>
      <c r="B100" s="2" t="s">
        <v>354</v>
      </c>
      <c r="C100">
        <f>'DMC Threads - By Number'!J38</f>
        <v>0</v>
      </c>
      <c r="D100">
        <v>10</v>
      </c>
    </row>
    <row r="101" spans="1:4">
      <c r="A101" s="8">
        <v>368</v>
      </c>
      <c r="B101" s="2" t="s">
        <v>605</v>
      </c>
      <c r="C101">
        <f>'DMC Threads - By Number'!J39</f>
        <v>0</v>
      </c>
      <c r="D101">
        <v>10</v>
      </c>
    </row>
    <row r="102" spans="1:4">
      <c r="A102" s="8">
        <v>369</v>
      </c>
      <c r="B102" s="2" t="s">
        <v>607</v>
      </c>
      <c r="C102">
        <f>'DMC Threads - By Number'!J40</f>
        <v>0</v>
      </c>
      <c r="D102">
        <v>10</v>
      </c>
    </row>
    <row r="103" spans="1:4">
      <c r="A103" s="8">
        <v>370</v>
      </c>
      <c r="B103" s="2" t="s">
        <v>505</v>
      </c>
      <c r="C103">
        <f>'DMC Threads - By Number'!J41</f>
        <v>0</v>
      </c>
      <c r="D103">
        <v>12</v>
      </c>
    </row>
    <row r="104" spans="1:4">
      <c r="A104" s="8">
        <v>371</v>
      </c>
      <c r="B104" s="2" t="s">
        <v>6</v>
      </c>
      <c r="C104">
        <f>'DMC Threads - By Number'!J42</f>
        <v>0</v>
      </c>
      <c r="D104">
        <v>12</v>
      </c>
    </row>
    <row r="105" spans="1:4">
      <c r="A105" s="8">
        <v>372</v>
      </c>
      <c r="B105" s="2" t="s">
        <v>611</v>
      </c>
      <c r="C105">
        <f>'DMC Threads - By Number'!J43</f>
        <v>0</v>
      </c>
      <c r="D105">
        <v>12</v>
      </c>
    </row>
    <row r="106" spans="1:4">
      <c r="A106" s="8">
        <v>400</v>
      </c>
      <c r="B106" s="2" t="s">
        <v>363</v>
      </c>
      <c r="C106">
        <f>'DMC Threads - By Number'!J44</f>
        <v>0</v>
      </c>
      <c r="D106">
        <v>16</v>
      </c>
    </row>
    <row r="107" spans="1:4">
      <c r="A107" s="8">
        <v>402</v>
      </c>
      <c r="B107" s="2" t="s">
        <v>614</v>
      </c>
      <c r="C107">
        <f>'DMC Threads - By Number'!J45</f>
        <v>0</v>
      </c>
      <c r="D107">
        <v>16</v>
      </c>
    </row>
    <row r="108" spans="1:4">
      <c r="A108" s="8">
        <v>407</v>
      </c>
      <c r="B108" s="2" t="s">
        <v>368</v>
      </c>
      <c r="C108">
        <f>'DMC Threads - By Number'!J46</f>
        <v>0</v>
      </c>
      <c r="D108">
        <v>17</v>
      </c>
    </row>
    <row r="109" spans="1:4">
      <c r="A109" s="8">
        <v>413</v>
      </c>
      <c r="B109" s="2" t="s">
        <v>370</v>
      </c>
      <c r="C109">
        <f>'DMC Threads - By Number'!J47</f>
        <v>0</v>
      </c>
      <c r="D109">
        <v>20</v>
      </c>
    </row>
    <row r="110" spans="1:4">
      <c r="A110" s="8">
        <v>414</v>
      </c>
      <c r="B110" s="2" t="s">
        <v>371</v>
      </c>
      <c r="C110">
        <f>'DMC Threads - By Number'!J48</f>
        <v>0</v>
      </c>
      <c r="D110">
        <v>20</v>
      </c>
    </row>
    <row r="111" spans="1:4">
      <c r="A111" s="8">
        <v>415</v>
      </c>
      <c r="B111" s="2" t="s">
        <v>60</v>
      </c>
      <c r="C111">
        <f>'DMC Threads - By Number'!J49</f>
        <v>0</v>
      </c>
      <c r="D111">
        <v>20</v>
      </c>
    </row>
    <row r="112" spans="1:4">
      <c r="A112" s="8">
        <v>420</v>
      </c>
      <c r="B112" s="2" t="s">
        <v>374</v>
      </c>
      <c r="C112">
        <f>'DMC Threads - By Number'!J50</f>
        <v>0</v>
      </c>
      <c r="D112">
        <v>13</v>
      </c>
    </row>
    <row r="113" spans="1:4">
      <c r="A113" s="8">
        <v>422</v>
      </c>
      <c r="B113" s="2" t="s">
        <v>626</v>
      </c>
      <c r="C113">
        <f>'DMC Threads - By Number'!J51</f>
        <v>0</v>
      </c>
      <c r="D113">
        <v>13</v>
      </c>
    </row>
    <row r="114" spans="1:4">
      <c r="A114" s="8">
        <v>433</v>
      </c>
      <c r="B114" s="2" t="s">
        <v>515</v>
      </c>
      <c r="C114">
        <f>'DMC Threads - By Number'!J52</f>
        <v>0</v>
      </c>
      <c r="D114">
        <v>18</v>
      </c>
    </row>
    <row r="115" spans="1:4">
      <c r="A115" s="8">
        <v>434</v>
      </c>
      <c r="B115" s="2" t="s">
        <v>631</v>
      </c>
      <c r="C115">
        <f>'DMC Threads - By Number'!J53</f>
        <v>0</v>
      </c>
      <c r="D115">
        <v>18</v>
      </c>
    </row>
    <row r="116" spans="1:4">
      <c r="A116" s="8">
        <v>435</v>
      </c>
      <c r="B116" s="2" t="s">
        <v>634</v>
      </c>
      <c r="C116">
        <f>'DMC Threads - By Number'!J54</f>
        <v>0</v>
      </c>
      <c r="D116">
        <v>18</v>
      </c>
    </row>
    <row r="117" spans="1:4">
      <c r="A117" s="8">
        <v>436</v>
      </c>
      <c r="B117" s="2" t="s">
        <v>7</v>
      </c>
      <c r="C117">
        <f>'DMC Threads - By Number'!J55</f>
        <v>0</v>
      </c>
      <c r="D117">
        <v>18</v>
      </c>
    </row>
    <row r="118" spans="1:4">
      <c r="A118" s="8">
        <v>437</v>
      </c>
      <c r="B118" s="2" t="s">
        <v>636</v>
      </c>
      <c r="C118">
        <f>'DMC Threads - By Number'!J56</f>
        <v>0</v>
      </c>
      <c r="D118">
        <v>18</v>
      </c>
    </row>
    <row r="119" spans="1:4">
      <c r="A119" s="8">
        <v>444</v>
      </c>
      <c r="B119" s="2" t="s">
        <v>383</v>
      </c>
      <c r="C119">
        <f>'DMC Threads - By Number'!J57</f>
        <v>0</v>
      </c>
      <c r="D119">
        <v>15</v>
      </c>
    </row>
    <row r="120" spans="1:4">
      <c r="A120" s="8">
        <v>445</v>
      </c>
      <c r="B120" s="2" t="s">
        <v>601</v>
      </c>
      <c r="C120">
        <f>'DMC Threads - By Number'!J58</f>
        <v>0</v>
      </c>
      <c r="D120">
        <v>15</v>
      </c>
    </row>
    <row r="121" spans="1:4">
      <c r="A121" s="8">
        <v>451</v>
      </c>
      <c r="B121" s="2" t="s">
        <v>385</v>
      </c>
      <c r="C121">
        <f>'DMC Threads - By Number'!J59</f>
        <v>0</v>
      </c>
      <c r="D121">
        <v>18</v>
      </c>
    </row>
    <row r="122" spans="1:4">
      <c r="A122" s="8">
        <v>452</v>
      </c>
      <c r="B122" s="2" t="s">
        <v>522</v>
      </c>
      <c r="C122">
        <f>'DMC Threads - By Number'!J60</f>
        <v>0</v>
      </c>
      <c r="D122">
        <v>18</v>
      </c>
    </row>
    <row r="123" spans="1:4">
      <c r="A123" s="8">
        <v>453</v>
      </c>
      <c r="B123" s="2" t="s">
        <v>640</v>
      </c>
      <c r="C123">
        <f>'DMC Threads - By Number'!J61</f>
        <v>0</v>
      </c>
      <c r="D123">
        <v>18</v>
      </c>
    </row>
    <row r="124" spans="1:4">
      <c r="A124" s="8">
        <v>469</v>
      </c>
      <c r="B124" s="2" t="s">
        <v>8</v>
      </c>
      <c r="C124">
        <f>'DMC Threads - By Number'!J62</f>
        <v>0</v>
      </c>
      <c r="D124">
        <v>11</v>
      </c>
    </row>
    <row r="125" spans="1:4">
      <c r="A125" s="8">
        <v>470</v>
      </c>
      <c r="B125" s="2" t="s">
        <v>644</v>
      </c>
      <c r="C125">
        <f>'DMC Threads - By Number'!J63</f>
        <v>0</v>
      </c>
      <c r="D125">
        <v>11</v>
      </c>
    </row>
    <row r="126" spans="1:4">
      <c r="A126" s="8">
        <v>471</v>
      </c>
      <c r="B126" s="2" t="s">
        <v>647</v>
      </c>
      <c r="C126">
        <f>'DMC Threads - By Number'!J64</f>
        <v>0</v>
      </c>
      <c r="D126">
        <v>11</v>
      </c>
    </row>
    <row r="127" spans="1:4">
      <c r="A127" s="8">
        <v>472</v>
      </c>
      <c r="B127" s="2" t="s">
        <v>683</v>
      </c>
      <c r="C127">
        <f>'DMC Threads - By Number'!J65</f>
        <v>0</v>
      </c>
      <c r="D127">
        <v>11</v>
      </c>
    </row>
    <row r="128" spans="1:4">
      <c r="A128" s="8">
        <v>498</v>
      </c>
      <c r="B128" s="2" t="s">
        <v>393</v>
      </c>
      <c r="C128">
        <f>'DMC Threads - By Number'!J66</f>
        <v>0</v>
      </c>
      <c r="D128">
        <v>1</v>
      </c>
    </row>
    <row r="129" spans="1:4">
      <c r="A129" s="8">
        <v>500</v>
      </c>
      <c r="B129" s="2" t="s">
        <v>447</v>
      </c>
      <c r="C129">
        <f>'DMC Threads - By Number'!J67</f>
        <v>0</v>
      </c>
      <c r="D129">
        <v>9</v>
      </c>
    </row>
    <row r="130" spans="1:4">
      <c r="A130" s="8">
        <v>501</v>
      </c>
      <c r="B130" s="2" t="s">
        <v>395</v>
      </c>
      <c r="C130">
        <f>'DMC Threads - By Number'!J68</f>
        <v>0</v>
      </c>
      <c r="D130">
        <v>9</v>
      </c>
    </row>
    <row r="131" spans="1:4">
      <c r="A131" s="8">
        <v>502</v>
      </c>
      <c r="B131" s="2" t="s">
        <v>9</v>
      </c>
      <c r="C131">
        <f>'DMC Threads - By Number'!J69</f>
        <v>0</v>
      </c>
      <c r="D131">
        <v>9</v>
      </c>
    </row>
    <row r="132" spans="1:4">
      <c r="A132" s="8">
        <v>503</v>
      </c>
      <c r="B132" s="2" t="s">
        <v>534</v>
      </c>
      <c r="C132">
        <f>'DMC Threads - By Number'!J70</f>
        <v>0</v>
      </c>
      <c r="D132">
        <v>9</v>
      </c>
    </row>
    <row r="133" spans="1:4">
      <c r="A133" s="8">
        <v>504</v>
      </c>
      <c r="B133" s="2" t="s">
        <v>660</v>
      </c>
      <c r="C133">
        <f>'DMC Threads - By Number'!J71</f>
        <v>0</v>
      </c>
      <c r="D133" t="s">
        <v>1735</v>
      </c>
    </row>
    <row r="134" spans="1:4" ht="17" thickBot="1">
      <c r="A134" s="8">
        <v>505</v>
      </c>
      <c r="B134" s="4" t="s">
        <v>399</v>
      </c>
      <c r="C134">
        <f>'DMC Threads - By Number'!J72</f>
        <v>0</v>
      </c>
      <c r="D134">
        <v>9</v>
      </c>
    </row>
    <row r="135" spans="1:4">
      <c r="A135" s="8">
        <v>517</v>
      </c>
      <c r="B135" s="14" t="s">
        <v>315</v>
      </c>
      <c r="C135">
        <f>'DMC Threads - By Number'!O6</f>
        <v>0</v>
      </c>
      <c r="D135">
        <v>8</v>
      </c>
    </row>
    <row r="136" spans="1:4">
      <c r="A136" s="8">
        <v>518</v>
      </c>
      <c r="B136" s="2" t="s">
        <v>537</v>
      </c>
      <c r="C136">
        <f>'DMC Threads - By Number'!O7</f>
        <v>0</v>
      </c>
      <c r="D136">
        <v>8</v>
      </c>
    </row>
    <row r="137" spans="1:4">
      <c r="A137" s="8">
        <v>519</v>
      </c>
      <c r="B137" s="2" t="s">
        <v>10</v>
      </c>
      <c r="C137">
        <f>'DMC Threads - By Number'!O8</f>
        <v>0</v>
      </c>
      <c r="D137">
        <v>8</v>
      </c>
    </row>
    <row r="138" spans="1:4">
      <c r="A138" s="8">
        <v>520</v>
      </c>
      <c r="B138" s="2" t="s">
        <v>319</v>
      </c>
      <c r="C138">
        <f>'DMC Threads - By Number'!O9</f>
        <v>0</v>
      </c>
      <c r="D138">
        <v>12</v>
      </c>
    </row>
    <row r="139" spans="1:4">
      <c r="A139" s="8">
        <v>522</v>
      </c>
      <c r="B139" s="2" t="s">
        <v>11</v>
      </c>
      <c r="C139">
        <f>'DMC Threads - By Number'!O10</f>
        <v>0</v>
      </c>
      <c r="D139">
        <v>12</v>
      </c>
    </row>
    <row r="140" spans="1:4">
      <c r="A140" s="8">
        <v>523</v>
      </c>
      <c r="B140" s="2" t="s">
        <v>545</v>
      </c>
      <c r="C140">
        <f>'DMC Threads - By Number'!O11</f>
        <v>0</v>
      </c>
      <c r="D140">
        <v>12</v>
      </c>
    </row>
    <row r="141" spans="1:4">
      <c r="A141" s="8">
        <v>524</v>
      </c>
      <c r="B141" s="2" t="s">
        <v>547</v>
      </c>
      <c r="C141">
        <f>'DMC Threads - By Number'!O12</f>
        <v>0</v>
      </c>
      <c r="D141">
        <v>12</v>
      </c>
    </row>
    <row r="142" spans="1:4">
      <c r="A142" s="8">
        <v>535</v>
      </c>
      <c r="B142" s="2" t="s">
        <v>549</v>
      </c>
      <c r="C142">
        <f>'DMC Threads - By Number'!O13</f>
        <v>0</v>
      </c>
      <c r="D142">
        <v>20</v>
      </c>
    </row>
    <row r="143" spans="1:4">
      <c r="A143" s="8">
        <v>543</v>
      </c>
      <c r="B143" s="2" t="s">
        <v>667</v>
      </c>
      <c r="C143">
        <f>'DMC Threads - By Number'!O14</f>
        <v>0</v>
      </c>
      <c r="D143">
        <v>18</v>
      </c>
    </row>
    <row r="144" spans="1:4">
      <c r="A144" s="8">
        <v>550</v>
      </c>
      <c r="B144" s="2" t="s">
        <v>408</v>
      </c>
      <c r="C144">
        <f>'DMC Threads - By Number'!O15</f>
        <v>0</v>
      </c>
      <c r="D144">
        <v>4</v>
      </c>
    </row>
    <row r="145" spans="1:4">
      <c r="A145" s="8">
        <v>552</v>
      </c>
      <c r="B145" s="2" t="s">
        <v>476</v>
      </c>
      <c r="C145">
        <f>'DMC Threads - By Number'!O16</f>
        <v>0</v>
      </c>
      <c r="D145">
        <v>4</v>
      </c>
    </row>
    <row r="146" spans="1:4">
      <c r="A146" s="8">
        <v>553</v>
      </c>
      <c r="B146" s="2" t="s">
        <v>12</v>
      </c>
      <c r="C146">
        <f>'DMC Threads - By Number'!O17</f>
        <v>0</v>
      </c>
      <c r="D146">
        <v>4</v>
      </c>
    </row>
    <row r="147" spans="1:4">
      <c r="A147" s="8">
        <v>554</v>
      </c>
      <c r="B147" s="2" t="s">
        <v>558</v>
      </c>
      <c r="C147">
        <f>'DMC Threads - By Number'!O18</f>
        <v>0</v>
      </c>
      <c r="D147">
        <v>4</v>
      </c>
    </row>
    <row r="148" spans="1:4">
      <c r="A148" s="8">
        <v>561</v>
      </c>
      <c r="B148" s="2" t="s">
        <v>414</v>
      </c>
      <c r="C148">
        <f>'DMC Threads - By Number'!O19</f>
        <v>0</v>
      </c>
      <c r="D148">
        <v>9</v>
      </c>
    </row>
    <row r="149" spans="1:4">
      <c r="A149" s="8">
        <v>562</v>
      </c>
      <c r="B149" s="2" t="s">
        <v>482</v>
      </c>
      <c r="C149">
        <f>'DMC Threads - By Number'!O20</f>
        <v>0</v>
      </c>
      <c r="D149">
        <v>9</v>
      </c>
    </row>
    <row r="150" spans="1:4">
      <c r="A150" s="8">
        <v>563</v>
      </c>
      <c r="B150" s="2" t="s">
        <v>568</v>
      </c>
      <c r="C150">
        <f>'DMC Threads - By Number'!O21</f>
        <v>0</v>
      </c>
      <c r="D150">
        <v>9</v>
      </c>
    </row>
    <row r="151" spans="1:4">
      <c r="A151" s="8">
        <v>564</v>
      </c>
      <c r="B151" s="2" t="s">
        <v>570</v>
      </c>
      <c r="C151">
        <f>'DMC Threads - By Number'!O22</f>
        <v>0</v>
      </c>
      <c r="D151">
        <v>9</v>
      </c>
    </row>
    <row r="152" spans="1:4">
      <c r="A152" s="8">
        <v>580</v>
      </c>
      <c r="B152" s="2" t="s">
        <v>331</v>
      </c>
      <c r="C152">
        <f>'DMC Threads - By Number'!O23</f>
        <v>0</v>
      </c>
      <c r="D152">
        <v>12</v>
      </c>
    </row>
    <row r="153" spans="1:4">
      <c r="A153" s="8">
        <v>581</v>
      </c>
      <c r="B153" s="2" t="s">
        <v>13</v>
      </c>
      <c r="C153">
        <f>'DMC Threads - By Number'!O24</f>
        <v>0</v>
      </c>
      <c r="D153">
        <v>12</v>
      </c>
    </row>
    <row r="154" spans="1:4">
      <c r="A154" s="8">
        <v>597</v>
      </c>
      <c r="B154" s="2" t="s">
        <v>14</v>
      </c>
      <c r="C154">
        <f>'DMC Threads - By Number'!O25</f>
        <v>0</v>
      </c>
      <c r="D154">
        <v>8</v>
      </c>
    </row>
    <row r="155" spans="1:4">
      <c r="A155" s="8">
        <v>598</v>
      </c>
      <c r="B155" s="2" t="s">
        <v>579</v>
      </c>
      <c r="C155">
        <f>'DMC Threads - By Number'!O26</f>
        <v>0</v>
      </c>
      <c r="D155">
        <v>8</v>
      </c>
    </row>
    <row r="156" spans="1:4">
      <c r="A156" s="8">
        <v>600</v>
      </c>
      <c r="B156" s="2" t="s">
        <v>420</v>
      </c>
      <c r="C156">
        <f>'DMC Threads - By Number'!O27</f>
        <v>0</v>
      </c>
      <c r="D156">
        <v>3</v>
      </c>
    </row>
    <row r="157" spans="1:4">
      <c r="A157" s="8">
        <v>601</v>
      </c>
      <c r="B157" s="2" t="s">
        <v>338</v>
      </c>
      <c r="C157">
        <f>'DMC Threads - By Number'!O28</f>
        <v>0</v>
      </c>
      <c r="D157">
        <v>3</v>
      </c>
    </row>
    <row r="158" spans="1:4">
      <c r="A158" s="8">
        <v>602</v>
      </c>
      <c r="B158" s="2" t="s">
        <v>493</v>
      </c>
      <c r="C158">
        <f>'DMC Threads - By Number'!O29</f>
        <v>0</v>
      </c>
      <c r="D158">
        <v>3</v>
      </c>
    </row>
    <row r="159" spans="1:4">
      <c r="A159" s="8">
        <v>603</v>
      </c>
      <c r="B159" s="2" t="s">
        <v>585</v>
      </c>
      <c r="C159">
        <f>'DMC Threads - By Number'!O30</f>
        <v>0</v>
      </c>
      <c r="D159">
        <v>3</v>
      </c>
    </row>
    <row r="160" spans="1:4">
      <c r="A160" s="8">
        <v>604</v>
      </c>
      <c r="B160" s="2" t="s">
        <v>586</v>
      </c>
      <c r="C160">
        <f>'DMC Threads - By Number'!O31</f>
        <v>0</v>
      </c>
      <c r="D160">
        <v>3</v>
      </c>
    </row>
    <row r="161" spans="1:4">
      <c r="A161" s="8">
        <v>605</v>
      </c>
      <c r="B161" s="2" t="s">
        <v>589</v>
      </c>
      <c r="C161">
        <f>'DMC Threads - By Number'!O32</f>
        <v>0</v>
      </c>
      <c r="D161">
        <v>3</v>
      </c>
    </row>
    <row r="162" spans="1:4">
      <c r="A162" s="8">
        <v>606</v>
      </c>
      <c r="B162" s="2" t="s">
        <v>453</v>
      </c>
      <c r="C162">
        <f>'DMC Threads - By Number'!O33</f>
        <v>0</v>
      </c>
      <c r="D162">
        <v>15</v>
      </c>
    </row>
    <row r="163" spans="1:4">
      <c r="A163" s="8">
        <v>608</v>
      </c>
      <c r="B163" s="2" t="s">
        <v>454</v>
      </c>
      <c r="C163">
        <f>'DMC Threads - By Number'!O34</f>
        <v>0</v>
      </c>
      <c r="D163">
        <v>15</v>
      </c>
    </row>
    <row r="164" spans="1:4">
      <c r="A164" s="8">
        <v>610</v>
      </c>
      <c r="B164" s="2" t="s">
        <v>348</v>
      </c>
      <c r="C164">
        <f>'DMC Threads - By Number'!O35</f>
        <v>0</v>
      </c>
      <c r="D164">
        <v>13</v>
      </c>
    </row>
    <row r="165" spans="1:4">
      <c r="A165" s="8">
        <v>611</v>
      </c>
      <c r="B165" s="2" t="s">
        <v>62</v>
      </c>
      <c r="C165">
        <f>'DMC Threads - By Number'!O36</f>
        <v>0</v>
      </c>
      <c r="D165">
        <v>13</v>
      </c>
    </row>
    <row r="166" spans="1:4">
      <c r="A166" s="8">
        <v>612</v>
      </c>
      <c r="B166" s="2" t="s">
        <v>600</v>
      </c>
      <c r="C166">
        <f>'DMC Threads - By Number'!O37</f>
        <v>0</v>
      </c>
      <c r="D166">
        <v>13</v>
      </c>
    </row>
    <row r="167" spans="1:4">
      <c r="A167" s="8">
        <v>613</v>
      </c>
      <c r="B167" s="2" t="s">
        <v>603</v>
      </c>
      <c r="C167">
        <f>'DMC Threads - By Number'!O38</f>
        <v>0</v>
      </c>
      <c r="D167">
        <v>13</v>
      </c>
    </row>
    <row r="168" spans="1:4">
      <c r="A168" s="8">
        <v>632</v>
      </c>
      <c r="B168" s="2" t="s">
        <v>674</v>
      </c>
      <c r="C168">
        <f>'DMC Threads - By Number'!O39</f>
        <v>0</v>
      </c>
      <c r="D168">
        <v>17</v>
      </c>
    </row>
    <row r="169" spans="1:4">
      <c r="A169" s="8">
        <v>640</v>
      </c>
      <c r="B169" s="2" t="s">
        <v>433</v>
      </c>
      <c r="C169">
        <f>'DMC Threads - By Number'!O40</f>
        <v>0</v>
      </c>
      <c r="D169">
        <v>19</v>
      </c>
    </row>
    <row r="170" spans="1:4">
      <c r="A170" s="8">
        <v>642</v>
      </c>
      <c r="B170" s="2" t="s">
        <v>359</v>
      </c>
      <c r="C170">
        <f>'DMC Threads - By Number'!O41</f>
        <v>0</v>
      </c>
      <c r="D170">
        <v>19</v>
      </c>
    </row>
    <row r="171" spans="1:4">
      <c r="A171" s="8">
        <v>644</v>
      </c>
      <c r="B171" s="2" t="s">
        <v>507</v>
      </c>
      <c r="C171">
        <f>'DMC Threads - By Number'!O42</f>
        <v>0</v>
      </c>
      <c r="D171">
        <v>19</v>
      </c>
    </row>
    <row r="172" spans="1:4">
      <c r="A172" s="8">
        <v>645</v>
      </c>
      <c r="B172" s="2" t="s">
        <v>436</v>
      </c>
      <c r="C172">
        <f>'DMC Threads - By Number'!O43</f>
        <v>0</v>
      </c>
      <c r="D172">
        <v>20</v>
      </c>
    </row>
    <row r="173" spans="1:4">
      <c r="A173" s="8">
        <v>646</v>
      </c>
      <c r="B173" s="2" t="s">
        <v>362</v>
      </c>
      <c r="C173">
        <f>'DMC Threads - By Number'!O44</f>
        <v>0</v>
      </c>
      <c r="D173">
        <v>20</v>
      </c>
    </row>
    <row r="174" spans="1:4">
      <c r="A174" s="8">
        <v>647</v>
      </c>
      <c r="B174" s="2" t="s">
        <v>509</v>
      </c>
      <c r="C174">
        <f>'DMC Threads - By Number'!O45</f>
        <v>0</v>
      </c>
      <c r="D174">
        <v>20</v>
      </c>
    </row>
    <row r="175" spans="1:4">
      <c r="A175" s="8">
        <v>648</v>
      </c>
      <c r="B175" s="2" t="s">
        <v>616</v>
      </c>
      <c r="C175">
        <f>'DMC Threads - By Number'!O46</f>
        <v>0</v>
      </c>
      <c r="D175">
        <v>20</v>
      </c>
    </row>
    <row r="176" spans="1:4">
      <c r="A176" s="8">
        <v>666</v>
      </c>
      <c r="B176" s="2" t="s">
        <v>456</v>
      </c>
      <c r="C176">
        <f>'DMC Threads - By Number'!O47</f>
        <v>0</v>
      </c>
      <c r="D176">
        <v>1</v>
      </c>
    </row>
    <row r="177" spans="1:4">
      <c r="A177" s="8">
        <v>676</v>
      </c>
      <c r="B177" s="2" t="s">
        <v>618</v>
      </c>
      <c r="C177">
        <f>'DMC Threads - By Number'!O48</f>
        <v>0</v>
      </c>
      <c r="D177">
        <v>14</v>
      </c>
    </row>
    <row r="178" spans="1:4">
      <c r="A178" s="8">
        <v>677</v>
      </c>
      <c r="B178" s="2" t="s">
        <v>619</v>
      </c>
      <c r="C178">
        <f>'DMC Threads - By Number'!O49</f>
        <v>0</v>
      </c>
      <c r="D178">
        <v>13</v>
      </c>
    </row>
    <row r="179" spans="1:4">
      <c r="A179" s="8">
        <v>680</v>
      </c>
      <c r="B179" s="2" t="s">
        <v>375</v>
      </c>
      <c r="C179">
        <f>'DMC Threads - By Number'!O50</f>
        <v>0</v>
      </c>
      <c r="D179">
        <v>14</v>
      </c>
    </row>
    <row r="180" spans="1:4">
      <c r="A180" s="8">
        <v>699</v>
      </c>
      <c r="B180" s="2" t="s">
        <v>55</v>
      </c>
      <c r="C180">
        <f>'DMC Threads - By Number'!O51</f>
        <v>0</v>
      </c>
      <c r="D180">
        <v>11</v>
      </c>
    </row>
    <row r="181" spans="1:4">
      <c r="A181" s="8">
        <v>700</v>
      </c>
      <c r="B181" s="2" t="s">
        <v>457</v>
      </c>
      <c r="C181">
        <f>'DMC Threads - By Number'!O52</f>
        <v>0</v>
      </c>
      <c r="D181">
        <v>11</v>
      </c>
    </row>
    <row r="182" spans="1:4">
      <c r="A182" s="8">
        <v>701</v>
      </c>
      <c r="B182" s="2" t="s">
        <v>584</v>
      </c>
      <c r="C182">
        <f>'DMC Threads - By Number'!O53</f>
        <v>0</v>
      </c>
      <c r="D182">
        <v>11</v>
      </c>
    </row>
    <row r="183" spans="1:4">
      <c r="A183" s="8">
        <v>702</v>
      </c>
      <c r="B183" s="2" t="s">
        <v>15</v>
      </c>
      <c r="C183">
        <f>'DMC Threads - By Number'!O54</f>
        <v>0</v>
      </c>
      <c r="D183">
        <v>11</v>
      </c>
    </row>
    <row r="184" spans="1:4">
      <c r="A184" s="8">
        <v>703</v>
      </c>
      <c r="B184" s="2" t="s">
        <v>16</v>
      </c>
      <c r="C184">
        <f>'DMC Threads - By Number'!O55</f>
        <v>0</v>
      </c>
      <c r="D184">
        <v>11</v>
      </c>
    </row>
    <row r="185" spans="1:4">
      <c r="A185" s="8">
        <v>704</v>
      </c>
      <c r="B185" s="2" t="s">
        <v>458</v>
      </c>
      <c r="C185">
        <f>'DMC Threads - By Number'!O56</f>
        <v>0</v>
      </c>
      <c r="D185">
        <v>11</v>
      </c>
    </row>
    <row r="186" spans="1:4">
      <c r="A186" s="8">
        <v>712</v>
      </c>
      <c r="B186" s="2" t="s">
        <v>17</v>
      </c>
      <c r="C186">
        <f>'DMC Threads - By Number'!O57</f>
        <v>0</v>
      </c>
      <c r="D186">
        <v>18</v>
      </c>
    </row>
    <row r="187" spans="1:4">
      <c r="A187" s="8">
        <v>718</v>
      </c>
      <c r="B187" s="2" t="s">
        <v>18</v>
      </c>
      <c r="C187">
        <f>'DMC Threads - By Number'!O58</f>
        <v>0</v>
      </c>
      <c r="D187">
        <v>3</v>
      </c>
    </row>
    <row r="188" spans="1:4">
      <c r="A188" s="8">
        <v>720</v>
      </c>
      <c r="B188" s="2" t="s">
        <v>386</v>
      </c>
      <c r="C188">
        <f>'DMC Threads - By Number'!O59</f>
        <v>0</v>
      </c>
      <c r="D188">
        <v>16</v>
      </c>
    </row>
    <row r="189" spans="1:4">
      <c r="A189" s="8">
        <v>721</v>
      </c>
      <c r="B189" s="2" t="s">
        <v>523</v>
      </c>
      <c r="C189">
        <f>'DMC Threads - By Number'!O60</f>
        <v>0</v>
      </c>
      <c r="D189">
        <v>16</v>
      </c>
    </row>
    <row r="190" spans="1:4">
      <c r="A190" s="8">
        <v>722</v>
      </c>
      <c r="B190" s="2" t="s">
        <v>588</v>
      </c>
      <c r="C190">
        <f>'DMC Threads - By Number'!O61</f>
        <v>0</v>
      </c>
      <c r="D190">
        <v>16</v>
      </c>
    </row>
    <row r="191" spans="1:4">
      <c r="A191" s="1">
        <v>724</v>
      </c>
      <c r="B191" s="2" t="s">
        <v>1473</v>
      </c>
      <c r="C191">
        <f>'DMC Threads - By Number'!O62</f>
        <v>0</v>
      </c>
      <c r="D191" t="s">
        <v>1735</v>
      </c>
    </row>
    <row r="192" spans="1:4">
      <c r="A192" s="8">
        <v>725</v>
      </c>
      <c r="B192" s="2" t="s">
        <v>19</v>
      </c>
      <c r="C192">
        <f>'DMC Threads - By Number'!O63</f>
        <v>0</v>
      </c>
      <c r="D192">
        <v>15</v>
      </c>
    </row>
    <row r="193" spans="1:4">
      <c r="A193" s="8">
        <v>726</v>
      </c>
      <c r="B193" s="2" t="s">
        <v>645</v>
      </c>
      <c r="C193">
        <f>'DMC Threads - By Number'!O64</f>
        <v>0</v>
      </c>
      <c r="D193">
        <v>15</v>
      </c>
    </row>
    <row r="194" spans="1:4">
      <c r="A194" s="8">
        <v>727</v>
      </c>
      <c r="B194" s="2" t="s">
        <v>648</v>
      </c>
      <c r="C194">
        <f>'DMC Threads - By Number'!O65</f>
        <v>0</v>
      </c>
      <c r="D194">
        <v>15</v>
      </c>
    </row>
    <row r="195" spans="1:4">
      <c r="A195" s="8">
        <v>728</v>
      </c>
      <c r="B195" s="2" t="s">
        <v>63</v>
      </c>
      <c r="C195">
        <f>'DMC Threads - By Number'!O66</f>
        <v>0</v>
      </c>
      <c r="D195">
        <v>14</v>
      </c>
    </row>
    <row r="196" spans="1:4">
      <c r="A196" s="8">
        <v>729</v>
      </c>
      <c r="B196" s="2" t="s">
        <v>529</v>
      </c>
      <c r="C196">
        <f>'DMC Threads - By Number'!O67</f>
        <v>0</v>
      </c>
      <c r="D196">
        <v>14</v>
      </c>
    </row>
    <row r="197" spans="1:4">
      <c r="A197" s="8">
        <v>730</v>
      </c>
      <c r="B197" s="2" t="s">
        <v>448</v>
      </c>
      <c r="C197">
        <f>'DMC Threads - By Number'!O68</f>
        <v>0</v>
      </c>
      <c r="D197">
        <v>12</v>
      </c>
    </row>
    <row r="198" spans="1:4">
      <c r="A198" s="8">
        <v>731</v>
      </c>
      <c r="B198" s="2" t="s">
        <v>396</v>
      </c>
      <c r="C198">
        <f>'DMC Threads - By Number'!O69</f>
        <v>0</v>
      </c>
      <c r="D198" t="s">
        <v>1735</v>
      </c>
    </row>
    <row r="199" spans="1:4">
      <c r="A199" s="8">
        <v>732</v>
      </c>
      <c r="B199" s="2" t="s">
        <v>20</v>
      </c>
      <c r="C199">
        <f>'DMC Threads - By Number'!O70</f>
        <v>0</v>
      </c>
      <c r="D199">
        <v>12</v>
      </c>
    </row>
    <row r="200" spans="1:4">
      <c r="A200" s="8">
        <v>733</v>
      </c>
      <c r="B200" s="2" t="s">
        <v>535</v>
      </c>
      <c r="C200">
        <f>'DMC Threads - By Number'!O71</f>
        <v>0</v>
      </c>
      <c r="D200">
        <v>12</v>
      </c>
    </row>
    <row r="201" spans="1:4">
      <c r="A201" s="8">
        <v>734</v>
      </c>
      <c r="B201" s="2" t="s">
        <v>661</v>
      </c>
      <c r="C201">
        <f>'DMC Threads - By Number'!O72</f>
        <v>0</v>
      </c>
      <c r="D201">
        <v>12</v>
      </c>
    </row>
    <row r="202" spans="1:4" ht="17" thickBot="1">
      <c r="A202" s="8">
        <v>738</v>
      </c>
      <c r="B202" s="4" t="s">
        <v>663</v>
      </c>
      <c r="C202">
        <f>'DMC Threads - By Number'!O73</f>
        <v>0</v>
      </c>
      <c r="D202">
        <v>18</v>
      </c>
    </row>
    <row r="203" spans="1:4">
      <c r="A203" s="8">
        <v>739</v>
      </c>
      <c r="B203" s="14" t="s">
        <v>664</v>
      </c>
      <c r="C203">
        <f>'DMC Threads - By Number'!T6</f>
        <v>0</v>
      </c>
      <c r="D203">
        <v>18</v>
      </c>
    </row>
    <row r="204" spans="1:4">
      <c r="A204" s="8">
        <v>740</v>
      </c>
      <c r="B204" s="2" t="s">
        <v>21</v>
      </c>
      <c r="C204">
        <f>'DMC Threads - By Number'!T7</f>
        <v>0</v>
      </c>
      <c r="D204">
        <v>15</v>
      </c>
    </row>
    <row r="205" spans="1:4">
      <c r="A205" s="8">
        <v>741</v>
      </c>
      <c r="B205" s="2" t="s">
        <v>464</v>
      </c>
      <c r="C205">
        <f>'DMC Threads - By Number'!T8</f>
        <v>0</v>
      </c>
      <c r="D205">
        <v>15</v>
      </c>
    </row>
    <row r="206" spans="1:4">
      <c r="A206" s="8">
        <v>742</v>
      </c>
      <c r="B206" s="2" t="s">
        <v>539</v>
      </c>
      <c r="C206">
        <f>'DMC Threads - By Number'!T9</f>
        <v>0</v>
      </c>
      <c r="D206">
        <v>15</v>
      </c>
    </row>
    <row r="207" spans="1:4">
      <c r="A207" s="8">
        <v>743</v>
      </c>
      <c r="B207" s="2" t="s">
        <v>467</v>
      </c>
      <c r="C207">
        <f>'DMC Threads - By Number'!T10</f>
        <v>0</v>
      </c>
      <c r="D207">
        <v>15</v>
      </c>
    </row>
    <row r="208" spans="1:4">
      <c r="A208" s="8">
        <v>744</v>
      </c>
      <c r="B208" s="2" t="s">
        <v>697</v>
      </c>
      <c r="C208">
        <f>'DMC Threads - By Number'!T11</f>
        <v>0</v>
      </c>
      <c r="D208">
        <v>15</v>
      </c>
    </row>
    <row r="209" spans="1:4">
      <c r="A209" s="8">
        <v>745</v>
      </c>
      <c r="B209" s="2" t="s">
        <v>698</v>
      </c>
      <c r="C209">
        <f>'DMC Threads - By Number'!T12</f>
        <v>0</v>
      </c>
      <c r="D209">
        <v>15</v>
      </c>
    </row>
    <row r="210" spans="1:4">
      <c r="A210" s="8">
        <v>746</v>
      </c>
      <c r="B210" s="2" t="s">
        <v>22</v>
      </c>
      <c r="C210">
        <f>'DMC Threads - By Number'!T13</f>
        <v>0</v>
      </c>
      <c r="D210">
        <v>13</v>
      </c>
    </row>
    <row r="211" spans="1:4">
      <c r="A211" s="8">
        <v>747</v>
      </c>
      <c r="B211" s="2" t="s">
        <v>551</v>
      </c>
      <c r="C211">
        <f>'DMC Threads - By Number'!T14</f>
        <v>0</v>
      </c>
      <c r="D211">
        <v>8</v>
      </c>
    </row>
    <row r="212" spans="1:4">
      <c r="A212" s="8">
        <v>754</v>
      </c>
      <c r="B212" s="2" t="s">
        <v>552</v>
      </c>
      <c r="C212">
        <f>'DMC Threads - By Number'!T15</f>
        <v>0</v>
      </c>
      <c r="D212">
        <v>17</v>
      </c>
    </row>
    <row r="213" spans="1:4">
      <c r="A213" s="8">
        <v>758</v>
      </c>
      <c r="B213" s="2" t="s">
        <v>555</v>
      </c>
      <c r="C213">
        <f>'DMC Threads - By Number'!T16</f>
        <v>0</v>
      </c>
      <c r="D213">
        <v>17</v>
      </c>
    </row>
    <row r="214" spans="1:4">
      <c r="A214" s="8">
        <v>760</v>
      </c>
      <c r="B214" s="2" t="s">
        <v>23</v>
      </c>
      <c r="C214">
        <f>'DMC Threads - By Number'!T17</f>
        <v>0</v>
      </c>
      <c r="D214">
        <v>1</v>
      </c>
    </row>
    <row r="215" spans="1:4">
      <c r="A215" s="8">
        <v>761</v>
      </c>
      <c r="B215" s="2" t="s">
        <v>559</v>
      </c>
      <c r="C215">
        <f>'DMC Threads - By Number'!T18</f>
        <v>0</v>
      </c>
      <c r="D215">
        <v>1</v>
      </c>
    </row>
    <row r="216" spans="1:4">
      <c r="A216" s="8">
        <v>762</v>
      </c>
      <c r="B216" s="2" t="s">
        <v>561</v>
      </c>
      <c r="C216">
        <f>'DMC Threads - By Number'!T19</f>
        <v>0</v>
      </c>
      <c r="D216">
        <v>20</v>
      </c>
    </row>
    <row r="217" spans="1:4">
      <c r="A217" s="8">
        <v>772</v>
      </c>
      <c r="B217" s="2" t="s">
        <v>565</v>
      </c>
      <c r="C217">
        <f>'DMC Threads - By Number'!T20</f>
        <v>0</v>
      </c>
      <c r="D217">
        <v>10</v>
      </c>
    </row>
    <row r="218" spans="1:4">
      <c r="A218" s="8">
        <v>775</v>
      </c>
      <c r="B218" s="2" t="s">
        <v>569</v>
      </c>
      <c r="C218">
        <f>'DMC Threads - By Number'!T21</f>
        <v>0</v>
      </c>
      <c r="D218">
        <v>7</v>
      </c>
    </row>
    <row r="219" spans="1:4">
      <c r="A219" s="8">
        <v>776</v>
      </c>
      <c r="B219" s="2" t="s">
        <v>484</v>
      </c>
      <c r="C219">
        <f>'DMC Threads - By Number'!T22</f>
        <v>0</v>
      </c>
      <c r="D219" t="s">
        <v>1735</v>
      </c>
    </row>
    <row r="220" spans="1:4">
      <c r="A220" s="8">
        <v>777</v>
      </c>
      <c r="B220" s="2" t="s">
        <v>687</v>
      </c>
      <c r="C220">
        <f>'DMC Threads - By Number'!T23</f>
        <v>0</v>
      </c>
      <c r="D220">
        <v>1</v>
      </c>
    </row>
    <row r="221" spans="1:4">
      <c r="A221" s="8">
        <v>778</v>
      </c>
      <c r="B221" s="2" t="s">
        <v>575</v>
      </c>
      <c r="C221">
        <f>'DMC Threads - By Number'!T24</f>
        <v>0</v>
      </c>
      <c r="D221">
        <v>4</v>
      </c>
    </row>
    <row r="222" spans="1:4">
      <c r="A222" s="8">
        <v>779</v>
      </c>
      <c r="B222" s="2" t="s">
        <v>65</v>
      </c>
      <c r="C222">
        <f>'DMC Threads - By Number'!T25</f>
        <v>0</v>
      </c>
      <c r="D222">
        <v>18</v>
      </c>
    </row>
    <row r="223" spans="1:4">
      <c r="A223" s="8">
        <v>780</v>
      </c>
      <c r="B223" s="2" t="s">
        <v>670</v>
      </c>
      <c r="C223">
        <f>'DMC Threads - By Number'!T26</f>
        <v>0</v>
      </c>
      <c r="D223">
        <v>14</v>
      </c>
    </row>
    <row r="224" spans="1:4">
      <c r="A224" s="8">
        <v>781</v>
      </c>
      <c r="B224" s="2" t="s">
        <v>421</v>
      </c>
      <c r="C224">
        <f>'DMC Threads - By Number'!T27</f>
        <v>0</v>
      </c>
      <c r="D224" t="s">
        <v>1735</v>
      </c>
    </row>
    <row r="225" spans="1:4">
      <c r="A225" s="8">
        <v>782</v>
      </c>
      <c r="B225" s="2" t="s">
        <v>339</v>
      </c>
      <c r="C225">
        <f>'DMC Threads - By Number'!T28</f>
        <v>0</v>
      </c>
      <c r="D225">
        <v>14</v>
      </c>
    </row>
    <row r="226" spans="1:4">
      <c r="A226" s="8">
        <v>783</v>
      </c>
      <c r="B226" s="2" t="s">
        <v>494</v>
      </c>
      <c r="C226">
        <f>'DMC Threads - By Number'!T29</f>
        <v>0</v>
      </c>
      <c r="D226">
        <v>14</v>
      </c>
    </row>
    <row r="227" spans="1:4">
      <c r="A227" s="8">
        <v>791</v>
      </c>
      <c r="B227" s="2" t="s">
        <v>425</v>
      </c>
      <c r="C227">
        <f>'DMC Threads - By Number'!T30</f>
        <v>0</v>
      </c>
      <c r="D227">
        <v>5</v>
      </c>
    </row>
    <row r="228" spans="1:4">
      <c r="A228" s="8">
        <v>792</v>
      </c>
      <c r="B228" s="2" t="s">
        <v>343</v>
      </c>
      <c r="C228">
        <f>'DMC Threads - By Number'!T31</f>
        <v>0</v>
      </c>
      <c r="D228">
        <v>5</v>
      </c>
    </row>
    <row r="229" spans="1:4">
      <c r="A229" s="8">
        <v>793</v>
      </c>
      <c r="B229" s="2" t="s">
        <v>499</v>
      </c>
      <c r="C229">
        <f>'DMC Threads - By Number'!T32</f>
        <v>0</v>
      </c>
      <c r="D229">
        <v>5</v>
      </c>
    </row>
    <row r="230" spans="1:4">
      <c r="A230" s="8">
        <v>794</v>
      </c>
      <c r="B230" s="2" t="s">
        <v>591</v>
      </c>
      <c r="C230">
        <f>'DMC Threads - By Number'!T33</f>
        <v>0</v>
      </c>
      <c r="D230">
        <v>5</v>
      </c>
    </row>
    <row r="231" spans="1:4">
      <c r="A231" s="8">
        <v>796</v>
      </c>
      <c r="B231" s="2" t="s">
        <v>347</v>
      </c>
      <c r="C231">
        <f>'DMC Threads - By Number'!T34</f>
        <v>0</v>
      </c>
      <c r="D231">
        <v>6</v>
      </c>
    </row>
    <row r="232" spans="1:4">
      <c r="A232" s="8">
        <v>797</v>
      </c>
      <c r="B232" s="2" t="s">
        <v>24</v>
      </c>
      <c r="C232">
        <f>'DMC Threads - By Number'!T35</f>
        <v>0</v>
      </c>
      <c r="D232">
        <v>6</v>
      </c>
    </row>
    <row r="233" spans="1:4">
      <c r="A233" s="8">
        <v>798</v>
      </c>
      <c r="B233" s="2" t="s">
        <v>350</v>
      </c>
      <c r="C233">
        <f>'DMC Threads - By Number'!T36</f>
        <v>0</v>
      </c>
      <c r="D233">
        <v>6</v>
      </c>
    </row>
    <row r="234" spans="1:4">
      <c r="A234" s="8">
        <v>799</v>
      </c>
      <c r="B234" s="2" t="s">
        <v>502</v>
      </c>
      <c r="C234">
        <f>'DMC Threads - By Number'!T37</f>
        <v>0</v>
      </c>
      <c r="D234">
        <v>6</v>
      </c>
    </row>
    <row r="235" spans="1:4">
      <c r="A235" s="8">
        <v>800</v>
      </c>
      <c r="B235" s="2" t="s">
        <v>699</v>
      </c>
      <c r="C235">
        <f>'DMC Threads - By Number'!T38</f>
        <v>0</v>
      </c>
      <c r="D235">
        <v>6</v>
      </c>
    </row>
    <row r="236" spans="1:4">
      <c r="A236" s="8">
        <v>801</v>
      </c>
      <c r="B236" s="2" t="s">
        <v>356</v>
      </c>
      <c r="C236">
        <f>'DMC Threads - By Number'!T39</f>
        <v>0</v>
      </c>
      <c r="D236">
        <v>18</v>
      </c>
    </row>
    <row r="237" spans="1:4">
      <c r="A237" s="8">
        <v>803</v>
      </c>
      <c r="B237" s="2" t="s">
        <v>688</v>
      </c>
      <c r="C237">
        <f>'DMC Threads - By Number'!T40</f>
        <v>0</v>
      </c>
      <c r="D237">
        <v>7</v>
      </c>
    </row>
    <row r="238" spans="1:4">
      <c r="A238" s="8">
        <v>806</v>
      </c>
      <c r="B238" s="2" t="s">
        <v>360</v>
      </c>
      <c r="C238">
        <f>'DMC Threads - By Number'!T41</f>
        <v>0</v>
      </c>
      <c r="D238" t="s">
        <v>1735</v>
      </c>
    </row>
    <row r="239" spans="1:4">
      <c r="A239" s="8">
        <v>807</v>
      </c>
      <c r="B239" s="2" t="s">
        <v>25</v>
      </c>
      <c r="C239">
        <f>'DMC Threads - By Number'!T42</f>
        <v>0</v>
      </c>
      <c r="D239">
        <v>8</v>
      </c>
    </row>
    <row r="240" spans="1:4">
      <c r="A240" s="8">
        <v>809</v>
      </c>
      <c r="B240" s="2" t="s">
        <v>64</v>
      </c>
      <c r="C240">
        <f>'DMC Threads - By Number'!T43</f>
        <v>0</v>
      </c>
      <c r="D240">
        <v>6</v>
      </c>
    </row>
    <row r="241" spans="1:4">
      <c r="A241" s="8">
        <v>813</v>
      </c>
      <c r="B241" s="2" t="s">
        <v>612</v>
      </c>
      <c r="C241">
        <f>'DMC Threads - By Number'!T44</f>
        <v>0</v>
      </c>
      <c r="D241">
        <v>6</v>
      </c>
    </row>
    <row r="242" spans="1:4">
      <c r="A242" s="8">
        <v>814</v>
      </c>
      <c r="B242" s="2" t="s">
        <v>365</v>
      </c>
      <c r="C242">
        <f>'DMC Threads - By Number'!T45</f>
        <v>0</v>
      </c>
      <c r="D242">
        <v>1</v>
      </c>
    </row>
    <row r="243" spans="1:4">
      <c r="A243" s="8">
        <v>815</v>
      </c>
      <c r="B243" s="2" t="s">
        <v>511</v>
      </c>
      <c r="C243">
        <f>'DMC Threads - By Number'!T46</f>
        <v>0</v>
      </c>
      <c r="D243">
        <v>1</v>
      </c>
    </row>
    <row r="244" spans="1:4">
      <c r="A244" s="8">
        <v>816</v>
      </c>
      <c r="B244" s="2" t="s">
        <v>26</v>
      </c>
      <c r="C244">
        <f>'DMC Threads - By Number'!T47</f>
        <v>0</v>
      </c>
      <c r="D244">
        <v>1</v>
      </c>
    </row>
    <row r="245" spans="1:4">
      <c r="A245" s="8">
        <v>817</v>
      </c>
      <c r="B245" s="2" t="s">
        <v>439</v>
      </c>
      <c r="C245">
        <f>'DMC Threads - By Number'!T48</f>
        <v>0</v>
      </c>
      <c r="D245">
        <v>1</v>
      </c>
    </row>
    <row r="246" spans="1:4">
      <c r="A246" s="8">
        <v>818</v>
      </c>
      <c r="B246" s="2" t="s">
        <v>27</v>
      </c>
      <c r="C246">
        <f>'DMC Threads - By Number'!T49</f>
        <v>0</v>
      </c>
      <c r="D246">
        <v>2</v>
      </c>
    </row>
    <row r="247" spans="1:4">
      <c r="A247" s="8">
        <v>819</v>
      </c>
      <c r="B247" s="2" t="s">
        <v>622</v>
      </c>
      <c r="C247">
        <f>'DMC Threads - By Number'!T50</f>
        <v>0</v>
      </c>
      <c r="D247">
        <v>2</v>
      </c>
    </row>
    <row r="248" spans="1:4">
      <c r="A248" s="8">
        <v>820</v>
      </c>
      <c r="B248" s="2" t="s">
        <v>441</v>
      </c>
      <c r="C248">
        <f>'DMC Threads - By Number'!T51</f>
        <v>0</v>
      </c>
      <c r="D248">
        <v>6</v>
      </c>
    </row>
    <row r="249" spans="1:4">
      <c r="A249" s="8">
        <v>822</v>
      </c>
      <c r="B249" s="2" t="s">
        <v>628</v>
      </c>
      <c r="C249">
        <f>'DMC Threads - By Number'!T52</f>
        <v>0</v>
      </c>
      <c r="D249">
        <v>19</v>
      </c>
    </row>
    <row r="250" spans="1:4">
      <c r="A250" s="8">
        <v>823</v>
      </c>
      <c r="B250" s="2" t="s">
        <v>377</v>
      </c>
      <c r="C250">
        <f>'DMC Threads - By Number'!T53</f>
        <v>0</v>
      </c>
      <c r="D250">
        <v>7</v>
      </c>
    </row>
    <row r="251" spans="1:4">
      <c r="A251" s="8">
        <v>824</v>
      </c>
      <c r="B251" s="2" t="s">
        <v>437</v>
      </c>
      <c r="C251">
        <f>'DMC Threads - By Number'!T54</f>
        <v>0</v>
      </c>
      <c r="D251">
        <v>6</v>
      </c>
    </row>
    <row r="252" spans="1:4">
      <c r="A252" s="8">
        <v>825</v>
      </c>
      <c r="B252" s="2" t="s">
        <v>377</v>
      </c>
      <c r="C252">
        <f>'DMC Threads - By Number'!T55</f>
        <v>0</v>
      </c>
      <c r="D252">
        <v>6</v>
      </c>
    </row>
    <row r="253" spans="1:4">
      <c r="A253" s="8">
        <v>826</v>
      </c>
      <c r="B253" s="2" t="s">
        <v>469</v>
      </c>
      <c r="C253">
        <f>'DMC Threads - By Number'!T56</f>
        <v>0</v>
      </c>
      <c r="D253">
        <v>6</v>
      </c>
    </row>
    <row r="254" spans="1:4">
      <c r="A254" s="8">
        <v>827</v>
      </c>
      <c r="B254" s="2" t="s">
        <v>637</v>
      </c>
      <c r="C254">
        <f>'DMC Threads - By Number'!T57</f>
        <v>0</v>
      </c>
      <c r="D254">
        <v>6</v>
      </c>
    </row>
    <row r="255" spans="1:4">
      <c r="A255" s="8">
        <v>828</v>
      </c>
      <c r="B255" s="2" t="s">
        <v>681</v>
      </c>
      <c r="C255">
        <f>'DMC Threads - By Number'!T58</f>
        <v>0</v>
      </c>
      <c r="D255">
        <v>8</v>
      </c>
    </row>
    <row r="256" spans="1:4">
      <c r="A256" s="8">
        <v>829</v>
      </c>
      <c r="B256" s="2" t="s">
        <v>444</v>
      </c>
      <c r="C256">
        <f>'DMC Threads - By Number'!T59</f>
        <v>0</v>
      </c>
      <c r="D256">
        <v>13</v>
      </c>
    </row>
    <row r="257" spans="1:4">
      <c r="A257" s="8">
        <v>830</v>
      </c>
      <c r="B257" s="2" t="s">
        <v>388</v>
      </c>
      <c r="C257">
        <f>'DMC Threads - By Number'!T60</f>
        <v>0</v>
      </c>
      <c r="D257">
        <v>13</v>
      </c>
    </row>
    <row r="258" spans="1:4">
      <c r="A258" s="8">
        <v>831</v>
      </c>
      <c r="B258" s="2" t="s">
        <v>525</v>
      </c>
      <c r="C258">
        <f>'DMC Threads - By Number'!T61</f>
        <v>0</v>
      </c>
      <c r="D258">
        <v>13</v>
      </c>
    </row>
    <row r="259" spans="1:4">
      <c r="A259" s="8">
        <v>832</v>
      </c>
      <c r="B259" s="2" t="s">
        <v>28</v>
      </c>
      <c r="C259">
        <f>'DMC Threads - By Number'!T62</f>
        <v>0</v>
      </c>
      <c r="D259">
        <v>13</v>
      </c>
    </row>
    <row r="260" spans="1:4">
      <c r="A260" s="8">
        <v>833</v>
      </c>
      <c r="B260" s="2" t="s">
        <v>646</v>
      </c>
      <c r="C260">
        <f>'DMC Threads - By Number'!T63</f>
        <v>0</v>
      </c>
      <c r="D260">
        <v>13</v>
      </c>
    </row>
    <row r="261" spans="1:4">
      <c r="A261" s="8">
        <v>834</v>
      </c>
      <c r="B261" s="2" t="s">
        <v>649</v>
      </c>
      <c r="C261">
        <f>'DMC Threads - By Number'!T64</f>
        <v>0</v>
      </c>
      <c r="D261">
        <v>13</v>
      </c>
    </row>
    <row r="262" spans="1:4">
      <c r="A262" s="8">
        <v>838</v>
      </c>
      <c r="B262" s="2" t="s">
        <v>445</v>
      </c>
      <c r="C262">
        <f>'DMC Threads - By Number'!T65</f>
        <v>0</v>
      </c>
      <c r="D262">
        <v>19</v>
      </c>
    </row>
    <row r="263" spans="1:4">
      <c r="A263" s="8">
        <v>839</v>
      </c>
      <c r="B263" s="2" t="s">
        <v>341</v>
      </c>
      <c r="C263">
        <f>'DMC Threads - By Number'!T66</f>
        <v>0</v>
      </c>
      <c r="D263">
        <v>19</v>
      </c>
    </row>
    <row r="264" spans="1:4">
      <c r="A264" s="8">
        <v>840</v>
      </c>
      <c r="B264" s="2" t="s">
        <v>531</v>
      </c>
      <c r="C264">
        <f>'DMC Threads - By Number'!T67</f>
        <v>0</v>
      </c>
      <c r="D264">
        <v>19</v>
      </c>
    </row>
    <row r="265" spans="1:4">
      <c r="A265" s="8">
        <v>841</v>
      </c>
      <c r="B265" s="2" t="s">
        <v>654</v>
      </c>
      <c r="C265">
        <f>'DMC Threads - By Number'!T68</f>
        <v>0</v>
      </c>
      <c r="D265">
        <v>19</v>
      </c>
    </row>
    <row r="266" spans="1:4">
      <c r="A266" s="8">
        <v>842</v>
      </c>
      <c r="B266" s="2" t="s">
        <v>656</v>
      </c>
      <c r="C266">
        <f>'DMC Threads - By Number'!T69</f>
        <v>0</v>
      </c>
      <c r="D266">
        <v>19</v>
      </c>
    </row>
    <row r="267" spans="1:4">
      <c r="A267" s="8">
        <v>844</v>
      </c>
      <c r="B267" s="2" t="s">
        <v>685</v>
      </c>
      <c r="C267">
        <f>'DMC Threads - By Number'!T70</f>
        <v>0</v>
      </c>
      <c r="D267">
        <v>19</v>
      </c>
    </row>
    <row r="268" spans="1:4">
      <c r="A268" s="8">
        <v>868</v>
      </c>
      <c r="B268" s="2" t="s">
        <v>66</v>
      </c>
      <c r="C268">
        <f>'DMC Threads - By Number'!T71</f>
        <v>0</v>
      </c>
      <c r="D268" t="s">
        <v>1735</v>
      </c>
    </row>
    <row r="269" spans="1:4" ht="17" thickBot="1">
      <c r="A269" s="8">
        <v>869</v>
      </c>
      <c r="B269" s="4" t="s">
        <v>451</v>
      </c>
      <c r="C269">
        <f>'DMC Threads - By Number'!T72</f>
        <v>0</v>
      </c>
      <c r="D269">
        <v>13</v>
      </c>
    </row>
    <row r="270" spans="1:4">
      <c r="A270" s="8">
        <v>890</v>
      </c>
      <c r="B270" s="14" t="s">
        <v>665</v>
      </c>
      <c r="C270">
        <f>'DMC Threads - By Number'!Y6</f>
        <v>0</v>
      </c>
      <c r="D270">
        <v>10</v>
      </c>
    </row>
    <row r="271" spans="1:4">
      <c r="A271" s="8">
        <v>891</v>
      </c>
      <c r="B271" s="2" t="s">
        <v>316</v>
      </c>
      <c r="C271">
        <f>'DMC Threads - By Number'!Y7</f>
        <v>0</v>
      </c>
      <c r="D271">
        <v>2</v>
      </c>
    </row>
    <row r="272" spans="1:4">
      <c r="A272" s="8">
        <v>892</v>
      </c>
      <c r="B272" s="2" t="s">
        <v>465</v>
      </c>
      <c r="C272">
        <f>'DMC Threads - By Number'!Y8</f>
        <v>0</v>
      </c>
      <c r="D272">
        <v>2</v>
      </c>
    </row>
    <row r="273" spans="1:4">
      <c r="A273" s="8">
        <v>893</v>
      </c>
      <c r="B273" s="2" t="s">
        <v>540</v>
      </c>
      <c r="C273">
        <f>'DMC Threads - By Number'!Y9</f>
        <v>0</v>
      </c>
      <c r="D273">
        <v>2</v>
      </c>
    </row>
    <row r="274" spans="1:4">
      <c r="A274" s="8">
        <v>894</v>
      </c>
      <c r="B274" s="2" t="s">
        <v>542</v>
      </c>
      <c r="C274">
        <f>'DMC Threads - By Number'!Y10</f>
        <v>0</v>
      </c>
      <c r="D274">
        <v>2</v>
      </c>
    </row>
    <row r="275" spans="1:4">
      <c r="A275" s="8">
        <v>895</v>
      </c>
      <c r="B275" s="2" t="s">
        <v>403</v>
      </c>
      <c r="C275">
        <f>'DMC Threads - By Number'!Y11</f>
        <v>0</v>
      </c>
      <c r="D275">
        <v>10</v>
      </c>
    </row>
    <row r="276" spans="1:4">
      <c r="A276" s="8">
        <v>898</v>
      </c>
      <c r="B276" s="2" t="s">
        <v>404</v>
      </c>
      <c r="C276">
        <f>'DMC Threads - By Number'!Y12</f>
        <v>0</v>
      </c>
      <c r="D276">
        <v>18</v>
      </c>
    </row>
    <row r="277" spans="1:4">
      <c r="A277" s="8">
        <v>899</v>
      </c>
      <c r="B277" s="2" t="s">
        <v>471</v>
      </c>
      <c r="C277">
        <f>'DMC Threads - By Number'!Y13</f>
        <v>0</v>
      </c>
      <c r="D277">
        <v>2</v>
      </c>
    </row>
    <row r="278" spans="1:4">
      <c r="A278" s="8">
        <v>900</v>
      </c>
      <c r="B278" s="2" t="s">
        <v>324</v>
      </c>
      <c r="C278">
        <f>'DMC Threads - By Number'!Y14</f>
        <v>0</v>
      </c>
      <c r="D278">
        <v>15</v>
      </c>
    </row>
    <row r="279" spans="1:4">
      <c r="A279" s="8">
        <v>902</v>
      </c>
      <c r="B279" s="2" t="s">
        <v>409</v>
      </c>
      <c r="C279">
        <f>'DMC Threads - By Number'!Y15</f>
        <v>0</v>
      </c>
      <c r="D279">
        <v>4</v>
      </c>
    </row>
    <row r="280" spans="1:4">
      <c r="A280" s="8">
        <v>904</v>
      </c>
      <c r="B280" s="2" t="s">
        <v>410</v>
      </c>
      <c r="C280">
        <f>'DMC Threads - By Number'!Y16</f>
        <v>0</v>
      </c>
      <c r="D280">
        <v>11</v>
      </c>
    </row>
    <row r="281" spans="1:4">
      <c r="A281" s="8">
        <v>905</v>
      </c>
      <c r="B281" s="2" t="s">
        <v>328</v>
      </c>
      <c r="C281">
        <f>'DMC Threads - By Number'!Y17</f>
        <v>0</v>
      </c>
      <c r="D281">
        <v>11</v>
      </c>
    </row>
    <row r="282" spans="1:4">
      <c r="A282" s="8">
        <v>906</v>
      </c>
      <c r="B282" s="2" t="s">
        <v>478</v>
      </c>
      <c r="C282">
        <f>'DMC Threads - By Number'!Y18</f>
        <v>0</v>
      </c>
      <c r="D282">
        <v>11</v>
      </c>
    </row>
    <row r="283" spans="1:4">
      <c r="A283" s="8">
        <v>907</v>
      </c>
      <c r="B283" s="2" t="s">
        <v>562</v>
      </c>
      <c r="C283">
        <f>'DMC Threads - By Number'!Y19</f>
        <v>0</v>
      </c>
      <c r="D283">
        <v>11</v>
      </c>
    </row>
    <row r="284" spans="1:4">
      <c r="A284" s="8">
        <v>909</v>
      </c>
      <c r="B284" s="2" t="s">
        <v>415</v>
      </c>
      <c r="C284">
        <f>'DMC Threads - By Number'!Y20</f>
        <v>0</v>
      </c>
      <c r="D284">
        <v>10</v>
      </c>
    </row>
    <row r="285" spans="1:4">
      <c r="A285" s="8">
        <v>910</v>
      </c>
      <c r="B285" s="2" t="s">
        <v>330</v>
      </c>
      <c r="C285">
        <f>'DMC Threads - By Number'!Y21</f>
        <v>0</v>
      </c>
      <c r="D285">
        <v>10</v>
      </c>
    </row>
    <row r="286" spans="1:4">
      <c r="A286" s="8">
        <v>911</v>
      </c>
      <c r="B286" s="2" t="s">
        <v>485</v>
      </c>
      <c r="C286">
        <f>'DMC Threads - By Number'!Y22</f>
        <v>0</v>
      </c>
      <c r="D286">
        <v>10</v>
      </c>
    </row>
    <row r="287" spans="1:4">
      <c r="A287" s="8">
        <v>912</v>
      </c>
      <c r="B287" s="2" t="s">
        <v>574</v>
      </c>
      <c r="C287">
        <f>'DMC Threads - By Number'!Y23</f>
        <v>0</v>
      </c>
      <c r="D287">
        <v>10</v>
      </c>
    </row>
    <row r="288" spans="1:4">
      <c r="A288" s="8">
        <v>913</v>
      </c>
      <c r="B288" s="2" t="s">
        <v>487</v>
      </c>
      <c r="C288">
        <f>'DMC Threads - By Number'!Y24</f>
        <v>0</v>
      </c>
      <c r="D288">
        <v>10</v>
      </c>
    </row>
    <row r="289" spans="1:4">
      <c r="A289" s="8">
        <v>915</v>
      </c>
      <c r="B289" s="2" t="s">
        <v>334</v>
      </c>
      <c r="C289">
        <f>'DMC Threads - By Number'!Y25</f>
        <v>0</v>
      </c>
      <c r="D289">
        <v>3</v>
      </c>
    </row>
    <row r="290" spans="1:4">
      <c r="A290" s="8">
        <v>917</v>
      </c>
      <c r="B290" s="2" t="s">
        <v>490</v>
      </c>
      <c r="C290">
        <f>'DMC Threads - By Number'!Y26</f>
        <v>0</v>
      </c>
      <c r="D290">
        <v>3</v>
      </c>
    </row>
    <row r="291" spans="1:4">
      <c r="A291" s="8">
        <v>918</v>
      </c>
      <c r="B291" s="2" t="s">
        <v>337</v>
      </c>
      <c r="C291">
        <f>'DMC Threads - By Number'!Y27</f>
        <v>0</v>
      </c>
      <c r="D291">
        <v>16</v>
      </c>
    </row>
    <row r="292" spans="1:4">
      <c r="A292" s="8">
        <v>919</v>
      </c>
      <c r="B292" s="2" t="s">
        <v>29</v>
      </c>
      <c r="C292">
        <f>'DMC Threads - By Number'!Y28</f>
        <v>0</v>
      </c>
      <c r="D292">
        <v>16</v>
      </c>
    </row>
    <row r="293" spans="1:4">
      <c r="A293" s="8">
        <v>920</v>
      </c>
      <c r="B293" s="2" t="s">
        <v>495</v>
      </c>
      <c r="C293">
        <f>'DMC Threads - By Number'!Y29</f>
        <v>0</v>
      </c>
      <c r="D293">
        <v>16</v>
      </c>
    </row>
    <row r="294" spans="1:4">
      <c r="A294" s="8">
        <v>921</v>
      </c>
      <c r="B294" s="2" t="s">
        <v>30</v>
      </c>
      <c r="C294">
        <f>'DMC Threads - By Number'!Y30</f>
        <v>0</v>
      </c>
      <c r="D294">
        <v>16</v>
      </c>
    </row>
    <row r="295" spans="1:4">
      <c r="A295" s="8">
        <v>922</v>
      </c>
      <c r="B295" s="2" t="s">
        <v>587</v>
      </c>
      <c r="C295">
        <f>'DMC Threads - By Number'!Y31</f>
        <v>0</v>
      </c>
      <c r="D295">
        <v>16</v>
      </c>
    </row>
    <row r="296" spans="1:4">
      <c r="A296" s="8">
        <v>924</v>
      </c>
      <c r="B296" s="5" t="s">
        <v>427</v>
      </c>
      <c r="C296">
        <f>'DMC Threads - By Number'!Y32</f>
        <v>0</v>
      </c>
      <c r="D296">
        <v>8</v>
      </c>
    </row>
    <row r="297" spans="1:4">
      <c r="A297" s="8">
        <v>926</v>
      </c>
      <c r="B297" s="2" t="s">
        <v>500</v>
      </c>
      <c r="C297">
        <f>'DMC Threads - By Number'!Y33</f>
        <v>0</v>
      </c>
      <c r="D297">
        <v>8</v>
      </c>
    </row>
    <row r="298" spans="1:4">
      <c r="A298" s="8">
        <v>927</v>
      </c>
      <c r="B298" s="2" t="s">
        <v>594</v>
      </c>
      <c r="C298">
        <f>'DMC Threads - By Number'!Y34</f>
        <v>0</v>
      </c>
      <c r="D298">
        <v>8</v>
      </c>
    </row>
    <row r="299" spans="1:4">
      <c r="A299" s="8">
        <v>928</v>
      </c>
      <c r="B299" s="2" t="s">
        <v>598</v>
      </c>
      <c r="C299">
        <f>'DMC Threads - By Number'!Y35</f>
        <v>0</v>
      </c>
      <c r="D299">
        <v>8</v>
      </c>
    </row>
    <row r="300" spans="1:4">
      <c r="A300" s="8">
        <v>930</v>
      </c>
      <c r="B300" s="2" t="s">
        <v>351</v>
      </c>
      <c r="C300">
        <f>'DMC Threads - By Number'!Y36</f>
        <v>0</v>
      </c>
      <c r="D300">
        <v>7</v>
      </c>
    </row>
    <row r="301" spans="1:4">
      <c r="A301" s="8">
        <v>931</v>
      </c>
      <c r="B301" s="2" t="s">
        <v>503</v>
      </c>
      <c r="C301">
        <f>'DMC Threads - By Number'!Y37</f>
        <v>0</v>
      </c>
      <c r="D301">
        <v>7</v>
      </c>
    </row>
    <row r="302" spans="1:4">
      <c r="A302" s="8">
        <v>932</v>
      </c>
      <c r="B302" s="2" t="s">
        <v>604</v>
      </c>
      <c r="C302">
        <f>'DMC Threads - By Number'!Y38</f>
        <v>0</v>
      </c>
      <c r="D302">
        <v>7</v>
      </c>
    </row>
    <row r="303" spans="1:4">
      <c r="A303" s="8">
        <v>934</v>
      </c>
      <c r="B303" s="2" t="s">
        <v>67</v>
      </c>
      <c r="C303">
        <f>'DMC Threads - By Number'!Y39</f>
        <v>0</v>
      </c>
      <c r="D303">
        <v>11</v>
      </c>
    </row>
    <row r="304" spans="1:4">
      <c r="A304" s="8">
        <v>935</v>
      </c>
      <c r="B304" s="2" t="s">
        <v>358</v>
      </c>
      <c r="C304">
        <f>'DMC Threads - By Number'!Y40</f>
        <v>0</v>
      </c>
      <c r="D304">
        <v>11</v>
      </c>
    </row>
    <row r="305" spans="1:4">
      <c r="A305" s="8">
        <v>936</v>
      </c>
      <c r="B305" s="2" t="s">
        <v>435</v>
      </c>
      <c r="C305">
        <f>'DMC Threads - By Number'!Y41</f>
        <v>0</v>
      </c>
      <c r="D305">
        <v>11</v>
      </c>
    </row>
    <row r="306" spans="1:4">
      <c r="A306" s="8">
        <v>937</v>
      </c>
      <c r="B306" s="2" t="s">
        <v>508</v>
      </c>
      <c r="C306">
        <f>'DMC Threads - By Number'!Y42</f>
        <v>0</v>
      </c>
      <c r="D306">
        <v>11</v>
      </c>
    </row>
    <row r="307" spans="1:4">
      <c r="A307" s="8">
        <v>938</v>
      </c>
      <c r="B307" s="2" t="s">
        <v>675</v>
      </c>
      <c r="C307">
        <f>'DMC Threads - By Number'!Y43</f>
        <v>0</v>
      </c>
      <c r="D307">
        <v>18</v>
      </c>
    </row>
    <row r="308" spans="1:4">
      <c r="A308" s="8">
        <v>939</v>
      </c>
      <c r="B308" s="2" t="s">
        <v>437</v>
      </c>
      <c r="C308">
        <f>'DMC Threads - By Number'!Y44</f>
        <v>0</v>
      </c>
      <c r="D308">
        <v>7</v>
      </c>
    </row>
    <row r="309" spans="1:4">
      <c r="A309" s="8">
        <v>943</v>
      </c>
      <c r="B309" s="2" t="s">
        <v>510</v>
      </c>
      <c r="C309">
        <f>'DMC Threads - By Number'!Y45</f>
        <v>0</v>
      </c>
      <c r="D309">
        <v>9</v>
      </c>
    </row>
    <row r="310" spans="1:4">
      <c r="A310" s="8">
        <v>945</v>
      </c>
      <c r="B310" s="2" t="s">
        <v>68</v>
      </c>
      <c r="C310">
        <f>'DMC Threads - By Number'!Y46</f>
        <v>0</v>
      </c>
      <c r="D310">
        <v>16</v>
      </c>
    </row>
    <row r="311" spans="1:4">
      <c r="A311" s="8">
        <v>946</v>
      </c>
      <c r="B311" s="2" t="s">
        <v>513</v>
      </c>
      <c r="C311">
        <f>'DMC Threads - By Number'!Y47</f>
        <v>0</v>
      </c>
      <c r="D311">
        <v>15</v>
      </c>
    </row>
    <row r="312" spans="1:4">
      <c r="A312" s="8">
        <v>947</v>
      </c>
      <c r="B312" s="2" t="s">
        <v>31</v>
      </c>
      <c r="C312">
        <f>'DMC Threads - By Number'!Y48</f>
        <v>0</v>
      </c>
      <c r="D312">
        <v>15</v>
      </c>
    </row>
    <row r="313" spans="1:4">
      <c r="A313" s="8">
        <v>948</v>
      </c>
      <c r="B313" s="2" t="s">
        <v>620</v>
      </c>
      <c r="C313">
        <f>'DMC Threads - By Number'!Y49</f>
        <v>0</v>
      </c>
      <c r="D313">
        <v>17</v>
      </c>
    </row>
    <row r="314" spans="1:4">
      <c r="A314" s="8">
        <v>950</v>
      </c>
      <c r="B314" s="2" t="s">
        <v>623</v>
      </c>
      <c r="C314">
        <f>'DMC Threads - By Number'!Y50</f>
        <v>0</v>
      </c>
      <c r="D314">
        <v>17</v>
      </c>
    </row>
    <row r="315" spans="1:4">
      <c r="A315" s="8">
        <v>951</v>
      </c>
      <c r="B315" s="2" t="s">
        <v>627</v>
      </c>
      <c r="C315">
        <f>'DMC Threads - By Number'!Y51</f>
        <v>0</v>
      </c>
      <c r="D315">
        <v>16</v>
      </c>
    </row>
    <row r="316" spans="1:4">
      <c r="A316" s="8">
        <v>954</v>
      </c>
      <c r="B316" s="2" t="s">
        <v>32</v>
      </c>
      <c r="C316">
        <f>'DMC Threads - By Number'!Y52</f>
        <v>0</v>
      </c>
      <c r="D316">
        <v>10</v>
      </c>
    </row>
    <row r="317" spans="1:4">
      <c r="A317" s="8">
        <v>955</v>
      </c>
      <c r="B317" s="2" t="s">
        <v>632</v>
      </c>
      <c r="C317">
        <f>'DMC Threads - By Number'!Y53</f>
        <v>0</v>
      </c>
      <c r="D317">
        <v>10</v>
      </c>
    </row>
    <row r="318" spans="1:4">
      <c r="A318" s="8">
        <v>956</v>
      </c>
      <c r="B318" s="2" t="s">
        <v>33</v>
      </c>
      <c r="C318">
        <f>'DMC Threads - By Number'!Y54</f>
        <v>0</v>
      </c>
      <c r="D318">
        <v>2</v>
      </c>
    </row>
    <row r="319" spans="1:4">
      <c r="A319" s="8">
        <v>957</v>
      </c>
      <c r="B319" s="2" t="s">
        <v>702</v>
      </c>
      <c r="C319">
        <f>'DMC Threads - By Number'!Y55</f>
        <v>0</v>
      </c>
      <c r="D319">
        <v>2</v>
      </c>
    </row>
    <row r="320" spans="1:4">
      <c r="A320" s="8">
        <v>958</v>
      </c>
      <c r="B320" s="2" t="s">
        <v>380</v>
      </c>
      <c r="C320">
        <f>'DMC Threads - By Number'!Y56</f>
        <v>0</v>
      </c>
      <c r="D320">
        <v>9</v>
      </c>
    </row>
    <row r="321" spans="1:4">
      <c r="A321" s="8">
        <v>959</v>
      </c>
      <c r="B321" s="2" t="s">
        <v>518</v>
      </c>
      <c r="C321">
        <f>'DMC Threads - By Number'!Y57</f>
        <v>0</v>
      </c>
      <c r="D321">
        <v>9</v>
      </c>
    </row>
    <row r="322" spans="1:4">
      <c r="A322" s="8">
        <v>961</v>
      </c>
      <c r="B322" s="2" t="s">
        <v>384</v>
      </c>
      <c r="C322">
        <f>'DMC Threads - By Number'!Y58</f>
        <v>0</v>
      </c>
      <c r="D322">
        <v>2</v>
      </c>
    </row>
    <row r="323" spans="1:4">
      <c r="A323" s="8">
        <v>962</v>
      </c>
      <c r="B323" s="2" t="s">
        <v>520</v>
      </c>
      <c r="C323">
        <f>'DMC Threads - By Number'!Y59</f>
        <v>0</v>
      </c>
      <c r="D323">
        <v>2</v>
      </c>
    </row>
    <row r="324" spans="1:4">
      <c r="A324" s="8">
        <v>963</v>
      </c>
      <c r="B324" s="2" t="s">
        <v>682</v>
      </c>
      <c r="C324">
        <f>'DMC Threads - By Number'!Y60</f>
        <v>0</v>
      </c>
      <c r="D324">
        <v>2</v>
      </c>
    </row>
    <row r="325" spans="1:4">
      <c r="A325" s="8">
        <v>964</v>
      </c>
      <c r="B325" s="2" t="s">
        <v>641</v>
      </c>
      <c r="C325">
        <f>'DMC Threads - By Number'!Y61</f>
        <v>0</v>
      </c>
      <c r="D325">
        <v>9</v>
      </c>
    </row>
    <row r="326" spans="1:4">
      <c r="A326" s="8">
        <v>966</v>
      </c>
      <c r="B326" s="2" t="s">
        <v>526</v>
      </c>
      <c r="C326">
        <f>'DMC Threads - By Number'!Y62</f>
        <v>0</v>
      </c>
      <c r="D326">
        <v>9</v>
      </c>
    </row>
    <row r="327" spans="1:4">
      <c r="A327" s="8">
        <v>967</v>
      </c>
      <c r="B327" s="2" t="s">
        <v>552</v>
      </c>
      <c r="C327">
        <f>'DMC Threads - By Number'!Y63</f>
        <v>0</v>
      </c>
      <c r="D327">
        <v>15</v>
      </c>
    </row>
    <row r="328" spans="1:4">
      <c r="A328" s="8">
        <v>970</v>
      </c>
      <c r="B328" s="2" t="s">
        <v>650</v>
      </c>
      <c r="C328">
        <f>'DMC Threads - By Number'!Y64</f>
        <v>0</v>
      </c>
      <c r="D328">
        <v>15</v>
      </c>
    </row>
    <row r="329" spans="1:4">
      <c r="A329" s="8">
        <v>971</v>
      </c>
      <c r="B329" s="2" t="s">
        <v>34</v>
      </c>
      <c r="C329">
        <f>'DMC Threads - By Number'!Y65</f>
        <v>0</v>
      </c>
      <c r="D329" t="s">
        <v>1735</v>
      </c>
    </row>
    <row r="330" spans="1:4">
      <c r="A330" s="8">
        <v>972</v>
      </c>
      <c r="B330" s="2" t="s">
        <v>690</v>
      </c>
      <c r="C330">
        <f>'DMC Threads - By Number'!Y66</f>
        <v>0</v>
      </c>
      <c r="D330">
        <v>15</v>
      </c>
    </row>
    <row r="331" spans="1:4">
      <c r="A331" s="8">
        <v>973</v>
      </c>
      <c r="B331" s="2" t="s">
        <v>459</v>
      </c>
      <c r="C331">
        <f>'DMC Threads - By Number'!Y67</f>
        <v>0</v>
      </c>
      <c r="D331">
        <v>15</v>
      </c>
    </row>
    <row r="332" spans="1:4">
      <c r="A332" s="8">
        <v>975</v>
      </c>
      <c r="B332" s="2" t="s">
        <v>397</v>
      </c>
      <c r="C332">
        <f>'DMC Threads - By Number'!Y69</f>
        <v>0</v>
      </c>
      <c r="D332">
        <v>14</v>
      </c>
    </row>
    <row r="333" spans="1:4">
      <c r="A333" s="8">
        <v>976</v>
      </c>
      <c r="B333" s="2" t="s">
        <v>533</v>
      </c>
      <c r="C333">
        <f>'DMC Threads - By Number'!Y70</f>
        <v>0</v>
      </c>
      <c r="D333">
        <v>14</v>
      </c>
    </row>
    <row r="334" spans="1:4">
      <c r="A334" s="8">
        <v>977</v>
      </c>
      <c r="B334" s="2" t="s">
        <v>658</v>
      </c>
      <c r="C334">
        <f>'DMC Threads - By Number'!Y71</f>
        <v>0</v>
      </c>
      <c r="D334">
        <v>14</v>
      </c>
    </row>
    <row r="335" spans="1:4">
      <c r="A335" s="8">
        <v>986</v>
      </c>
      <c r="B335" s="2" t="s">
        <v>450</v>
      </c>
      <c r="C335">
        <f>'DMC Threads - By Number'!Y72</f>
        <v>0</v>
      </c>
      <c r="D335">
        <v>10</v>
      </c>
    </row>
    <row r="336" spans="1:4" ht="17" thickBot="1">
      <c r="A336" s="8">
        <v>987</v>
      </c>
      <c r="B336" s="4" t="s">
        <v>400</v>
      </c>
      <c r="C336">
        <f>'DMC Threads - By Number'!Y73</f>
        <v>0</v>
      </c>
      <c r="D336">
        <v>10</v>
      </c>
    </row>
    <row r="337" spans="1:4">
      <c r="A337" s="8">
        <v>988</v>
      </c>
      <c r="B337" s="14" t="s">
        <v>460</v>
      </c>
      <c r="C337">
        <f>'DMC Threads - By Number'!AD6</f>
        <v>0</v>
      </c>
      <c r="D337">
        <v>10</v>
      </c>
    </row>
    <row r="338" spans="1:4">
      <c r="A338" s="8">
        <v>989</v>
      </c>
      <c r="B338" s="2" t="s">
        <v>35</v>
      </c>
      <c r="C338">
        <f>'DMC Threads - By Number'!AD7</f>
        <v>0</v>
      </c>
      <c r="D338">
        <v>10</v>
      </c>
    </row>
    <row r="339" spans="1:4">
      <c r="A339" s="8">
        <v>991</v>
      </c>
      <c r="B339" s="2" t="s">
        <v>317</v>
      </c>
      <c r="C339">
        <f>'DMC Threads - By Number'!AD8</f>
        <v>0</v>
      </c>
      <c r="D339">
        <v>9</v>
      </c>
    </row>
    <row r="340" spans="1:4">
      <c r="A340" s="8">
        <v>992</v>
      </c>
      <c r="B340" s="2" t="s">
        <v>541</v>
      </c>
      <c r="C340">
        <f>'DMC Threads - By Number'!AD9</f>
        <v>0</v>
      </c>
      <c r="D340">
        <v>9</v>
      </c>
    </row>
    <row r="341" spans="1:4">
      <c r="A341" s="8">
        <v>993</v>
      </c>
      <c r="B341" s="2" t="s">
        <v>543</v>
      </c>
      <c r="C341">
        <f>'DMC Threads - By Number'!AD10</f>
        <v>0</v>
      </c>
      <c r="D341">
        <v>9</v>
      </c>
    </row>
    <row r="342" spans="1:4">
      <c r="A342" s="8">
        <v>995</v>
      </c>
      <c r="B342" s="2" t="s">
        <v>321</v>
      </c>
      <c r="C342">
        <f>'DMC Threads - By Number'!AD11</f>
        <v>0</v>
      </c>
      <c r="D342">
        <v>6</v>
      </c>
    </row>
    <row r="343" spans="1:4">
      <c r="A343" s="8">
        <v>996</v>
      </c>
      <c r="B343" s="2" t="s">
        <v>470</v>
      </c>
      <c r="C343">
        <f>'DMC Threads - By Number'!AD12</f>
        <v>0</v>
      </c>
      <c r="D343">
        <v>6</v>
      </c>
    </row>
    <row r="344" spans="1:4">
      <c r="A344" s="8">
        <v>3011</v>
      </c>
      <c r="B344" s="2" t="s">
        <v>323</v>
      </c>
      <c r="C344">
        <f>'DMC Threads - By Number'!AD13</f>
        <v>0</v>
      </c>
      <c r="D344">
        <v>12</v>
      </c>
    </row>
    <row r="345" spans="1:4">
      <c r="A345" s="8">
        <v>3012</v>
      </c>
      <c r="B345" s="2" t="s">
        <v>473</v>
      </c>
      <c r="C345">
        <f>'DMC Threads - By Number'!AD14</f>
        <v>0</v>
      </c>
      <c r="D345">
        <v>12</v>
      </c>
    </row>
    <row r="346" spans="1:4">
      <c r="A346" s="8">
        <v>3013</v>
      </c>
      <c r="B346" s="2" t="s">
        <v>553</v>
      </c>
      <c r="C346">
        <f>'DMC Threads - By Number'!AD15</f>
        <v>0</v>
      </c>
      <c r="D346">
        <v>12</v>
      </c>
    </row>
    <row r="347" spans="1:4">
      <c r="A347" s="8">
        <v>3021</v>
      </c>
      <c r="B347" s="2" t="s">
        <v>411</v>
      </c>
      <c r="C347">
        <f>'DMC Threads - By Number'!AD16</f>
        <v>0</v>
      </c>
      <c r="D347">
        <v>19</v>
      </c>
    </row>
    <row r="348" spans="1:4">
      <c r="A348" s="8">
        <v>3022</v>
      </c>
      <c r="B348" s="2" t="s">
        <v>477</v>
      </c>
      <c r="C348">
        <f>'DMC Threads - By Number'!AD17</f>
        <v>0</v>
      </c>
      <c r="D348">
        <v>20</v>
      </c>
    </row>
    <row r="349" spans="1:4">
      <c r="A349" s="8">
        <v>3023</v>
      </c>
      <c r="B349" s="2" t="s">
        <v>560</v>
      </c>
      <c r="C349">
        <f>'DMC Threads - By Number'!AD18</f>
        <v>0</v>
      </c>
      <c r="D349">
        <v>20</v>
      </c>
    </row>
    <row r="350" spans="1:4">
      <c r="A350" s="8">
        <v>3024</v>
      </c>
      <c r="B350" s="2" t="s">
        <v>563</v>
      </c>
      <c r="C350">
        <f>'DMC Threads - By Number'!AD19</f>
        <v>0</v>
      </c>
      <c r="D350">
        <v>20</v>
      </c>
    </row>
    <row r="351" spans="1:4">
      <c r="A351" s="8">
        <v>3031</v>
      </c>
      <c r="B351" s="2" t="s">
        <v>416</v>
      </c>
      <c r="C351">
        <f>'DMC Threads - By Number'!AD20</f>
        <v>0</v>
      </c>
      <c r="D351">
        <v>18</v>
      </c>
    </row>
    <row r="352" spans="1:4">
      <c r="A352" s="8">
        <v>3032</v>
      </c>
      <c r="B352" s="2" t="s">
        <v>483</v>
      </c>
      <c r="C352">
        <f>'DMC Threads - By Number'!AD21</f>
        <v>0</v>
      </c>
      <c r="D352">
        <v>19</v>
      </c>
    </row>
    <row r="353" spans="1:4">
      <c r="A353" s="8">
        <v>3033</v>
      </c>
      <c r="B353" s="2" t="s">
        <v>571</v>
      </c>
      <c r="C353">
        <f>'DMC Threads - By Number'!AD22</f>
        <v>0</v>
      </c>
      <c r="D353">
        <v>19</v>
      </c>
    </row>
    <row r="354" spans="1:4">
      <c r="A354" s="8">
        <v>3041</v>
      </c>
      <c r="B354" s="2" t="s">
        <v>486</v>
      </c>
      <c r="C354">
        <f>'DMC Threads - By Number'!AD23</f>
        <v>0</v>
      </c>
      <c r="D354">
        <v>5</v>
      </c>
    </row>
    <row r="355" spans="1:4">
      <c r="A355" s="8">
        <v>3042</v>
      </c>
      <c r="B355" s="2" t="s">
        <v>576</v>
      </c>
      <c r="C355">
        <f>'DMC Threads - By Number'!AD24</f>
        <v>0</v>
      </c>
      <c r="D355">
        <v>5</v>
      </c>
    </row>
    <row r="356" spans="1:4">
      <c r="A356" s="8">
        <v>3045</v>
      </c>
      <c r="B356" s="2" t="s">
        <v>335</v>
      </c>
      <c r="C356">
        <f>'DMC Threads - By Number'!AD25</f>
        <v>0</v>
      </c>
      <c r="D356">
        <v>13</v>
      </c>
    </row>
    <row r="357" spans="1:4">
      <c r="A357" s="8">
        <v>3046</v>
      </c>
      <c r="B357" s="2" t="s">
        <v>491</v>
      </c>
      <c r="C357">
        <f>'DMC Threads - By Number'!AD26</f>
        <v>0</v>
      </c>
      <c r="D357">
        <v>13</v>
      </c>
    </row>
    <row r="358" spans="1:4">
      <c r="A358" s="8">
        <v>3047</v>
      </c>
      <c r="B358" s="2" t="s">
        <v>580</v>
      </c>
      <c r="C358">
        <f>'DMC Threads - By Number'!AD27</f>
        <v>0</v>
      </c>
      <c r="D358">
        <v>13</v>
      </c>
    </row>
    <row r="359" spans="1:4">
      <c r="A359" s="8">
        <v>3051</v>
      </c>
      <c r="B359" s="2" t="s">
        <v>340</v>
      </c>
      <c r="C359">
        <f>'DMC Threads - By Number'!AD28</f>
        <v>0</v>
      </c>
      <c r="D359">
        <v>12</v>
      </c>
    </row>
    <row r="360" spans="1:4">
      <c r="A360" s="8">
        <v>3052</v>
      </c>
      <c r="B360" s="2" t="s">
        <v>496</v>
      </c>
      <c r="C360">
        <f>'DMC Threads - By Number'!AD29</f>
        <v>0</v>
      </c>
      <c r="D360">
        <v>12</v>
      </c>
    </row>
    <row r="361" spans="1:4">
      <c r="A361" s="8">
        <v>3053</v>
      </c>
      <c r="B361" s="2" t="s">
        <v>69</v>
      </c>
      <c r="C361">
        <f>'DMC Threads - By Number'!AD30</f>
        <v>0</v>
      </c>
      <c r="D361">
        <v>12</v>
      </c>
    </row>
    <row r="362" spans="1:4">
      <c r="A362" s="8">
        <v>3064</v>
      </c>
      <c r="B362" s="2" t="s">
        <v>70</v>
      </c>
      <c r="C362">
        <f>'DMC Threads - By Number'!AD31</f>
        <v>0</v>
      </c>
      <c r="D362">
        <v>17</v>
      </c>
    </row>
    <row r="363" spans="1:4">
      <c r="A363" s="8">
        <v>3072</v>
      </c>
      <c r="B363" s="2" t="s">
        <v>590</v>
      </c>
      <c r="C363">
        <f>'DMC Threads - By Number'!AD32</f>
        <v>0</v>
      </c>
      <c r="D363">
        <v>20</v>
      </c>
    </row>
    <row r="364" spans="1:4">
      <c r="A364" s="8">
        <v>3078</v>
      </c>
      <c r="B364" s="2" t="s">
        <v>592</v>
      </c>
      <c r="C364">
        <f>'DMC Threads - By Number'!AD33</f>
        <v>0</v>
      </c>
      <c r="D364">
        <v>15</v>
      </c>
    </row>
    <row r="365" spans="1:4">
      <c r="A365" s="8">
        <v>3325</v>
      </c>
      <c r="B365" s="2" t="s">
        <v>595</v>
      </c>
      <c r="C365">
        <f>'DMC Threads - By Number'!AD34</f>
        <v>0</v>
      </c>
      <c r="D365">
        <v>7</v>
      </c>
    </row>
    <row r="366" spans="1:4">
      <c r="A366" s="8">
        <v>3326</v>
      </c>
      <c r="B366" s="2" t="s">
        <v>599</v>
      </c>
      <c r="C366">
        <f>'DMC Threads - By Number'!AD35</f>
        <v>0</v>
      </c>
      <c r="D366">
        <v>2</v>
      </c>
    </row>
    <row r="367" spans="1:4">
      <c r="A367" s="8">
        <v>3328</v>
      </c>
      <c r="B367" s="2" t="s">
        <v>352</v>
      </c>
      <c r="C367">
        <f>'DMC Threads - By Number'!AD36</f>
        <v>0</v>
      </c>
      <c r="D367">
        <v>1</v>
      </c>
    </row>
    <row r="368" spans="1:4">
      <c r="A368" s="8">
        <v>3340</v>
      </c>
      <c r="B368" s="2" t="s">
        <v>504</v>
      </c>
      <c r="C368">
        <f>'DMC Threads - By Number'!AD37</f>
        <v>0</v>
      </c>
      <c r="D368">
        <v>15</v>
      </c>
    </row>
    <row r="369" spans="1:4">
      <c r="A369" s="8">
        <v>3341</v>
      </c>
      <c r="B369" s="2" t="s">
        <v>37</v>
      </c>
      <c r="C369">
        <f>'DMC Threads - By Number'!AD38</f>
        <v>0</v>
      </c>
      <c r="D369">
        <v>15</v>
      </c>
    </row>
    <row r="370" spans="1:4">
      <c r="A370" s="8">
        <v>3345</v>
      </c>
      <c r="B370" s="2" t="s">
        <v>357</v>
      </c>
      <c r="C370">
        <f>'DMC Threads - By Number'!AD39</f>
        <v>0</v>
      </c>
      <c r="D370">
        <v>10</v>
      </c>
    </row>
    <row r="371" spans="1:4">
      <c r="A371" s="8">
        <v>3346</v>
      </c>
      <c r="B371" s="2" t="s">
        <v>38</v>
      </c>
      <c r="C371">
        <f>'DMC Threads - By Number'!AD40</f>
        <v>0</v>
      </c>
      <c r="D371">
        <v>10</v>
      </c>
    </row>
    <row r="372" spans="1:4">
      <c r="A372" s="8">
        <v>3347</v>
      </c>
      <c r="B372" s="2" t="s">
        <v>506</v>
      </c>
      <c r="C372">
        <f>'DMC Threads - By Number'!AD41</f>
        <v>0</v>
      </c>
      <c r="D372">
        <v>10</v>
      </c>
    </row>
    <row r="373" spans="1:4">
      <c r="A373" s="8">
        <v>3348</v>
      </c>
      <c r="B373" s="2" t="s">
        <v>609</v>
      </c>
      <c r="C373">
        <f>'DMC Threads - By Number'!AD42</f>
        <v>0</v>
      </c>
      <c r="D373">
        <v>10</v>
      </c>
    </row>
    <row r="374" spans="1:4">
      <c r="A374" s="8">
        <v>3350</v>
      </c>
      <c r="B374" s="2" t="s">
        <v>676</v>
      </c>
      <c r="C374">
        <f>'DMC Threads - By Number'!AD43</f>
        <v>0</v>
      </c>
      <c r="D374">
        <v>2</v>
      </c>
    </row>
    <row r="375" spans="1:4">
      <c r="A375" s="8">
        <v>3354</v>
      </c>
      <c r="B375" s="2" t="s">
        <v>613</v>
      </c>
      <c r="C375">
        <f>'DMC Threads - By Number'!AD44</f>
        <v>0</v>
      </c>
      <c r="D375">
        <v>2</v>
      </c>
    </row>
    <row r="376" spans="1:4">
      <c r="A376" s="8">
        <v>3362</v>
      </c>
      <c r="B376" s="2" t="s">
        <v>366</v>
      </c>
      <c r="C376">
        <f>'DMC Threads - By Number'!AD45</f>
        <v>0</v>
      </c>
      <c r="D376">
        <v>11</v>
      </c>
    </row>
    <row r="377" spans="1:4">
      <c r="A377" s="8">
        <v>3363</v>
      </c>
      <c r="B377" s="2" t="s">
        <v>512</v>
      </c>
      <c r="C377">
        <f>'DMC Threads - By Number'!AD46</f>
        <v>0</v>
      </c>
      <c r="D377">
        <v>11</v>
      </c>
    </row>
    <row r="378" spans="1:4">
      <c r="A378" s="8">
        <v>3364</v>
      </c>
      <c r="B378" s="2" t="s">
        <v>39</v>
      </c>
      <c r="C378">
        <f>'DMC Threads - By Number'!AD47</f>
        <v>0</v>
      </c>
      <c r="D378">
        <v>11</v>
      </c>
    </row>
    <row r="379" spans="1:4">
      <c r="A379" s="8">
        <v>3371</v>
      </c>
      <c r="B379" s="2" t="s">
        <v>40</v>
      </c>
      <c r="C379">
        <f>'DMC Threads - By Number'!AD48</f>
        <v>0</v>
      </c>
      <c r="D379">
        <v>18</v>
      </c>
    </row>
    <row r="380" spans="1:4">
      <c r="A380" s="8">
        <v>3607</v>
      </c>
      <c r="B380" s="2" t="s">
        <v>621</v>
      </c>
      <c r="C380">
        <f>'DMC Threads - By Number'!AD49</f>
        <v>0</v>
      </c>
      <c r="D380">
        <v>3</v>
      </c>
    </row>
    <row r="381" spans="1:4">
      <c r="A381" s="8">
        <v>3608</v>
      </c>
      <c r="B381" s="2" t="s">
        <v>624</v>
      </c>
      <c r="C381">
        <f>'DMC Threads - By Number'!AD50</f>
        <v>0</v>
      </c>
      <c r="D381">
        <v>3</v>
      </c>
    </row>
    <row r="382" spans="1:4">
      <c r="A382" s="8">
        <v>3609</v>
      </c>
      <c r="B382" s="2" t="s">
        <v>679</v>
      </c>
      <c r="C382">
        <f>'DMC Threads - By Number'!AD51</f>
        <v>0</v>
      </c>
      <c r="D382">
        <v>3</v>
      </c>
    </row>
    <row r="383" spans="1:4">
      <c r="A383" s="8">
        <v>3685</v>
      </c>
      <c r="B383" s="2" t="str">
        <f>'DMC Threads - By Number'!AB53</f>
        <v>Mauve - Very Dark</v>
      </c>
      <c r="C383" s="2">
        <f>'DMC Threads - By Number'!AD53</f>
        <v>0</v>
      </c>
      <c r="D383">
        <v>3</v>
      </c>
    </row>
    <row r="384" spans="1:4">
      <c r="A384" s="8">
        <v>3687</v>
      </c>
      <c r="B384" s="2" t="str">
        <f>'DMC Threads - By Number'!AB54</f>
        <v>Mauve</v>
      </c>
      <c r="C384" s="2">
        <f>'DMC Threads - By Number'!AD54</f>
        <v>0</v>
      </c>
      <c r="D384">
        <v>3</v>
      </c>
    </row>
    <row r="385" spans="1:4">
      <c r="A385" s="8">
        <v>3688</v>
      </c>
      <c r="B385" s="2" t="str">
        <f>'DMC Threads - By Number'!AB55</f>
        <v>Mauve - Medium</v>
      </c>
      <c r="C385" s="2">
        <f>'DMC Threads - By Number'!AD55</f>
        <v>0</v>
      </c>
      <c r="D385">
        <v>3</v>
      </c>
    </row>
    <row r="386" spans="1:4">
      <c r="A386" s="8">
        <v>3689</v>
      </c>
      <c r="B386" s="2" t="str">
        <f>'DMC Threads - By Number'!AB56</f>
        <v>Mauve - Light</v>
      </c>
      <c r="C386" s="2">
        <f>'DMC Threads - By Number'!AD56</f>
        <v>0</v>
      </c>
      <c r="D386">
        <v>3</v>
      </c>
    </row>
    <row r="387" spans="1:4">
      <c r="A387" s="8">
        <v>3705</v>
      </c>
      <c r="B387" s="2" t="str">
        <f>'DMC Threads - By Number'!AB57</f>
        <v>Melon - Dark</v>
      </c>
      <c r="C387" s="2">
        <f>'DMC Threads - By Number'!AD57</f>
        <v>0</v>
      </c>
      <c r="D387">
        <v>2</v>
      </c>
    </row>
    <row r="388" spans="1:4">
      <c r="A388" s="8">
        <v>3706</v>
      </c>
      <c r="B388" s="2" t="str">
        <f>'DMC Threads - By Number'!AB58</f>
        <v>Melon - Medium</v>
      </c>
      <c r="C388" s="2">
        <f>'DMC Threads - By Number'!AD58</f>
        <v>0</v>
      </c>
      <c r="D388">
        <v>2</v>
      </c>
    </row>
    <row r="389" spans="1:4">
      <c r="A389" s="8">
        <v>3708</v>
      </c>
      <c r="B389" s="2" t="str">
        <f>'DMC Threads - By Number'!AB59</f>
        <v>Melon - Light</v>
      </c>
      <c r="C389" s="2">
        <f>'DMC Threads - By Number'!AD59</f>
        <v>0</v>
      </c>
      <c r="D389">
        <v>2</v>
      </c>
    </row>
    <row r="390" spans="1:4">
      <c r="A390" s="8">
        <v>3712</v>
      </c>
      <c r="B390" s="2" t="str">
        <f>'DMC Threads - By Number'!AB60</f>
        <v>Salmon - Medium</v>
      </c>
      <c r="C390" s="2">
        <f>'DMC Threads - By Number'!AD60</f>
        <v>0</v>
      </c>
      <c r="D390">
        <v>1</v>
      </c>
    </row>
    <row r="391" spans="1:4">
      <c r="A391" s="8">
        <v>3713</v>
      </c>
      <c r="B391" s="2" t="str">
        <f>'DMC Threads - By Number'!AB61</f>
        <v>Salmon - Very Light</v>
      </c>
      <c r="C391" s="2">
        <f>'DMC Threads - By Number'!AD61</f>
        <v>0</v>
      </c>
      <c r="D391">
        <v>1</v>
      </c>
    </row>
    <row r="392" spans="1:4">
      <c r="A392" s="8">
        <v>3716</v>
      </c>
      <c r="B392" s="2" t="str">
        <f>'DMC Threads - By Number'!AB62</f>
        <v>Dusty Rose - Very Light</v>
      </c>
      <c r="C392" s="2">
        <f>'DMC Threads - By Number'!AD62</f>
        <v>0</v>
      </c>
      <c r="D392">
        <v>2</v>
      </c>
    </row>
    <row r="393" spans="1:4">
      <c r="A393" s="8">
        <v>3721</v>
      </c>
      <c r="B393" s="2" t="str">
        <f>'DMC Threads - By Number'!AB63</f>
        <v>Shell Pink - Dark</v>
      </c>
      <c r="C393" s="2">
        <f>'DMC Threads - By Number'!AD63</f>
        <v>0</v>
      </c>
      <c r="D393">
        <v>16</v>
      </c>
    </row>
    <row r="394" spans="1:4">
      <c r="A394" s="8">
        <v>3722</v>
      </c>
      <c r="B394" s="2" t="str">
        <f>'DMC Threads - By Number'!AB64</f>
        <v>Shell Pink - Medium</v>
      </c>
      <c r="C394" s="2">
        <f>'DMC Threads - By Number'!AD64</f>
        <v>0</v>
      </c>
      <c r="D394">
        <v>16</v>
      </c>
    </row>
    <row r="395" spans="1:4">
      <c r="A395" s="8">
        <v>3726</v>
      </c>
      <c r="B395" s="2" t="str">
        <f>'DMC Threads - By Number'!AB65</f>
        <v>Antique Mauve - Dark</v>
      </c>
      <c r="C395" s="2">
        <f>'DMC Threads - By Number'!AD65</f>
        <v>0</v>
      </c>
      <c r="D395">
        <v>4</v>
      </c>
    </row>
    <row r="396" spans="1:4">
      <c r="A396" s="8">
        <v>3727</v>
      </c>
      <c r="B396" s="2" t="str">
        <f>'DMC Threads - By Number'!AB66</f>
        <v>Antique Mauve - Light</v>
      </c>
      <c r="C396" s="2">
        <f>'DMC Threads - By Number'!AD66</f>
        <v>0</v>
      </c>
      <c r="D396">
        <v>4</v>
      </c>
    </row>
    <row r="397" spans="1:4">
      <c r="A397" s="8">
        <v>3731</v>
      </c>
      <c r="B397" s="2" t="str">
        <f>'DMC Threads - By Number'!AB67</f>
        <v>Dusty Rose - Very Dark</v>
      </c>
      <c r="C397" s="2">
        <f>'DMC Threads - By Number'!AD67</f>
        <v>0</v>
      </c>
      <c r="D397">
        <v>2</v>
      </c>
    </row>
    <row r="398" spans="1:4">
      <c r="A398" s="8">
        <v>3733</v>
      </c>
      <c r="B398" s="2" t="str">
        <f>'DMC Threads - By Number'!AB68</f>
        <v>Dusty Rose</v>
      </c>
      <c r="C398" s="2">
        <f>'DMC Threads - By Number'!AD68</f>
        <v>0</v>
      </c>
      <c r="D398">
        <v>2</v>
      </c>
    </row>
    <row r="399" spans="1:4">
      <c r="A399" s="8">
        <v>3740</v>
      </c>
      <c r="B399" s="2" t="str">
        <f>'DMC Threads - By Number'!AB69</f>
        <v>Antique Violet - Dark</v>
      </c>
      <c r="C399" s="2">
        <f>'DMC Threads - By Number'!AD69</f>
        <v>0</v>
      </c>
      <c r="D399">
        <v>5</v>
      </c>
    </row>
    <row r="400" spans="1:4">
      <c r="A400" s="8">
        <v>3743</v>
      </c>
      <c r="B400" s="2" t="str">
        <f>'DMC Threads - By Number'!AB70</f>
        <v>Antique Violet - Very Light</v>
      </c>
      <c r="C400" s="2">
        <f>'DMC Threads - By Number'!AD70</f>
        <v>0</v>
      </c>
      <c r="D400">
        <v>5</v>
      </c>
    </row>
    <row r="401" spans="1:4">
      <c r="A401" s="8">
        <v>3746</v>
      </c>
      <c r="B401" s="2" t="str">
        <f>'DMC Threads - By Number'!AB71</f>
        <v>Blue Violet - Dark</v>
      </c>
      <c r="C401" s="2">
        <f>'DMC Threads - By Number'!AD71</f>
        <v>0</v>
      </c>
      <c r="D401">
        <v>5</v>
      </c>
    </row>
    <row r="402" spans="1:4">
      <c r="A402" s="8">
        <v>3747</v>
      </c>
      <c r="B402" s="2" t="str">
        <f>'DMC Threads - By Number'!AB72</f>
        <v>Blue Violet - Very Light</v>
      </c>
      <c r="C402" s="2">
        <f>'DMC Threads - By Number'!AD72</f>
        <v>0</v>
      </c>
      <c r="D402">
        <v>5</v>
      </c>
    </row>
    <row r="403" spans="1:4" ht="17" thickBot="1">
      <c r="A403" s="8">
        <v>3750</v>
      </c>
      <c r="B403" s="2" t="str">
        <f>'DMC Threads - By Number'!AB73</f>
        <v>Antique Blue - Very Dark</v>
      </c>
      <c r="C403" s="2">
        <f>'DMC Threads - By Number'!AD73</f>
        <v>0</v>
      </c>
      <c r="D403">
        <v>7</v>
      </c>
    </row>
    <row r="404" spans="1:4">
      <c r="A404" s="8">
        <v>3752</v>
      </c>
      <c r="B404" s="14" t="s">
        <v>536</v>
      </c>
      <c r="C404">
        <f>'DMC Threads - By Number'!AI6</f>
        <v>0</v>
      </c>
      <c r="D404">
        <v>7</v>
      </c>
    </row>
    <row r="405" spans="1:4">
      <c r="A405" s="8">
        <v>3753</v>
      </c>
      <c r="B405" s="2" t="s">
        <v>666</v>
      </c>
      <c r="C405">
        <f>'DMC Threads - By Number'!AI7</f>
        <v>0</v>
      </c>
      <c r="D405">
        <v>7</v>
      </c>
    </row>
    <row r="406" spans="1:4">
      <c r="A406" s="8">
        <v>3755</v>
      </c>
      <c r="B406" s="2" t="s">
        <v>43</v>
      </c>
      <c r="C406">
        <f>'DMC Threads - By Number'!AI8</f>
        <v>0</v>
      </c>
      <c r="D406">
        <v>7</v>
      </c>
    </row>
    <row r="407" spans="1:4">
      <c r="A407" s="8">
        <v>3756</v>
      </c>
      <c r="B407" s="2" t="s">
        <v>595</v>
      </c>
      <c r="C407">
        <f>'DMC Threads - By Number'!AI9</f>
        <v>0</v>
      </c>
      <c r="D407">
        <v>7</v>
      </c>
    </row>
    <row r="408" spans="1:4">
      <c r="A408" s="8">
        <v>3760</v>
      </c>
      <c r="B408" s="2" t="s">
        <v>468</v>
      </c>
      <c r="C408">
        <f>'DMC Threads - By Number'!AI10</f>
        <v>0</v>
      </c>
      <c r="D408">
        <v>8</v>
      </c>
    </row>
    <row r="409" spans="1:4">
      <c r="A409" s="8">
        <v>3761</v>
      </c>
      <c r="B409" s="2" t="s">
        <v>546</v>
      </c>
      <c r="C409">
        <f>'DMC Threads - By Number'!AI11</f>
        <v>0</v>
      </c>
      <c r="D409">
        <v>8</v>
      </c>
    </row>
    <row r="410" spans="1:4">
      <c r="A410" s="8">
        <v>3765</v>
      </c>
      <c r="B410" s="2" t="s">
        <v>405</v>
      </c>
      <c r="C410">
        <f>'DMC Threads - By Number'!AI12</f>
        <v>0</v>
      </c>
      <c r="D410">
        <v>8</v>
      </c>
    </row>
    <row r="411" spans="1:4">
      <c r="A411" s="8">
        <v>3766</v>
      </c>
      <c r="B411" s="2" t="s">
        <v>550</v>
      </c>
      <c r="C411">
        <f>'DMC Threads - By Number'!AI13</f>
        <v>0</v>
      </c>
      <c r="D411">
        <v>8</v>
      </c>
    </row>
    <row r="412" spans="1:4">
      <c r="A412" s="8">
        <v>3768</v>
      </c>
      <c r="B412" s="2" t="s">
        <v>325</v>
      </c>
      <c r="C412">
        <f>'DMC Threads - By Number'!AI14</f>
        <v>0</v>
      </c>
      <c r="D412">
        <v>8</v>
      </c>
    </row>
    <row r="413" spans="1:4">
      <c r="A413" s="8">
        <v>3770</v>
      </c>
      <c r="B413" s="2" t="s">
        <v>554</v>
      </c>
      <c r="C413">
        <f>'DMC Threads - By Number'!AI15</f>
        <v>0</v>
      </c>
      <c r="D413">
        <v>16</v>
      </c>
    </row>
    <row r="414" spans="1:4">
      <c r="A414" s="8">
        <v>3771</v>
      </c>
      <c r="B414" s="2" t="s">
        <v>327</v>
      </c>
      <c r="C414">
        <f>'DMC Threads - By Number'!AI16</f>
        <v>0</v>
      </c>
      <c r="D414">
        <v>17</v>
      </c>
    </row>
    <row r="415" spans="1:4">
      <c r="A415" s="8">
        <v>3772</v>
      </c>
      <c r="B415" s="2" t="s">
        <v>412</v>
      </c>
      <c r="C415">
        <f>'DMC Threads - By Number'!AI17</f>
        <v>0</v>
      </c>
      <c r="D415">
        <v>17</v>
      </c>
    </row>
    <row r="416" spans="1:4">
      <c r="A416" s="8">
        <v>3773</v>
      </c>
      <c r="B416" s="2" t="s">
        <v>479</v>
      </c>
      <c r="C416">
        <f>'DMC Threads - By Number'!AI18</f>
        <v>0</v>
      </c>
      <c r="D416" t="s">
        <v>1735</v>
      </c>
    </row>
    <row r="417" spans="1:4">
      <c r="A417" s="8">
        <v>3774</v>
      </c>
      <c r="B417" s="2" t="s">
        <v>564</v>
      </c>
      <c r="C417">
        <f>'DMC Threads - By Number'!AI19</f>
        <v>0</v>
      </c>
      <c r="D417">
        <v>17</v>
      </c>
    </row>
    <row r="418" spans="1:4">
      <c r="A418" s="8">
        <v>3776</v>
      </c>
      <c r="B418" s="2" t="s">
        <v>566</v>
      </c>
      <c r="C418">
        <f>'DMC Threads - By Number'!AI20</f>
        <v>0</v>
      </c>
      <c r="D418">
        <v>16</v>
      </c>
    </row>
    <row r="419" spans="1:4">
      <c r="A419" s="8">
        <v>3777</v>
      </c>
      <c r="B419" s="2" t="s">
        <v>417</v>
      </c>
      <c r="C419">
        <f>'DMC Threads - By Number'!AI21</f>
        <v>0</v>
      </c>
      <c r="D419">
        <v>17</v>
      </c>
    </row>
    <row r="420" spans="1:4">
      <c r="A420" s="8">
        <v>3778</v>
      </c>
      <c r="B420" s="2" t="s">
        <v>572</v>
      </c>
      <c r="C420">
        <f>'DMC Threads - By Number'!AI22</f>
        <v>0</v>
      </c>
      <c r="D420">
        <v>17</v>
      </c>
    </row>
    <row r="421" spans="1:4">
      <c r="A421" s="8">
        <v>3779</v>
      </c>
      <c r="B421" s="2" t="s">
        <v>669</v>
      </c>
      <c r="C421">
        <f>'DMC Threads - By Number'!AI23</f>
        <v>0</v>
      </c>
      <c r="D421">
        <v>17</v>
      </c>
    </row>
    <row r="422" spans="1:4">
      <c r="A422" s="8">
        <v>3781</v>
      </c>
      <c r="B422" s="2" t="s">
        <v>333</v>
      </c>
      <c r="C422">
        <f>'DMC Threads - By Number'!AI24</f>
        <v>0</v>
      </c>
      <c r="D422">
        <v>19</v>
      </c>
    </row>
    <row r="423" spans="1:4">
      <c r="A423" s="8">
        <v>3782</v>
      </c>
      <c r="B423" s="2" t="s">
        <v>577</v>
      </c>
      <c r="C423">
        <f>'DMC Threads - By Number'!AI25</f>
        <v>0</v>
      </c>
      <c r="D423">
        <v>19</v>
      </c>
    </row>
    <row r="424" spans="1:4">
      <c r="A424" s="8">
        <v>3787</v>
      </c>
      <c r="B424" s="2" t="s">
        <v>336</v>
      </c>
      <c r="C424">
        <f>'DMC Threads - By Number'!AI26</f>
        <v>0</v>
      </c>
      <c r="D424">
        <v>19</v>
      </c>
    </row>
    <row r="425" spans="1:4">
      <c r="A425" s="8">
        <v>3790</v>
      </c>
      <c r="B425" s="2" t="s">
        <v>671</v>
      </c>
      <c r="C425">
        <f>'DMC Threads - By Number'!AI27</f>
        <v>0</v>
      </c>
      <c r="D425">
        <v>19</v>
      </c>
    </row>
    <row r="426" spans="1:4">
      <c r="A426" s="8">
        <v>3799</v>
      </c>
      <c r="B426" s="2" t="s">
        <v>422</v>
      </c>
      <c r="C426">
        <f>'DMC Threads - By Number'!AI28</f>
        <v>0</v>
      </c>
      <c r="D426">
        <v>20</v>
      </c>
    </row>
    <row r="427" spans="1:4">
      <c r="A427" s="8">
        <v>3801</v>
      </c>
      <c r="B427" s="2" t="s">
        <v>423</v>
      </c>
      <c r="C427">
        <f>'DMC Threads - By Number'!AI29</f>
        <v>0</v>
      </c>
      <c r="D427">
        <v>1</v>
      </c>
    </row>
    <row r="428" spans="1:4">
      <c r="A428" s="8">
        <v>3802</v>
      </c>
      <c r="B428" s="2" t="s">
        <v>426</v>
      </c>
      <c r="C428">
        <f>'DMC Threads - By Number'!AI30</f>
        <v>0</v>
      </c>
      <c r="D428">
        <v>4</v>
      </c>
    </row>
    <row r="429" spans="1:4">
      <c r="A429" s="8">
        <v>3803</v>
      </c>
      <c r="B429" s="2" t="s">
        <v>344</v>
      </c>
      <c r="C429">
        <f>'DMC Threads - By Number'!AI31</f>
        <v>0</v>
      </c>
      <c r="D429">
        <v>3</v>
      </c>
    </row>
    <row r="430" spans="1:4">
      <c r="A430" s="8">
        <v>3804</v>
      </c>
      <c r="B430" s="2" t="s">
        <v>345</v>
      </c>
      <c r="C430">
        <f>'DMC Threads - By Number'!AI32</f>
        <v>0</v>
      </c>
      <c r="D430">
        <v>33</v>
      </c>
    </row>
    <row r="431" spans="1:4">
      <c r="A431" s="8">
        <v>3805</v>
      </c>
      <c r="B431" s="2" t="s">
        <v>71</v>
      </c>
      <c r="C431">
        <f>'DMC Threads - By Number'!AI33</f>
        <v>0</v>
      </c>
      <c r="D431">
        <v>3</v>
      </c>
    </row>
    <row r="432" spans="1:4">
      <c r="A432" s="8">
        <v>3806</v>
      </c>
      <c r="B432" s="2" t="s">
        <v>596</v>
      </c>
      <c r="C432">
        <f>'DMC Threads - By Number'!AI34</f>
        <v>0</v>
      </c>
      <c r="D432">
        <v>3</v>
      </c>
    </row>
    <row r="433" spans="1:4">
      <c r="A433" s="8">
        <v>3807</v>
      </c>
      <c r="B433" s="2" t="s">
        <v>72</v>
      </c>
      <c r="C433">
        <f>'DMC Threads - By Number'!AI35</f>
        <v>0</v>
      </c>
      <c r="D433">
        <v>5</v>
      </c>
    </row>
    <row r="434" spans="1:4">
      <c r="A434" s="8">
        <v>3808</v>
      </c>
      <c r="B434" s="2" t="s">
        <v>673</v>
      </c>
      <c r="C434">
        <f>'DMC Threads - By Number'!AI36</f>
        <v>0</v>
      </c>
      <c r="D434">
        <v>8</v>
      </c>
    </row>
    <row r="435" spans="1:4">
      <c r="A435" s="8">
        <v>3809</v>
      </c>
      <c r="B435" s="2" t="s">
        <v>431</v>
      </c>
      <c r="C435">
        <f>'DMC Threads - By Number'!AI37</f>
        <v>0</v>
      </c>
      <c r="D435">
        <v>8</v>
      </c>
    </row>
    <row r="436" spans="1:4">
      <c r="A436" s="8">
        <v>3810</v>
      </c>
      <c r="B436" s="2" t="s">
        <v>355</v>
      </c>
      <c r="C436">
        <f>'DMC Threads - By Number'!AI38</f>
        <v>0</v>
      </c>
      <c r="D436">
        <v>8</v>
      </c>
    </row>
    <row r="437" spans="1:4">
      <c r="A437" s="8">
        <v>3811</v>
      </c>
      <c r="B437" s="2" t="s">
        <v>606</v>
      </c>
      <c r="C437">
        <f>'DMC Threads - By Number'!AI39</f>
        <v>0</v>
      </c>
      <c r="D437">
        <v>8</v>
      </c>
    </row>
    <row r="438" spans="1:4">
      <c r="A438" s="8">
        <v>3812</v>
      </c>
      <c r="B438" s="2" t="s">
        <v>434</v>
      </c>
      <c r="C438">
        <f>'DMC Threads - By Number'!AI40</f>
        <v>0</v>
      </c>
      <c r="D438">
        <v>9</v>
      </c>
    </row>
    <row r="439" spans="1:4">
      <c r="A439" s="8">
        <v>3813</v>
      </c>
      <c r="B439" s="2" t="s">
        <v>608</v>
      </c>
      <c r="C439">
        <f>'DMC Threads - By Number'!AI41</f>
        <v>0</v>
      </c>
      <c r="D439">
        <v>9</v>
      </c>
    </row>
    <row r="440" spans="1:4">
      <c r="A440" s="8">
        <v>3814</v>
      </c>
      <c r="B440" s="2" t="s">
        <v>36</v>
      </c>
      <c r="C440">
        <f>'DMC Threads - By Number'!AI42</f>
        <v>0</v>
      </c>
      <c r="D440">
        <v>9</v>
      </c>
    </row>
    <row r="441" spans="1:4">
      <c r="A441" s="8">
        <v>3815</v>
      </c>
      <c r="B441" s="2" t="s">
        <v>361</v>
      </c>
      <c r="C441">
        <f>'DMC Threads - By Number'!AI43</f>
        <v>0</v>
      </c>
      <c r="D441">
        <v>9</v>
      </c>
    </row>
    <row r="442" spans="1:4">
      <c r="A442" s="8">
        <v>3816</v>
      </c>
      <c r="B442" s="2" t="s">
        <v>74</v>
      </c>
      <c r="C442">
        <f>'DMC Threads - By Number'!AI44</f>
        <v>0</v>
      </c>
      <c r="D442">
        <v>9</v>
      </c>
    </row>
    <row r="443" spans="1:4">
      <c r="A443" s="8">
        <v>3817</v>
      </c>
      <c r="B443" s="2" t="s">
        <v>615</v>
      </c>
      <c r="C443">
        <f>'DMC Threads - By Number'!AI45</f>
        <v>0</v>
      </c>
      <c r="D443">
        <v>9</v>
      </c>
    </row>
    <row r="444" spans="1:4">
      <c r="A444" s="8">
        <v>3818</v>
      </c>
      <c r="B444" s="2" t="s">
        <v>677</v>
      </c>
      <c r="C444">
        <f>'DMC Threads - By Number'!AI46</f>
        <v>0</v>
      </c>
      <c r="D444">
        <v>10</v>
      </c>
    </row>
    <row r="445" spans="1:4">
      <c r="A445" s="8">
        <v>3819</v>
      </c>
      <c r="B445" s="2" t="s">
        <v>617</v>
      </c>
      <c r="C445">
        <f>'DMC Threads - By Number'!AI47</f>
        <v>0</v>
      </c>
      <c r="D445">
        <v>12</v>
      </c>
    </row>
    <row r="446" spans="1:4">
      <c r="A446" s="8">
        <v>3820</v>
      </c>
      <c r="B446" s="2" t="s">
        <v>372</v>
      </c>
      <c r="C446">
        <f>'DMC Threads - By Number'!AI48</f>
        <v>0</v>
      </c>
      <c r="D446">
        <v>14</v>
      </c>
    </row>
    <row r="447" spans="1:4">
      <c r="A447" s="8">
        <v>3821</v>
      </c>
      <c r="B447" s="2" t="s">
        <v>75</v>
      </c>
      <c r="C447">
        <f>'DMC Threads - By Number'!AI49</f>
        <v>0</v>
      </c>
      <c r="D447">
        <v>14</v>
      </c>
    </row>
    <row r="448" spans="1:4">
      <c r="A448" s="8">
        <v>3822</v>
      </c>
      <c r="B448" s="2" t="s">
        <v>625</v>
      </c>
      <c r="C448">
        <f>'DMC Threads - By Number'!AI50</f>
        <v>0</v>
      </c>
      <c r="D448">
        <v>14</v>
      </c>
    </row>
    <row r="449" spans="1:4">
      <c r="A449" s="8">
        <v>3823</v>
      </c>
      <c r="B449" s="2" t="s">
        <v>700</v>
      </c>
      <c r="C449">
        <f>'DMC Threads - By Number'!AI51</f>
        <v>0</v>
      </c>
      <c r="D449">
        <v>14</v>
      </c>
    </row>
    <row r="450" spans="1:4">
      <c r="A450" s="8">
        <v>3824</v>
      </c>
      <c r="B450" s="2" t="s">
        <v>629</v>
      </c>
      <c r="C450">
        <f>'DMC Threads - By Number'!AI52</f>
        <v>0</v>
      </c>
      <c r="D450">
        <v>15</v>
      </c>
    </row>
    <row r="451" spans="1:4">
      <c r="A451" s="8">
        <v>3825</v>
      </c>
      <c r="B451" s="2" t="s">
        <v>701</v>
      </c>
      <c r="C451">
        <f>'DMC Threads - By Number'!AI53</f>
        <v>0</v>
      </c>
      <c r="D451">
        <v>16</v>
      </c>
    </row>
    <row r="452" spans="1:4">
      <c r="A452" s="8">
        <v>3826</v>
      </c>
      <c r="B452" s="2" t="s">
        <v>76</v>
      </c>
      <c r="C452">
        <f>'DMC Threads - By Number'!AI54</f>
        <v>0</v>
      </c>
      <c r="D452">
        <v>14</v>
      </c>
    </row>
    <row r="453" spans="1:4">
      <c r="A453" s="8">
        <v>3827</v>
      </c>
      <c r="B453" s="2" t="s">
        <v>703</v>
      </c>
      <c r="C453">
        <f>'DMC Threads - By Number'!AI55</f>
        <v>0</v>
      </c>
      <c r="D453">
        <v>14</v>
      </c>
    </row>
    <row r="454" spans="1:4">
      <c r="A454" s="8">
        <v>3828</v>
      </c>
      <c r="B454" s="2" t="s">
        <v>77</v>
      </c>
      <c r="C454">
        <f>'DMC Threads - By Number'!AI56</f>
        <v>0</v>
      </c>
      <c r="D454">
        <v>13</v>
      </c>
    </row>
    <row r="455" spans="1:4">
      <c r="A455" s="8">
        <v>3829</v>
      </c>
      <c r="B455" s="2" t="s">
        <v>442</v>
      </c>
      <c r="C455">
        <f>'DMC Threads - By Number'!AI57</f>
        <v>0</v>
      </c>
      <c r="D455">
        <v>14</v>
      </c>
    </row>
    <row r="456" spans="1:4">
      <c r="A456" s="8">
        <v>3830</v>
      </c>
      <c r="B456" s="2" t="s">
        <v>78</v>
      </c>
      <c r="C456">
        <f>'DMC Threads - By Number'!AI58</f>
        <v>0</v>
      </c>
      <c r="D456">
        <v>17</v>
      </c>
    </row>
    <row r="457" spans="1:4">
      <c r="A457" s="8">
        <v>3831</v>
      </c>
      <c r="B457" s="2" t="s">
        <v>387</v>
      </c>
      <c r="C457">
        <f>'DMC Threads - By Number'!AI59</f>
        <v>0</v>
      </c>
      <c r="D457">
        <v>1</v>
      </c>
    </row>
    <row r="458" spans="1:4">
      <c r="A458" s="8">
        <v>3832</v>
      </c>
      <c r="B458" s="2" t="s">
        <v>524</v>
      </c>
      <c r="C458">
        <f>'DMC Threads - By Number'!AI60</f>
        <v>0</v>
      </c>
      <c r="D458">
        <v>1</v>
      </c>
    </row>
    <row r="459" spans="1:4">
      <c r="A459" s="8">
        <v>3833</v>
      </c>
      <c r="B459" s="2" t="s">
        <v>643</v>
      </c>
      <c r="C459">
        <f>'DMC Threads - By Number'!AI61</f>
        <v>0</v>
      </c>
      <c r="D459">
        <v>1</v>
      </c>
    </row>
    <row r="460" spans="1:4">
      <c r="A460" s="8">
        <v>3834</v>
      </c>
      <c r="B460" s="2" t="s">
        <v>390</v>
      </c>
      <c r="C460">
        <f>'DMC Threads - By Number'!AI62</f>
        <v>0</v>
      </c>
      <c r="D460">
        <v>4</v>
      </c>
    </row>
    <row r="461" spans="1:4">
      <c r="A461" s="8">
        <v>3835</v>
      </c>
      <c r="B461" s="2" t="s">
        <v>528</v>
      </c>
      <c r="C461">
        <f>'DMC Threads - By Number'!AI63</f>
        <v>0</v>
      </c>
      <c r="D461">
        <v>4</v>
      </c>
    </row>
    <row r="462" spans="1:4">
      <c r="A462" s="8">
        <v>3836</v>
      </c>
      <c r="B462" s="2" t="s">
        <v>651</v>
      </c>
      <c r="C462">
        <f>'DMC Threads - By Number'!AI64</f>
        <v>0</v>
      </c>
      <c r="D462">
        <v>4</v>
      </c>
    </row>
    <row r="463" spans="1:4">
      <c r="A463" s="8">
        <v>3837</v>
      </c>
      <c r="B463" s="2" t="s">
        <v>684</v>
      </c>
      <c r="C463">
        <f>'DMC Threads - By Number'!AI65</f>
        <v>0</v>
      </c>
      <c r="D463">
        <v>4</v>
      </c>
    </row>
    <row r="464" spans="1:4">
      <c r="A464" s="8">
        <v>3838</v>
      </c>
      <c r="B464" s="2" t="s">
        <v>394</v>
      </c>
      <c r="C464">
        <f>'DMC Threads - By Number'!AI66</f>
        <v>0</v>
      </c>
      <c r="D464">
        <v>6</v>
      </c>
    </row>
    <row r="465" spans="1:4">
      <c r="A465" s="8">
        <v>3839</v>
      </c>
      <c r="B465" s="2" t="s">
        <v>532</v>
      </c>
      <c r="C465">
        <f>'DMC Threads - By Number'!AI67</f>
        <v>0</v>
      </c>
      <c r="D465">
        <v>6</v>
      </c>
    </row>
    <row r="466" spans="1:4">
      <c r="A466" s="8">
        <v>3840</v>
      </c>
      <c r="B466" s="2" t="s">
        <v>655</v>
      </c>
      <c r="C466">
        <f>'DMC Threads - By Number'!AI68</f>
        <v>0</v>
      </c>
      <c r="D466">
        <v>6</v>
      </c>
    </row>
    <row r="467" spans="1:4">
      <c r="A467" s="8">
        <v>3841</v>
      </c>
      <c r="B467" s="2" t="s">
        <v>704</v>
      </c>
      <c r="C467">
        <f>'DMC Threads - By Number'!AI69</f>
        <v>0</v>
      </c>
      <c r="D467">
        <v>7</v>
      </c>
    </row>
    <row r="468" spans="1:4">
      <c r="A468" s="8">
        <v>3842</v>
      </c>
      <c r="B468" s="2" t="s">
        <v>315</v>
      </c>
      <c r="C468">
        <f>'DMC Threads - By Number'!AI70</f>
        <v>0</v>
      </c>
      <c r="D468">
        <v>8</v>
      </c>
    </row>
    <row r="469" spans="1:4">
      <c r="A469" s="8">
        <v>3843</v>
      </c>
      <c r="B469" s="2" t="s">
        <v>73</v>
      </c>
      <c r="C469">
        <f>'DMC Threads - By Number'!AI71</f>
        <v>0</v>
      </c>
      <c r="D469">
        <v>6</v>
      </c>
    </row>
    <row r="470" spans="1:4" ht="17" thickBot="1">
      <c r="A470" s="8">
        <v>3844</v>
      </c>
      <c r="B470" s="4" t="s">
        <v>401</v>
      </c>
      <c r="C470">
        <f>'DMC Threads - By Number'!AI72</f>
        <v>0</v>
      </c>
      <c r="D470">
        <v>6</v>
      </c>
    </row>
    <row r="471" spans="1:4">
      <c r="A471" s="8">
        <v>3845</v>
      </c>
      <c r="B471" s="14" t="s">
        <v>461</v>
      </c>
      <c r="C471">
        <f>'DMC Threads - By Number'!AN6</f>
        <v>0</v>
      </c>
      <c r="D471">
        <v>6</v>
      </c>
    </row>
    <row r="472" spans="1:4">
      <c r="A472" s="8">
        <v>3846</v>
      </c>
      <c r="B472" s="2" t="s">
        <v>538</v>
      </c>
      <c r="C472">
        <f>'DMC Threads - By Number'!AN7</f>
        <v>0</v>
      </c>
      <c r="D472">
        <v>6</v>
      </c>
    </row>
    <row r="473" spans="1:4">
      <c r="A473" s="8">
        <v>3847</v>
      </c>
      <c r="B473" s="2" t="s">
        <v>318</v>
      </c>
      <c r="C473">
        <f>'DMC Threads - By Number'!AN8</f>
        <v>0</v>
      </c>
      <c r="D473">
        <v>8</v>
      </c>
    </row>
    <row r="474" spans="1:4">
      <c r="A474" s="8">
        <v>3848</v>
      </c>
      <c r="B474" s="2" t="s">
        <v>466</v>
      </c>
      <c r="C474">
        <f>'DMC Threads - By Number'!AN9</f>
        <v>0</v>
      </c>
      <c r="D474">
        <v>8</v>
      </c>
    </row>
    <row r="475" spans="1:4">
      <c r="A475" s="8">
        <v>3849</v>
      </c>
      <c r="B475" s="2" t="s">
        <v>544</v>
      </c>
      <c r="C475">
        <f>'DMC Threads - By Number'!AN10</f>
        <v>0</v>
      </c>
      <c r="D475">
        <v>8</v>
      </c>
    </row>
    <row r="476" spans="1:4">
      <c r="A476" s="8">
        <v>3850</v>
      </c>
      <c r="B476" s="2" t="s">
        <v>322</v>
      </c>
      <c r="C476">
        <f>'DMC Threads - By Number'!AN11</f>
        <v>0</v>
      </c>
      <c r="D476">
        <v>9</v>
      </c>
    </row>
    <row r="477" spans="1:4">
      <c r="A477" s="8">
        <v>3851</v>
      </c>
      <c r="B477" s="2" t="s">
        <v>548</v>
      </c>
      <c r="C477">
        <f>'DMC Threads - By Number'!AN12</f>
        <v>0</v>
      </c>
      <c r="D477">
        <v>9</v>
      </c>
    </row>
    <row r="478" spans="1:4">
      <c r="A478" s="8">
        <v>3852</v>
      </c>
      <c r="B478" s="2" t="s">
        <v>407</v>
      </c>
      <c r="C478">
        <f>'DMC Threads - By Number'!AN13</f>
        <v>0</v>
      </c>
      <c r="D478">
        <v>14</v>
      </c>
    </row>
    <row r="479" spans="1:4">
      <c r="A479" s="8">
        <v>3853</v>
      </c>
      <c r="B479" s="2" t="s">
        <v>326</v>
      </c>
      <c r="C479">
        <f>'DMC Threads - By Number'!AN14</f>
        <v>0</v>
      </c>
      <c r="D479">
        <v>14</v>
      </c>
    </row>
    <row r="480" spans="1:4">
      <c r="A480" s="8">
        <v>3854</v>
      </c>
      <c r="B480" s="2" t="s">
        <v>475</v>
      </c>
      <c r="C480">
        <f>'DMC Threads - By Number'!AN15</f>
        <v>0</v>
      </c>
      <c r="D480">
        <v>14</v>
      </c>
    </row>
    <row r="481" spans="1:4">
      <c r="A481" s="8">
        <v>3855</v>
      </c>
      <c r="B481" s="2" t="s">
        <v>556</v>
      </c>
      <c r="C481">
        <f>'DMC Threads - By Number'!AN16</f>
        <v>0</v>
      </c>
      <c r="D481">
        <v>14</v>
      </c>
    </row>
    <row r="482" spans="1:4">
      <c r="A482" s="8">
        <v>3856</v>
      </c>
      <c r="B482" s="2" t="s">
        <v>668</v>
      </c>
      <c r="C482">
        <f>'DMC Threads - By Number'!AN17</f>
        <v>0</v>
      </c>
      <c r="D482">
        <v>16</v>
      </c>
    </row>
    <row r="483" spans="1:4">
      <c r="A483" s="8">
        <v>3857</v>
      </c>
      <c r="B483" s="2" t="s">
        <v>329</v>
      </c>
      <c r="C483">
        <f>'DMC Threads - By Number'!AN18</f>
        <v>0</v>
      </c>
      <c r="D483">
        <v>17</v>
      </c>
    </row>
    <row r="484" spans="1:4">
      <c r="A484" s="8">
        <v>3858</v>
      </c>
      <c r="B484" s="2" t="s">
        <v>481</v>
      </c>
      <c r="C484">
        <f>'DMC Threads - By Number'!AN19</f>
        <v>0</v>
      </c>
      <c r="D484">
        <v>17</v>
      </c>
    </row>
    <row r="485" spans="1:4">
      <c r="A485" s="8">
        <v>3859</v>
      </c>
      <c r="B485" s="2" t="s">
        <v>567</v>
      </c>
      <c r="C485">
        <f>'DMC Threads - By Number'!AN20</f>
        <v>0</v>
      </c>
      <c r="D485">
        <v>17</v>
      </c>
    </row>
    <row r="486" spans="1:4">
      <c r="A486" s="8">
        <v>3860</v>
      </c>
      <c r="B486" s="2" t="s">
        <v>79</v>
      </c>
      <c r="C486">
        <f>'DMC Threads - By Number'!AN21</f>
        <v>0</v>
      </c>
      <c r="D486">
        <v>18</v>
      </c>
    </row>
    <row r="487" spans="1:4">
      <c r="A487" s="8">
        <v>3861</v>
      </c>
      <c r="B487" s="2" t="s">
        <v>573</v>
      </c>
      <c r="C487">
        <f>'DMC Threads - By Number'!AN22</f>
        <v>0</v>
      </c>
      <c r="D487">
        <v>18</v>
      </c>
    </row>
    <row r="488" spans="1:4">
      <c r="A488" s="8">
        <v>3862</v>
      </c>
      <c r="B488" s="2" t="s">
        <v>332</v>
      </c>
      <c r="C488">
        <f>'DMC Threads - By Number'!AN23</f>
        <v>0</v>
      </c>
      <c r="D488">
        <v>18</v>
      </c>
    </row>
    <row r="489" spans="1:4">
      <c r="A489" s="8">
        <v>3863</v>
      </c>
      <c r="B489" s="2" t="s">
        <v>488</v>
      </c>
      <c r="C489">
        <f>'DMC Threads - By Number'!AN24</f>
        <v>0</v>
      </c>
      <c r="D489">
        <v>18</v>
      </c>
    </row>
    <row r="490" spans="1:4">
      <c r="A490" s="8">
        <v>3864</v>
      </c>
      <c r="B490" s="2" t="s">
        <v>578</v>
      </c>
      <c r="C490">
        <f>'DMC Threads - By Number'!AN25</f>
        <v>0</v>
      </c>
      <c r="D490">
        <v>18</v>
      </c>
    </row>
    <row r="491" spans="1:4">
      <c r="A491" s="8">
        <v>3865</v>
      </c>
      <c r="B491" s="2" t="s">
        <v>80</v>
      </c>
      <c r="C491">
        <f>'DMC Threads - By Number'!AN26</f>
        <v>0</v>
      </c>
      <c r="D491">
        <v>19</v>
      </c>
    </row>
    <row r="492" spans="1:4">
      <c r="A492" s="8">
        <v>3866</v>
      </c>
      <c r="B492" s="2" t="s">
        <v>672</v>
      </c>
      <c r="C492">
        <f>'DMC Threads - By Number'!AN27</f>
        <v>0</v>
      </c>
      <c r="D492">
        <v>19</v>
      </c>
    </row>
    <row r="493" spans="1:4">
      <c r="A493" s="8">
        <v>3880</v>
      </c>
      <c r="B493" s="2" t="s">
        <v>581</v>
      </c>
      <c r="C493">
        <f>'DMC Threads - By Number'!AN28</f>
        <v>0</v>
      </c>
      <c r="D493" t="s">
        <v>1735</v>
      </c>
    </row>
    <row r="494" spans="1:4">
      <c r="A494" s="8">
        <v>3881</v>
      </c>
      <c r="B494" s="2" t="s">
        <v>584</v>
      </c>
      <c r="C494">
        <f>'DMC Threads - By Number'!AN29</f>
        <v>0</v>
      </c>
      <c r="D494" t="s">
        <v>1735</v>
      </c>
    </row>
    <row r="495" spans="1:4">
      <c r="A495" s="8">
        <v>3882</v>
      </c>
      <c r="B495" s="2" t="s">
        <v>341</v>
      </c>
      <c r="C495">
        <f>'DMC Threads - By Number'!AN30</f>
        <v>0</v>
      </c>
      <c r="D495" t="s">
        <v>1735</v>
      </c>
    </row>
    <row r="496" spans="1:4">
      <c r="A496" s="8">
        <v>3883</v>
      </c>
      <c r="B496" s="2" t="s">
        <v>588</v>
      </c>
      <c r="C496">
        <f>'DMC Threads - By Number'!AN31</f>
        <v>0</v>
      </c>
      <c r="D496" t="s">
        <v>1735</v>
      </c>
    </row>
    <row r="497" spans="1:4">
      <c r="A497" s="8">
        <v>3884</v>
      </c>
      <c r="B497" s="2" t="s">
        <v>549</v>
      </c>
      <c r="C497">
        <f>'DMC Threads - By Number'!AN32</f>
        <v>0</v>
      </c>
      <c r="D497" t="s">
        <v>1735</v>
      </c>
    </row>
    <row r="498" spans="1:4">
      <c r="A498" s="8">
        <v>3885</v>
      </c>
      <c r="B498" s="2" t="s">
        <v>406</v>
      </c>
      <c r="C498">
        <f>'DMC Threads - By Number'!AN33</f>
        <v>0</v>
      </c>
      <c r="D498" t="s">
        <v>1735</v>
      </c>
    </row>
    <row r="499" spans="1:4">
      <c r="A499" s="8">
        <v>3886</v>
      </c>
      <c r="B499" s="2" t="s">
        <v>428</v>
      </c>
      <c r="C499">
        <f>'DMC Threads - By Number'!AN34</f>
        <v>0</v>
      </c>
      <c r="D499" t="s">
        <v>1735</v>
      </c>
    </row>
    <row r="500" spans="1:4">
      <c r="A500" s="8">
        <v>3887</v>
      </c>
      <c r="B500" s="2" t="s">
        <v>429</v>
      </c>
      <c r="C500">
        <f>'DMC Threads - By Number'!AN35</f>
        <v>0</v>
      </c>
      <c r="D500" t="s">
        <v>1735</v>
      </c>
    </row>
    <row r="501" spans="1:4">
      <c r="A501" s="8">
        <v>3888</v>
      </c>
      <c r="B501" s="2" t="s">
        <v>353</v>
      </c>
      <c r="C501">
        <f>'DMC Threads - By Number'!AN36</f>
        <v>0</v>
      </c>
      <c r="D501" t="s">
        <v>1735</v>
      </c>
    </row>
    <row r="502" spans="1:4">
      <c r="A502" s="8">
        <v>3889</v>
      </c>
      <c r="B502" s="2" t="s">
        <v>601</v>
      </c>
      <c r="C502">
        <f>'DMC Threads - By Number'!AN37</f>
        <v>0</v>
      </c>
      <c r="D502" t="s">
        <v>1735</v>
      </c>
    </row>
    <row r="503" spans="1:4">
      <c r="A503" s="8">
        <v>3890</v>
      </c>
      <c r="B503" s="2" t="s">
        <v>550</v>
      </c>
      <c r="C503">
        <f>'DMC Threads - By Number'!AN38</f>
        <v>0</v>
      </c>
      <c r="D503" t="s">
        <v>1735</v>
      </c>
    </row>
    <row r="504" spans="1:4">
      <c r="A504" s="8">
        <v>3891</v>
      </c>
      <c r="B504" s="2" t="s">
        <v>321</v>
      </c>
      <c r="C504">
        <f>'DMC Threads - By Number'!AN39</f>
        <v>0</v>
      </c>
      <c r="D504" t="s">
        <v>1735</v>
      </c>
    </row>
    <row r="505" spans="1:4">
      <c r="A505" s="8">
        <v>3892</v>
      </c>
      <c r="B505" s="2" t="s">
        <v>21</v>
      </c>
      <c r="C505">
        <f>'DMC Threads - By Number'!AN40</f>
        <v>0</v>
      </c>
      <c r="D505" t="s">
        <v>1735</v>
      </c>
    </row>
    <row r="506" spans="1:4">
      <c r="A506" s="8">
        <v>3893</v>
      </c>
      <c r="B506" s="2" t="s">
        <v>667</v>
      </c>
      <c r="C506">
        <f>'DMC Threads - By Number'!AN41</f>
        <v>0</v>
      </c>
      <c r="D506" t="s">
        <v>1735</v>
      </c>
    </row>
    <row r="507" spans="1:4">
      <c r="A507" s="8">
        <v>3894</v>
      </c>
      <c r="B507" s="2" t="s">
        <v>562</v>
      </c>
      <c r="C507">
        <f>'DMC Threads - By Number'!AN42</f>
        <v>0</v>
      </c>
      <c r="D507" t="s">
        <v>1735</v>
      </c>
    </row>
    <row r="508" spans="1:4">
      <c r="A508" s="8">
        <v>3895</v>
      </c>
      <c r="B508" s="2" t="s">
        <v>362</v>
      </c>
      <c r="C508">
        <f>'DMC Threads - By Number'!AN43</f>
        <v>0</v>
      </c>
      <c r="D508" t="s">
        <v>1735</v>
      </c>
    </row>
    <row r="509" spans="1:4">
      <c r="A509" s="8">
        <v>48</v>
      </c>
      <c r="B509" s="6" t="s">
        <v>131</v>
      </c>
      <c r="C509">
        <f>'DMC Threads - By Number'!AN44</f>
        <v>0</v>
      </c>
      <c r="D509">
        <v>21</v>
      </c>
    </row>
    <row r="510" spans="1:4">
      <c r="A510" s="8">
        <v>51</v>
      </c>
      <c r="B510" s="6" t="s">
        <v>132</v>
      </c>
      <c r="C510">
        <f>'DMC Threads - By Number'!AN45</f>
        <v>0</v>
      </c>
      <c r="D510">
        <v>21</v>
      </c>
    </row>
    <row r="511" spans="1:4">
      <c r="A511" s="8">
        <v>52</v>
      </c>
      <c r="B511" s="6" t="s">
        <v>133</v>
      </c>
      <c r="C511">
        <f>'DMC Threads - By Number'!AN46</f>
        <v>0</v>
      </c>
      <c r="D511">
        <v>21</v>
      </c>
    </row>
    <row r="512" spans="1:4">
      <c r="A512" s="8">
        <v>53</v>
      </c>
      <c r="B512" s="6" t="s">
        <v>134</v>
      </c>
      <c r="C512">
        <f>'DMC Threads - By Number'!AN47</f>
        <v>0</v>
      </c>
      <c r="D512">
        <v>21</v>
      </c>
    </row>
    <row r="513" spans="1:4">
      <c r="A513" s="8">
        <v>67</v>
      </c>
      <c r="B513" s="6" t="s">
        <v>135</v>
      </c>
      <c r="C513">
        <f>'DMC Threads - By Number'!AN48</f>
        <v>0</v>
      </c>
      <c r="D513">
        <v>21</v>
      </c>
    </row>
    <row r="514" spans="1:4">
      <c r="A514" s="8">
        <v>69</v>
      </c>
      <c r="B514" s="6" t="s">
        <v>136</v>
      </c>
      <c r="C514">
        <f>'DMC Threads - By Number'!AN49</f>
        <v>0</v>
      </c>
      <c r="D514">
        <v>21</v>
      </c>
    </row>
    <row r="515" spans="1:4">
      <c r="A515" s="8">
        <v>90</v>
      </c>
      <c r="B515" s="6" t="s">
        <v>137</v>
      </c>
      <c r="C515">
        <f>'DMC Threads - By Number'!AN50</f>
        <v>0</v>
      </c>
      <c r="D515">
        <v>21</v>
      </c>
    </row>
    <row r="516" spans="1:4">
      <c r="A516" s="8">
        <v>92</v>
      </c>
      <c r="B516" s="6" t="s">
        <v>138</v>
      </c>
      <c r="C516">
        <f>'DMC Threads - By Number'!AN51</f>
        <v>0</v>
      </c>
      <c r="D516">
        <v>21</v>
      </c>
    </row>
    <row r="517" spans="1:4">
      <c r="A517" s="8">
        <v>93</v>
      </c>
      <c r="B517" s="6" t="s">
        <v>139</v>
      </c>
      <c r="C517">
        <f>'DMC Threads - By Number'!AN52</f>
        <v>0</v>
      </c>
      <c r="D517">
        <v>21</v>
      </c>
    </row>
    <row r="518" spans="1:4">
      <c r="A518" s="8">
        <v>94</v>
      </c>
      <c r="B518" s="6" t="s">
        <v>140</v>
      </c>
      <c r="C518">
        <f>'DMC Threads - By Number'!AN53</f>
        <v>0</v>
      </c>
      <c r="D518">
        <v>21</v>
      </c>
    </row>
    <row r="519" spans="1:4">
      <c r="A519" s="8">
        <v>99</v>
      </c>
      <c r="B519" s="6" t="s">
        <v>141</v>
      </c>
      <c r="C519">
        <f>'DMC Threads - By Number'!AN54</f>
        <v>0</v>
      </c>
      <c r="D519">
        <v>21</v>
      </c>
    </row>
    <row r="520" spans="1:4">
      <c r="A520" s="8">
        <v>105</v>
      </c>
      <c r="B520" s="6" t="s">
        <v>142</v>
      </c>
      <c r="C520">
        <f>'DMC Threads - By Number'!AN55</f>
        <v>0</v>
      </c>
      <c r="D520">
        <v>21</v>
      </c>
    </row>
    <row r="521" spans="1:4">
      <c r="A521" s="8">
        <v>106</v>
      </c>
      <c r="B521" s="6" t="s">
        <v>143</v>
      </c>
      <c r="C521">
        <f>'DMC Threads - By Number'!AN56</f>
        <v>0</v>
      </c>
      <c r="D521">
        <v>21</v>
      </c>
    </row>
    <row r="522" spans="1:4">
      <c r="A522" s="8">
        <v>107</v>
      </c>
      <c r="B522" s="6" t="s">
        <v>144</v>
      </c>
      <c r="C522">
        <f>'DMC Threads - By Number'!AN57</f>
        <v>0</v>
      </c>
      <c r="D522">
        <v>21</v>
      </c>
    </row>
    <row r="523" spans="1:4">
      <c r="A523" s="8">
        <v>111</v>
      </c>
      <c r="B523" s="6" t="s">
        <v>145</v>
      </c>
      <c r="C523">
        <f>'DMC Threads - By Number'!AN58</f>
        <v>0</v>
      </c>
      <c r="D523">
        <v>21</v>
      </c>
    </row>
    <row r="524" spans="1:4">
      <c r="A524" s="8">
        <v>115</v>
      </c>
      <c r="B524" s="6" t="s">
        <v>146</v>
      </c>
      <c r="C524">
        <f>'DMC Threads - By Number'!AN59</f>
        <v>0</v>
      </c>
      <c r="D524">
        <v>21</v>
      </c>
    </row>
    <row r="525" spans="1:4">
      <c r="A525" s="8">
        <v>121</v>
      </c>
      <c r="B525" s="6" t="s">
        <v>147</v>
      </c>
      <c r="C525">
        <f>'DMC Threads - By Number'!AN60</f>
        <v>0</v>
      </c>
      <c r="D525">
        <v>21</v>
      </c>
    </row>
    <row r="526" spans="1:4">
      <c r="A526" s="8">
        <v>125</v>
      </c>
      <c r="B526" s="6" t="s">
        <v>148</v>
      </c>
      <c r="C526">
        <f>'DMC Threads - By Number'!AN61</f>
        <v>0</v>
      </c>
      <c r="D526">
        <v>21</v>
      </c>
    </row>
    <row r="527" spans="1:4">
      <c r="A527" s="8" t="s">
        <v>113</v>
      </c>
      <c r="B527" s="6" t="s">
        <v>184</v>
      </c>
      <c r="C527">
        <f>'DMC Threads - By Number'!AN63</f>
        <v>0</v>
      </c>
      <c r="D527">
        <v>23</v>
      </c>
    </row>
    <row r="528" spans="1:4">
      <c r="A528" s="8" t="s">
        <v>81</v>
      </c>
      <c r="B528" s="6" t="s">
        <v>185</v>
      </c>
      <c r="C528">
        <f>'DMC Threads - By Number'!AN64</f>
        <v>0</v>
      </c>
      <c r="D528">
        <v>22</v>
      </c>
    </row>
    <row r="529" spans="1:4">
      <c r="A529" s="8" t="s">
        <v>1003</v>
      </c>
      <c r="B529" s="6" t="s">
        <v>917</v>
      </c>
      <c r="C529">
        <f>'DMC Threads - By Number'!AN65</f>
        <v>0</v>
      </c>
      <c r="D529" t="s">
        <v>1735</v>
      </c>
    </row>
    <row r="530" spans="1:4">
      <c r="A530" s="8" t="s">
        <v>1004</v>
      </c>
      <c r="B530" s="6" t="s">
        <v>918</v>
      </c>
      <c r="C530">
        <f>'DMC Threads - By Number'!AN66</f>
        <v>0</v>
      </c>
      <c r="D530" t="s">
        <v>1735</v>
      </c>
    </row>
    <row r="531" spans="1:4">
      <c r="A531" s="8" t="s">
        <v>82</v>
      </c>
      <c r="B531" s="6" t="s">
        <v>186</v>
      </c>
      <c r="C531">
        <f>'DMC Threads - By Number'!AN67</f>
        <v>0</v>
      </c>
      <c r="D531">
        <v>22</v>
      </c>
    </row>
    <row r="532" spans="1:4">
      <c r="A532" s="8" t="s">
        <v>1005</v>
      </c>
      <c r="B532" s="6" t="s">
        <v>929</v>
      </c>
      <c r="C532">
        <f>'DMC Threads - By Number'!AN68</f>
        <v>0</v>
      </c>
      <c r="D532" t="s">
        <v>1735</v>
      </c>
    </row>
    <row r="533" spans="1:4">
      <c r="A533" s="8" t="s">
        <v>1006</v>
      </c>
      <c r="B533" s="6" t="s">
        <v>930</v>
      </c>
      <c r="C533">
        <f>'DMC Threads - By Number'!AN69</f>
        <v>0</v>
      </c>
      <c r="D533" t="s">
        <v>1735</v>
      </c>
    </row>
    <row r="534" spans="1:4">
      <c r="A534" s="8" t="s">
        <v>1007</v>
      </c>
      <c r="B534" s="6" t="s">
        <v>931</v>
      </c>
      <c r="C534">
        <f>'DMC Threads - By Number'!AN70</f>
        <v>0</v>
      </c>
      <c r="D534" t="s">
        <v>1735</v>
      </c>
    </row>
    <row r="535" spans="1:4">
      <c r="A535" s="8" t="s">
        <v>1008</v>
      </c>
      <c r="B535" s="6" t="s">
        <v>932</v>
      </c>
      <c r="C535">
        <f>'DMC Threads - By Number'!AN71</f>
        <v>0</v>
      </c>
      <c r="D535" t="s">
        <v>1735</v>
      </c>
    </row>
    <row r="536" spans="1:4">
      <c r="A536" s="8" t="s">
        <v>1009</v>
      </c>
      <c r="B536" s="6" t="s">
        <v>933</v>
      </c>
      <c r="C536">
        <f>'DMC Threads - By Number'!AN72</f>
        <v>0</v>
      </c>
      <c r="D536" t="s">
        <v>1735</v>
      </c>
    </row>
    <row r="537" spans="1:4" ht="17" thickBot="1">
      <c r="A537" s="8" t="s">
        <v>1010</v>
      </c>
      <c r="B537" s="16" t="s">
        <v>934</v>
      </c>
      <c r="C537">
        <f>'DMC Threads - By Number'!AS6</f>
        <v>0</v>
      </c>
      <c r="D537" t="s">
        <v>1735</v>
      </c>
    </row>
    <row r="538" spans="1:4">
      <c r="A538" s="8" t="s">
        <v>1011</v>
      </c>
      <c r="B538" s="518" t="s">
        <v>935</v>
      </c>
      <c r="C538">
        <f>'DMC Threads - By Number'!AS7</f>
        <v>0</v>
      </c>
      <c r="D538" t="s">
        <v>1735</v>
      </c>
    </row>
    <row r="539" spans="1:4">
      <c r="A539" s="8" t="s">
        <v>1012</v>
      </c>
      <c r="B539" s="6" t="s">
        <v>936</v>
      </c>
      <c r="C539">
        <f>'DMC Threads - By Number'!AS8</f>
        <v>0</v>
      </c>
      <c r="D539" t="s">
        <v>1735</v>
      </c>
    </row>
    <row r="540" spans="1:4">
      <c r="A540" s="8" t="s">
        <v>1013</v>
      </c>
      <c r="B540" s="6" t="s">
        <v>937</v>
      </c>
      <c r="C540">
        <f>'DMC Threads - By Number'!AS9</f>
        <v>0</v>
      </c>
      <c r="D540" t="s">
        <v>1735</v>
      </c>
    </row>
    <row r="541" spans="1:4">
      <c r="A541" s="8" t="s">
        <v>1014</v>
      </c>
      <c r="B541" s="6" t="s">
        <v>938</v>
      </c>
      <c r="C541">
        <f>'DMC Threads - By Number'!AS10</f>
        <v>0</v>
      </c>
      <c r="D541" t="s">
        <v>1735</v>
      </c>
    </row>
    <row r="542" spans="1:4">
      <c r="A542" s="8" t="s">
        <v>83</v>
      </c>
      <c r="B542" s="6" t="s">
        <v>187</v>
      </c>
      <c r="C542">
        <f>'DMC Threads - By Number'!AS11</f>
        <v>0</v>
      </c>
      <c r="D542">
        <v>22</v>
      </c>
    </row>
    <row r="543" spans="1:4">
      <c r="A543" s="8" t="s">
        <v>95</v>
      </c>
      <c r="B543" s="6" t="s">
        <v>188</v>
      </c>
      <c r="C543">
        <f>'DMC Threads - By Number'!AS12</f>
        <v>0</v>
      </c>
      <c r="D543">
        <v>23</v>
      </c>
    </row>
    <row r="544" spans="1:4">
      <c r="A544" s="8" t="s">
        <v>106</v>
      </c>
      <c r="B544" s="6" t="s">
        <v>189</v>
      </c>
      <c r="C544">
        <f>'DMC Threads - By Number'!AS13</f>
        <v>0</v>
      </c>
      <c r="D544">
        <v>23</v>
      </c>
    </row>
    <row r="545" spans="1:4">
      <c r="A545" s="8" t="s">
        <v>96</v>
      </c>
      <c r="B545" s="6" t="s">
        <v>190</v>
      </c>
      <c r="C545">
        <f>'DMC Threads - By Number'!AS14</f>
        <v>0</v>
      </c>
      <c r="D545">
        <v>22</v>
      </c>
    </row>
    <row r="546" spans="1:4">
      <c r="A546" s="8" t="s">
        <v>104</v>
      </c>
      <c r="B546" s="6" t="s">
        <v>191</v>
      </c>
      <c r="C546">
        <f>'DMC Threads - By Number'!AS15</f>
        <v>0</v>
      </c>
      <c r="D546">
        <v>22</v>
      </c>
    </row>
    <row r="547" spans="1:4">
      <c r="A547" s="8" t="s">
        <v>89</v>
      </c>
      <c r="B547" s="6" t="s">
        <v>192</v>
      </c>
      <c r="C547">
        <f>'DMC Threads - By Number'!AS16</f>
        <v>0</v>
      </c>
      <c r="D547">
        <v>22</v>
      </c>
    </row>
    <row r="548" spans="1:4">
      <c r="A548" s="8" t="s">
        <v>97</v>
      </c>
      <c r="B548" s="6" t="s">
        <v>193</v>
      </c>
      <c r="C548">
        <f>'DMC Threads - By Number'!AS17</f>
        <v>0</v>
      </c>
      <c r="D548">
        <v>23</v>
      </c>
    </row>
    <row r="549" spans="1:4">
      <c r="A549" s="8" t="s">
        <v>84</v>
      </c>
      <c r="B549" s="6" t="s">
        <v>194</v>
      </c>
      <c r="C549">
        <f>'DMC Threads - By Number'!AS18</f>
        <v>0</v>
      </c>
      <c r="D549">
        <v>22</v>
      </c>
    </row>
    <row r="550" spans="1:4">
      <c r="A550" s="8" t="s">
        <v>85</v>
      </c>
      <c r="B550" s="6" t="s">
        <v>195</v>
      </c>
      <c r="C550">
        <f>'DMC Threads - By Number'!AS19</f>
        <v>0</v>
      </c>
      <c r="D550">
        <v>22</v>
      </c>
    </row>
    <row r="551" spans="1:4">
      <c r="A551" s="8" t="s">
        <v>105</v>
      </c>
      <c r="B551" s="6" t="s">
        <v>196</v>
      </c>
      <c r="C551">
        <f>'DMC Threads - By Number'!AS20</f>
        <v>0</v>
      </c>
      <c r="D551">
        <v>23</v>
      </c>
    </row>
    <row r="552" spans="1:4">
      <c r="A552" s="8" t="s">
        <v>102</v>
      </c>
      <c r="B552" s="6" t="s">
        <v>197</v>
      </c>
      <c r="C552">
        <f>'DMC Threads - By Number'!AS21</f>
        <v>0</v>
      </c>
      <c r="D552">
        <v>22</v>
      </c>
    </row>
    <row r="553" spans="1:4">
      <c r="A553" s="8" t="s">
        <v>98</v>
      </c>
      <c r="B553" s="6" t="s">
        <v>198</v>
      </c>
      <c r="C553">
        <f>'DMC Threads - By Number'!AS22</f>
        <v>0</v>
      </c>
      <c r="D553">
        <v>23</v>
      </c>
    </row>
    <row r="554" spans="1:4">
      <c r="A554" s="8" t="s">
        <v>86</v>
      </c>
      <c r="B554" s="6" t="s">
        <v>199</v>
      </c>
      <c r="C554">
        <f>'DMC Threads - By Number'!AS23</f>
        <v>0</v>
      </c>
      <c r="D554">
        <v>22</v>
      </c>
    </row>
    <row r="555" spans="1:4">
      <c r="A555" s="8" t="s">
        <v>91</v>
      </c>
      <c r="B555" s="6" t="s">
        <v>200</v>
      </c>
      <c r="C555">
        <f>'DMC Threads - By Number'!AS24</f>
        <v>0</v>
      </c>
      <c r="D555">
        <v>22</v>
      </c>
    </row>
    <row r="556" spans="1:4">
      <c r="A556" s="8" t="s">
        <v>92</v>
      </c>
      <c r="B556" s="6" t="s">
        <v>201</v>
      </c>
      <c r="C556">
        <f>'DMC Threads - By Number'!AS25</f>
        <v>0</v>
      </c>
      <c r="D556">
        <v>22</v>
      </c>
    </row>
    <row r="557" spans="1:4">
      <c r="A557" s="8" t="s">
        <v>107</v>
      </c>
      <c r="B557" s="6" t="s">
        <v>202</v>
      </c>
      <c r="C557">
        <f>'DMC Threads - By Number'!AS26</f>
        <v>0</v>
      </c>
      <c r="D557">
        <v>23</v>
      </c>
    </row>
    <row r="558" spans="1:4">
      <c r="A558" s="8" t="s">
        <v>110</v>
      </c>
      <c r="B558" s="6" t="s">
        <v>203</v>
      </c>
      <c r="C558">
        <f>'DMC Threads - By Number'!AS27</f>
        <v>0</v>
      </c>
      <c r="D558">
        <v>23</v>
      </c>
    </row>
    <row r="559" spans="1:4">
      <c r="A559" s="8" t="s">
        <v>93</v>
      </c>
      <c r="B559" s="6" t="s">
        <v>204</v>
      </c>
      <c r="C559">
        <f>'DMC Threads - By Number'!AS28</f>
        <v>0</v>
      </c>
      <c r="D559">
        <v>22</v>
      </c>
    </row>
    <row r="560" spans="1:4">
      <c r="A560" s="8" t="s">
        <v>109</v>
      </c>
      <c r="B560" s="6" t="s">
        <v>205</v>
      </c>
      <c r="C560">
        <f>'DMC Threads - By Number'!AS29</f>
        <v>0</v>
      </c>
      <c r="D560">
        <v>23</v>
      </c>
    </row>
    <row r="561" spans="1:4">
      <c r="A561" s="8" t="s">
        <v>94</v>
      </c>
      <c r="B561" s="6" t="s">
        <v>206</v>
      </c>
      <c r="C561">
        <f>'DMC Threads - By Number'!AS30</f>
        <v>0</v>
      </c>
      <c r="D561">
        <v>22</v>
      </c>
    </row>
    <row r="562" spans="1:4">
      <c r="A562" s="8" t="s">
        <v>101</v>
      </c>
      <c r="B562" s="6" t="s">
        <v>207</v>
      </c>
      <c r="C562">
        <f>'DMC Threads - By Number'!AS31</f>
        <v>0</v>
      </c>
      <c r="D562">
        <v>22</v>
      </c>
    </row>
    <row r="563" spans="1:4">
      <c r="A563" s="8" t="s">
        <v>108</v>
      </c>
      <c r="B563" s="6" t="s">
        <v>208</v>
      </c>
      <c r="C563">
        <f>'DMC Threads - By Number'!AS32</f>
        <v>0</v>
      </c>
      <c r="D563">
        <v>23</v>
      </c>
    </row>
    <row r="564" spans="1:4">
      <c r="A564" s="8" t="s">
        <v>111</v>
      </c>
      <c r="B564" s="6" t="s">
        <v>209</v>
      </c>
      <c r="C564">
        <f>'DMC Threads - By Number'!AS33</f>
        <v>0</v>
      </c>
      <c r="D564">
        <v>23</v>
      </c>
    </row>
    <row r="565" spans="1:4">
      <c r="A565" s="8" t="s">
        <v>103</v>
      </c>
      <c r="B565" s="6" t="s">
        <v>210</v>
      </c>
      <c r="C565">
        <f>'DMC Threads - By Number'!AS34</f>
        <v>0</v>
      </c>
      <c r="D565">
        <v>22</v>
      </c>
    </row>
    <row r="566" spans="1:4">
      <c r="A566" s="8" t="s">
        <v>112</v>
      </c>
      <c r="B566" s="6" t="s">
        <v>211</v>
      </c>
      <c r="C566">
        <f>'DMC Threads - By Number'!AS35</f>
        <v>0</v>
      </c>
      <c r="D566">
        <v>23</v>
      </c>
    </row>
    <row r="567" spans="1:4">
      <c r="A567" s="8" t="s">
        <v>99</v>
      </c>
      <c r="B567" s="6" t="s">
        <v>212</v>
      </c>
      <c r="C567">
        <f>'DMC Threads - By Number'!AS36</f>
        <v>0</v>
      </c>
      <c r="D567">
        <v>23</v>
      </c>
    </row>
    <row r="568" spans="1:4">
      <c r="A568" s="8" t="s">
        <v>87</v>
      </c>
      <c r="B568" s="6" t="s">
        <v>213</v>
      </c>
      <c r="C568">
        <f>'DMC Threads - By Number'!AS37</f>
        <v>0</v>
      </c>
      <c r="D568">
        <v>22</v>
      </c>
    </row>
    <row r="569" spans="1:4">
      <c r="A569" s="8" t="s">
        <v>88</v>
      </c>
      <c r="B569" s="6" t="s">
        <v>214</v>
      </c>
      <c r="C569">
        <f>'DMC Threads - By Number'!AS38</f>
        <v>0</v>
      </c>
      <c r="D569">
        <v>22</v>
      </c>
    </row>
    <row r="570" spans="1:4">
      <c r="A570" s="8" t="s">
        <v>90</v>
      </c>
      <c r="B570" s="6" t="s">
        <v>215</v>
      </c>
      <c r="C570">
        <f>'DMC Threads - By Number'!AS39</f>
        <v>0</v>
      </c>
      <c r="D570">
        <v>22</v>
      </c>
    </row>
    <row r="571" spans="1:4">
      <c r="A571" s="8" t="s">
        <v>100</v>
      </c>
      <c r="B571" s="6" t="s">
        <v>216</v>
      </c>
      <c r="C571">
        <f>'DMC Threads - By Number'!AS40</f>
        <v>0</v>
      </c>
      <c r="D571">
        <v>23</v>
      </c>
    </row>
    <row r="572" spans="1:4">
      <c r="A572" s="8" t="s">
        <v>114</v>
      </c>
      <c r="B572" s="6" t="s">
        <v>939</v>
      </c>
      <c r="C572">
        <f>'DMC Threads - By Number'!AS41</f>
        <v>0</v>
      </c>
      <c r="D572">
        <v>22</v>
      </c>
    </row>
    <row r="573" spans="1:4">
      <c r="A573" s="8" t="s">
        <v>115</v>
      </c>
      <c r="B573" s="6" t="s">
        <v>940</v>
      </c>
      <c r="C573">
        <f>'DMC Threads - By Number'!AS42</f>
        <v>0</v>
      </c>
      <c r="D573">
        <v>22</v>
      </c>
    </row>
    <row r="574" spans="1:4">
      <c r="A574" s="8" t="s">
        <v>1015</v>
      </c>
      <c r="B574" s="6" t="s">
        <v>951</v>
      </c>
      <c r="C574">
        <f>'DMC Threads - By Number'!AS43</f>
        <v>0</v>
      </c>
      <c r="D574" t="s">
        <v>1735</v>
      </c>
    </row>
    <row r="575" spans="1:4">
      <c r="A575" s="8" t="s">
        <v>1016</v>
      </c>
      <c r="B575" s="6" t="s">
        <v>952</v>
      </c>
      <c r="C575">
        <f>'DMC Threads - By Number'!AS44</f>
        <v>0</v>
      </c>
      <c r="D575" t="s">
        <v>1735</v>
      </c>
    </row>
    <row r="576" spans="1:4">
      <c r="A576" s="8" t="s">
        <v>1017</v>
      </c>
      <c r="B576" s="6" t="s">
        <v>953</v>
      </c>
      <c r="C576">
        <f>'DMC Threads - By Number'!AS45</f>
        <v>0</v>
      </c>
      <c r="D576" t="s">
        <v>1735</v>
      </c>
    </row>
    <row r="577" spans="1:4">
      <c r="A577" s="8" t="s">
        <v>1002</v>
      </c>
      <c r="B577" s="6" t="s">
        <v>954</v>
      </c>
      <c r="C577">
        <f>'DMC Threads - By Number'!AS46</f>
        <v>0</v>
      </c>
      <c r="D577" t="s">
        <v>1735</v>
      </c>
    </row>
    <row r="578" spans="1:4">
      <c r="A578" s="8" t="s">
        <v>1018</v>
      </c>
      <c r="B578" s="6" t="s">
        <v>955</v>
      </c>
      <c r="C578">
        <f>'DMC Threads - By Number'!AS47</f>
        <v>0</v>
      </c>
      <c r="D578" t="s">
        <v>1735</v>
      </c>
    </row>
    <row r="579" spans="1:4">
      <c r="A579" s="8" t="s">
        <v>1019</v>
      </c>
      <c r="B579" s="6" t="s">
        <v>956</v>
      </c>
      <c r="C579">
        <f>'DMC Threads - By Number'!AS48</f>
        <v>0</v>
      </c>
      <c r="D579" t="s">
        <v>1735</v>
      </c>
    </row>
    <row r="580" spans="1:4">
      <c r="A580" s="8" t="s">
        <v>1020</v>
      </c>
      <c r="B580" s="6" t="s">
        <v>957</v>
      </c>
      <c r="C580">
        <f>'DMC Threads - By Number'!AS49</f>
        <v>0</v>
      </c>
      <c r="D580" t="s">
        <v>1735</v>
      </c>
    </row>
    <row r="581" spans="1:4">
      <c r="A581" s="8" t="s">
        <v>1021</v>
      </c>
      <c r="B581" s="6" t="s">
        <v>958</v>
      </c>
      <c r="C581">
        <f>'DMC Threads - By Number'!AS50</f>
        <v>0</v>
      </c>
      <c r="D581" t="s">
        <v>1735</v>
      </c>
    </row>
    <row r="582" spans="1:4">
      <c r="A582" s="8" t="s">
        <v>1022</v>
      </c>
      <c r="B582" s="6" t="s">
        <v>959</v>
      </c>
      <c r="C582">
        <f>'DMC Threads - By Number'!AS51</f>
        <v>0</v>
      </c>
      <c r="D582" t="s">
        <v>1735</v>
      </c>
    </row>
    <row r="583" spans="1:4">
      <c r="A583" s="8" t="s">
        <v>1023</v>
      </c>
      <c r="B583" s="6" t="s">
        <v>960</v>
      </c>
      <c r="C583">
        <f>'DMC Threads - By Number'!AS52</f>
        <v>0</v>
      </c>
      <c r="D583" t="s">
        <v>1735</v>
      </c>
    </row>
    <row r="584" spans="1:4">
      <c r="A584" s="8" t="s">
        <v>116</v>
      </c>
      <c r="B584" s="6" t="s">
        <v>117</v>
      </c>
      <c r="C584">
        <f>'DMC Threads - By Number'!AS53</f>
        <v>0</v>
      </c>
      <c r="D584">
        <v>22</v>
      </c>
    </row>
    <row r="585" spans="1:4">
      <c r="A585" s="8">
        <v>5282</v>
      </c>
      <c r="B585" s="2" t="s">
        <v>217</v>
      </c>
      <c r="C585">
        <f>'DMC Threads - By Number'!AS54</f>
        <v>0</v>
      </c>
      <c r="D585">
        <v>26</v>
      </c>
    </row>
    <row r="586" spans="1:4">
      <c r="A586" s="8">
        <v>5283</v>
      </c>
      <c r="B586" s="2" t="s">
        <v>218</v>
      </c>
      <c r="C586">
        <f>'DMC Threads - By Number'!AS55</f>
        <v>0</v>
      </c>
      <c r="D586">
        <v>26</v>
      </c>
    </row>
    <row r="587" spans="1:4">
      <c r="A587" s="8">
        <v>4010</v>
      </c>
      <c r="B587" s="2" t="s">
        <v>869</v>
      </c>
      <c r="C587">
        <f>'DMC Threads - By Number'!AS56</f>
        <v>0</v>
      </c>
      <c r="D587">
        <v>24</v>
      </c>
    </row>
    <row r="588" spans="1:4">
      <c r="A588" s="8">
        <v>4015</v>
      </c>
      <c r="B588" s="2" t="s">
        <v>149</v>
      </c>
      <c r="C588">
        <f>'DMC Threads - By Number'!AS57</f>
        <v>0</v>
      </c>
      <c r="D588">
        <v>24</v>
      </c>
    </row>
    <row r="589" spans="1:4">
      <c r="A589" s="8">
        <v>4020</v>
      </c>
      <c r="B589" s="2" t="s">
        <v>168</v>
      </c>
      <c r="C589">
        <f>'DMC Threads - By Number'!AS58</f>
        <v>0</v>
      </c>
      <c r="D589">
        <v>24</v>
      </c>
    </row>
    <row r="590" spans="1:4">
      <c r="A590" s="8">
        <v>4025</v>
      </c>
      <c r="B590" s="2" t="s">
        <v>169</v>
      </c>
      <c r="C590">
        <f>'DMC Threads - By Number'!AS59</f>
        <v>0</v>
      </c>
      <c r="D590">
        <v>24</v>
      </c>
    </row>
    <row r="591" spans="1:4">
      <c r="A591" s="8">
        <v>4030</v>
      </c>
      <c r="B591" s="2" t="s">
        <v>170</v>
      </c>
      <c r="C591">
        <f>'DMC Threads - By Number'!AS60</f>
        <v>0</v>
      </c>
      <c r="D591">
        <v>24</v>
      </c>
    </row>
    <row r="592" spans="1:4">
      <c r="A592" s="8">
        <v>4040</v>
      </c>
      <c r="B592" s="2" t="s">
        <v>171</v>
      </c>
      <c r="C592">
        <f>'DMC Threads - By Number'!AS61</f>
        <v>0</v>
      </c>
      <c r="D592">
        <v>24</v>
      </c>
    </row>
    <row r="593" spans="1:4">
      <c r="A593" s="8">
        <v>4045</v>
      </c>
      <c r="B593" s="2" t="s">
        <v>172</v>
      </c>
      <c r="C593">
        <f>'DMC Threads - By Number'!AS62</f>
        <v>0</v>
      </c>
      <c r="D593">
        <v>24</v>
      </c>
    </row>
    <row r="594" spans="1:4">
      <c r="A594" s="8">
        <v>4050</v>
      </c>
      <c r="B594" s="2" t="s">
        <v>173</v>
      </c>
      <c r="C594">
        <f>'DMC Threads - By Number'!AS63</f>
        <v>0</v>
      </c>
      <c r="D594">
        <v>24</v>
      </c>
    </row>
    <row r="595" spans="1:4">
      <c r="A595" s="8">
        <v>4060</v>
      </c>
      <c r="B595" s="2" t="s">
        <v>174</v>
      </c>
      <c r="C595">
        <f>'DMC Threads - By Number'!AS64</f>
        <v>0</v>
      </c>
      <c r="D595">
        <v>24</v>
      </c>
    </row>
    <row r="596" spans="1:4">
      <c r="A596" s="8">
        <v>4065</v>
      </c>
      <c r="B596" s="2" t="s">
        <v>175</v>
      </c>
      <c r="C596">
        <f>'DMC Threads - By Number'!AS65</f>
        <v>0</v>
      </c>
      <c r="D596">
        <v>24</v>
      </c>
    </row>
    <row r="597" spans="1:4">
      <c r="A597" s="8">
        <v>4070</v>
      </c>
      <c r="B597" s="2" t="s">
        <v>176</v>
      </c>
      <c r="C597">
        <f>'DMC Threads - By Number'!AS66</f>
        <v>0</v>
      </c>
      <c r="D597">
        <v>24</v>
      </c>
    </row>
    <row r="598" spans="1:4">
      <c r="A598" s="8">
        <v>4075</v>
      </c>
      <c r="B598" s="2" t="s">
        <v>177</v>
      </c>
      <c r="C598">
        <f>'DMC Threads - By Number'!AS67</f>
        <v>0</v>
      </c>
      <c r="D598">
        <v>24</v>
      </c>
    </row>
    <row r="599" spans="1:4">
      <c r="A599" s="8">
        <v>4077</v>
      </c>
      <c r="B599" s="2" t="s">
        <v>178</v>
      </c>
      <c r="C599">
        <f>'DMC Threads - By Number'!AS68</f>
        <v>0</v>
      </c>
      <c r="D599">
        <v>24</v>
      </c>
    </row>
    <row r="600" spans="1:4">
      <c r="A600" s="8">
        <v>4080</v>
      </c>
      <c r="B600" s="2" t="s">
        <v>179</v>
      </c>
      <c r="C600">
        <f>'DMC Threads - By Number'!AS69</f>
        <v>0</v>
      </c>
      <c r="D600">
        <v>24</v>
      </c>
    </row>
    <row r="601" spans="1:4">
      <c r="A601" s="8">
        <v>4090</v>
      </c>
      <c r="B601" s="2" t="s">
        <v>180</v>
      </c>
      <c r="C601">
        <f>'DMC Threads - By Number'!AS70</f>
        <v>0</v>
      </c>
      <c r="D601">
        <v>24</v>
      </c>
    </row>
    <row r="602" spans="1:4">
      <c r="A602" s="8">
        <v>4100</v>
      </c>
      <c r="B602" s="2" t="s">
        <v>181</v>
      </c>
      <c r="C602">
        <f>'DMC Threads - By Number'!AS71</f>
        <v>0</v>
      </c>
      <c r="D602">
        <v>24</v>
      </c>
    </row>
    <row r="603" spans="1:4">
      <c r="A603" s="8">
        <v>4110</v>
      </c>
      <c r="B603" s="2" t="s">
        <v>182</v>
      </c>
      <c r="C603">
        <f>'DMC Threads - By Number'!AS72</f>
        <v>0</v>
      </c>
      <c r="D603">
        <v>24</v>
      </c>
    </row>
    <row r="604" spans="1:4" ht="17" thickBot="1">
      <c r="A604" s="8">
        <v>4120</v>
      </c>
      <c r="B604" s="4" t="s">
        <v>183</v>
      </c>
      <c r="C604">
        <f>'DMC Threads - By Number'!AX6</f>
        <v>0</v>
      </c>
      <c r="D604">
        <v>24</v>
      </c>
    </row>
    <row r="605" spans="1:4">
      <c r="A605" s="8">
        <v>4124</v>
      </c>
      <c r="B605" s="14" t="s">
        <v>150</v>
      </c>
      <c r="C605">
        <f>'DMC Threads - By Number'!AX7</f>
        <v>0</v>
      </c>
      <c r="D605">
        <v>24</v>
      </c>
    </row>
    <row r="606" spans="1:4">
      <c r="A606" s="8">
        <v>4126</v>
      </c>
      <c r="B606" s="2" t="s">
        <v>151</v>
      </c>
      <c r="C606">
        <f>'DMC Threads - By Number'!AX8</f>
        <v>0</v>
      </c>
      <c r="D606">
        <v>24</v>
      </c>
    </row>
    <row r="607" spans="1:4">
      <c r="A607" s="8">
        <v>4128</v>
      </c>
      <c r="B607" s="2" t="s">
        <v>152</v>
      </c>
      <c r="C607">
        <f>'DMC Threads - By Number'!AX9</f>
        <v>0</v>
      </c>
      <c r="D607">
        <v>24</v>
      </c>
    </row>
    <row r="608" spans="1:4">
      <c r="A608" s="8">
        <v>4130</v>
      </c>
      <c r="B608" s="2" t="s">
        <v>153</v>
      </c>
      <c r="C608">
        <f>'DMC Threads - By Number'!AX10</f>
        <v>0</v>
      </c>
      <c r="D608">
        <v>25</v>
      </c>
    </row>
    <row r="609" spans="1:4">
      <c r="A609" s="8">
        <v>4140</v>
      </c>
      <c r="B609" s="2" t="s">
        <v>154</v>
      </c>
      <c r="C609">
        <f>'DMC Threads - By Number'!AX11</f>
        <v>0</v>
      </c>
      <c r="D609">
        <v>25</v>
      </c>
    </row>
    <row r="610" spans="1:4">
      <c r="A610" s="8">
        <v>4145</v>
      </c>
      <c r="B610" s="2" t="s">
        <v>155</v>
      </c>
      <c r="C610">
        <f>'DMC Threads - By Number'!AX12</f>
        <v>0</v>
      </c>
      <c r="D610">
        <v>25</v>
      </c>
    </row>
    <row r="611" spans="1:4">
      <c r="A611" s="8">
        <v>4150</v>
      </c>
      <c r="B611" s="2" t="s">
        <v>156</v>
      </c>
      <c r="C611">
        <f>'DMC Threads - By Number'!AX13</f>
        <v>0</v>
      </c>
      <c r="D611">
        <v>25</v>
      </c>
    </row>
    <row r="612" spans="1:4">
      <c r="A612" s="8">
        <v>4160</v>
      </c>
      <c r="B612" s="2" t="s">
        <v>157</v>
      </c>
      <c r="C612">
        <f>'DMC Threads - By Number'!AX14</f>
        <v>0</v>
      </c>
      <c r="D612">
        <v>25</v>
      </c>
    </row>
    <row r="613" spans="1:4">
      <c r="A613" s="8">
        <v>4170</v>
      </c>
      <c r="B613" s="2" t="s">
        <v>158</v>
      </c>
      <c r="C613">
        <f>'DMC Threads - By Number'!AX15</f>
        <v>0</v>
      </c>
      <c r="D613">
        <v>25</v>
      </c>
    </row>
    <row r="614" spans="1:4">
      <c r="A614" s="8">
        <v>4180</v>
      </c>
      <c r="B614" s="2" t="s">
        <v>159</v>
      </c>
      <c r="C614">
        <f>'DMC Threads - By Number'!AX16</f>
        <v>0</v>
      </c>
      <c r="D614">
        <v>25</v>
      </c>
    </row>
    <row r="615" spans="1:4">
      <c r="A615" s="8">
        <v>4190</v>
      </c>
      <c r="B615" s="2" t="s">
        <v>160</v>
      </c>
      <c r="C615">
        <f>'DMC Threads - By Number'!AX17</f>
        <v>0</v>
      </c>
      <c r="D615">
        <v>25</v>
      </c>
    </row>
    <row r="616" spans="1:4">
      <c r="A616" s="8">
        <v>4200</v>
      </c>
      <c r="B616" s="2" t="s">
        <v>161</v>
      </c>
      <c r="C616">
        <f>'DMC Threads - By Number'!AX18</f>
        <v>0</v>
      </c>
      <c r="D616">
        <v>25</v>
      </c>
    </row>
    <row r="617" spans="1:4">
      <c r="A617" s="8">
        <v>4210</v>
      </c>
      <c r="B617" s="2" t="s">
        <v>162</v>
      </c>
      <c r="C617">
        <f>'DMC Threads - By Number'!AX19</f>
        <v>0</v>
      </c>
      <c r="D617">
        <v>25</v>
      </c>
    </row>
    <row r="618" spans="1:4">
      <c r="A618" s="8">
        <v>4215</v>
      </c>
      <c r="B618" s="2" t="s">
        <v>163</v>
      </c>
      <c r="C618">
        <f>'DMC Threads - By Number'!AX20</f>
        <v>0</v>
      </c>
      <c r="D618">
        <v>25</v>
      </c>
    </row>
    <row r="619" spans="1:4">
      <c r="A619" s="8">
        <v>4220</v>
      </c>
      <c r="B619" s="2" t="s">
        <v>164</v>
      </c>
      <c r="C619">
        <f>'DMC Threads - By Number'!AX21</f>
        <v>0</v>
      </c>
      <c r="D619">
        <v>25</v>
      </c>
    </row>
    <row r="620" spans="1:4">
      <c r="A620" s="8">
        <v>4230</v>
      </c>
      <c r="B620" s="2" t="s">
        <v>165</v>
      </c>
      <c r="C620">
        <f>'DMC Threads - By Number'!AX22</f>
        <v>0</v>
      </c>
      <c r="D620">
        <v>25</v>
      </c>
    </row>
    <row r="621" spans="1:4">
      <c r="A621" s="8">
        <v>4235</v>
      </c>
      <c r="B621" s="2" t="s">
        <v>166</v>
      </c>
      <c r="C621">
        <f>'DMC Threads - By Number'!AX23</f>
        <v>0</v>
      </c>
      <c r="D621">
        <v>25</v>
      </c>
    </row>
    <row r="622" spans="1:4" ht="17" thickBot="1">
      <c r="A622" s="8">
        <v>4240</v>
      </c>
      <c r="B622" s="4" t="s">
        <v>167</v>
      </c>
      <c r="C622">
        <f>'DMC Threads - By Number'!AX24</f>
        <v>0</v>
      </c>
      <c r="D622">
        <v>25</v>
      </c>
    </row>
    <row r="623" spans="1:4">
      <c r="A623" s="8">
        <v>4500</v>
      </c>
      <c r="B623" s="14" t="s">
        <v>219</v>
      </c>
      <c r="C623">
        <f>'DMC Threads - By Number'!BC6</f>
        <v>0</v>
      </c>
      <c r="D623" t="s">
        <v>1735</v>
      </c>
    </row>
    <row r="624" spans="1:4">
      <c r="A624" s="8">
        <v>4501</v>
      </c>
      <c r="B624" s="2" t="s">
        <v>220</v>
      </c>
      <c r="C624">
        <f>'DMC Threads - By Number'!BC7</f>
        <v>0</v>
      </c>
      <c r="D624" t="s">
        <v>1735</v>
      </c>
    </row>
    <row r="625" spans="1:4">
      <c r="A625" s="8">
        <v>4502</v>
      </c>
      <c r="B625" s="2" t="s">
        <v>221</v>
      </c>
      <c r="C625">
        <f>'DMC Threads - By Number'!BC8</f>
        <v>0</v>
      </c>
      <c r="D625" t="s">
        <v>1735</v>
      </c>
    </row>
    <row r="626" spans="1:4">
      <c r="A626" s="8">
        <v>4503</v>
      </c>
      <c r="B626" s="2" t="s">
        <v>222</v>
      </c>
      <c r="C626">
        <f>'DMC Threads - By Number'!BC9</f>
        <v>0</v>
      </c>
      <c r="D626" t="s">
        <v>1735</v>
      </c>
    </row>
    <row r="627" spans="1:4">
      <c r="A627" s="8">
        <v>4504</v>
      </c>
      <c r="B627" s="2" t="s">
        <v>223</v>
      </c>
      <c r="C627">
        <f>'DMC Threads - By Number'!BC10</f>
        <v>0</v>
      </c>
      <c r="D627" t="s">
        <v>1735</v>
      </c>
    </row>
    <row r="628" spans="1:4">
      <c r="A628" s="8">
        <v>4505</v>
      </c>
      <c r="B628" s="2" t="s">
        <v>224</v>
      </c>
      <c r="C628">
        <f>'DMC Threads - By Number'!BC11</f>
        <v>0</v>
      </c>
      <c r="D628" t="s">
        <v>1735</v>
      </c>
    </row>
    <row r="629" spans="1:4">
      <c r="A629" s="8">
        <v>4506</v>
      </c>
      <c r="B629" s="2" t="s">
        <v>225</v>
      </c>
      <c r="C629">
        <f>'DMC Threads - By Number'!BC12</f>
        <v>0</v>
      </c>
      <c r="D629" t="s">
        <v>1735</v>
      </c>
    </row>
    <row r="630" spans="1:4">
      <c r="A630" s="8">
        <v>4507</v>
      </c>
      <c r="B630" s="2" t="s">
        <v>226</v>
      </c>
      <c r="C630">
        <f>'DMC Threads - By Number'!BC13</f>
        <v>0</v>
      </c>
      <c r="D630" t="s">
        <v>1735</v>
      </c>
    </row>
    <row r="631" spans="1:4">
      <c r="A631" s="8">
        <v>4508</v>
      </c>
      <c r="B631" s="2" t="s">
        <v>227</v>
      </c>
      <c r="C631">
        <f>'DMC Threads - By Number'!BC14</f>
        <v>0</v>
      </c>
      <c r="D631" t="s">
        <v>1735</v>
      </c>
    </row>
    <row r="632" spans="1:4">
      <c r="A632" s="8">
        <v>4509</v>
      </c>
      <c r="B632" s="2" t="s">
        <v>228</v>
      </c>
      <c r="C632">
        <f>'DMC Threads - By Number'!BC15</f>
        <v>0</v>
      </c>
      <c r="D632" t="s">
        <v>1735</v>
      </c>
    </row>
    <row r="633" spans="1:4">
      <c r="A633" s="8">
        <v>4510</v>
      </c>
      <c r="B633" s="2" t="s">
        <v>229</v>
      </c>
      <c r="C633">
        <f>'DMC Threads - By Number'!BC16</f>
        <v>0</v>
      </c>
      <c r="D633" t="s">
        <v>1735</v>
      </c>
    </row>
    <row r="634" spans="1:4">
      <c r="A634" s="8">
        <v>4511</v>
      </c>
      <c r="B634" s="2" t="s">
        <v>230</v>
      </c>
      <c r="C634">
        <f>'DMC Threads - By Number'!BC17</f>
        <v>0</v>
      </c>
      <c r="D634" t="s">
        <v>1735</v>
      </c>
    </row>
    <row r="635" spans="1:4">
      <c r="A635" s="8">
        <v>4512</v>
      </c>
      <c r="B635" s="2" t="s">
        <v>231</v>
      </c>
      <c r="C635">
        <f>'DMC Threads - By Number'!BC18</f>
        <v>0</v>
      </c>
      <c r="D635" t="s">
        <v>1735</v>
      </c>
    </row>
    <row r="636" spans="1:4">
      <c r="A636" s="8">
        <v>4513</v>
      </c>
      <c r="B636" s="2" t="s">
        <v>232</v>
      </c>
      <c r="C636">
        <f>'DMC Threads - By Number'!BC19</f>
        <v>0</v>
      </c>
      <c r="D636" t="s">
        <v>1735</v>
      </c>
    </row>
    <row r="637" spans="1:4">
      <c r="A637" s="8">
        <v>4514</v>
      </c>
      <c r="B637" s="2" t="s">
        <v>233</v>
      </c>
      <c r="C637">
        <f>'DMC Threads - By Number'!BC20</f>
        <v>0</v>
      </c>
      <c r="D637" t="s">
        <v>1735</v>
      </c>
    </row>
    <row r="638" spans="1:4">
      <c r="A638" s="8">
        <v>4515</v>
      </c>
      <c r="B638" s="2" t="s">
        <v>234</v>
      </c>
      <c r="C638">
        <f>'DMC Threads - By Number'!BC21</f>
        <v>0</v>
      </c>
      <c r="D638" t="s">
        <v>1735</v>
      </c>
    </row>
    <row r="639" spans="1:4">
      <c r="A639" s="8">
        <v>4516</v>
      </c>
      <c r="B639" s="2" t="s">
        <v>235</v>
      </c>
      <c r="C639">
        <f>'DMC Threads - By Number'!BC22</f>
        <v>0</v>
      </c>
      <c r="D639" t="s">
        <v>1735</v>
      </c>
    </row>
    <row r="640" spans="1:4">
      <c r="A640" s="8">
        <v>4517</v>
      </c>
      <c r="B640" s="2" t="s">
        <v>236</v>
      </c>
      <c r="C640">
        <f>'DMC Threads - By Number'!BC23</f>
        <v>0</v>
      </c>
      <c r="D640" t="s">
        <v>1735</v>
      </c>
    </row>
    <row r="641" spans="1:4">
      <c r="A641" s="8">
        <v>4518</v>
      </c>
      <c r="B641" s="2" t="s">
        <v>237</v>
      </c>
      <c r="C641">
        <f>'DMC Threads - By Number'!BC24</f>
        <v>0</v>
      </c>
      <c r="D641" t="s">
        <v>1735</v>
      </c>
    </row>
    <row r="642" spans="1:4">
      <c r="A642" s="8">
        <v>4519</v>
      </c>
      <c r="B642" s="2" t="s">
        <v>238</v>
      </c>
      <c r="C642">
        <f>'DMC Threads - By Number'!BC25</f>
        <v>0</v>
      </c>
      <c r="D642" t="s">
        <v>1735</v>
      </c>
    </row>
    <row r="643" spans="1:4">
      <c r="A643" s="8">
        <v>4520</v>
      </c>
      <c r="B643" s="2" t="s">
        <v>239</v>
      </c>
      <c r="C643">
        <f>'DMC Threads - By Number'!BC26</f>
        <v>0</v>
      </c>
      <c r="D643" t="s">
        <v>1735</v>
      </c>
    </row>
    <row r="644" spans="1:4">
      <c r="A644" s="8">
        <v>4521</v>
      </c>
      <c r="B644" s="2" t="s">
        <v>240</v>
      </c>
      <c r="C644">
        <f>'DMC Threads - By Number'!BC27</f>
        <v>0</v>
      </c>
      <c r="D644" t="s">
        <v>1735</v>
      </c>
    </row>
    <row r="645" spans="1:4">
      <c r="A645" s="8">
        <v>4522</v>
      </c>
      <c r="B645" s="2" t="s">
        <v>241</v>
      </c>
      <c r="C645">
        <f>'DMC Threads - By Number'!BC28</f>
        <v>0</v>
      </c>
      <c r="D645" t="s">
        <v>1735</v>
      </c>
    </row>
    <row r="646" spans="1:4">
      <c r="A646" s="8">
        <v>4523</v>
      </c>
      <c r="B646" s="2" t="s">
        <v>242</v>
      </c>
      <c r="C646">
        <f>'DMC Threads - By Number'!BC29</f>
        <v>0</v>
      </c>
      <c r="D646" t="s">
        <v>1735</v>
      </c>
    </row>
    <row r="647" spans="1:4">
      <c r="A647" s="8" t="s">
        <v>276</v>
      </c>
      <c r="B647" s="2" t="s">
        <v>278</v>
      </c>
      <c r="C647">
        <f>'DMC Threads - By Number'!BC30</f>
        <v>0</v>
      </c>
      <c r="D647" t="s">
        <v>1735</v>
      </c>
    </row>
    <row r="648" spans="1:4">
      <c r="A648" s="8" t="s">
        <v>277</v>
      </c>
      <c r="B648" s="2" t="s">
        <v>279</v>
      </c>
      <c r="C648">
        <f>'DMC Threads - By Number'!BC31</f>
        <v>0</v>
      </c>
      <c r="D648" t="s">
        <v>1735</v>
      </c>
    </row>
    <row r="649" spans="1:4">
      <c r="A649" s="8" t="s">
        <v>244</v>
      </c>
      <c r="B649" s="2" t="s">
        <v>280</v>
      </c>
      <c r="C649">
        <f>'DMC Threads - By Number'!BC32</f>
        <v>0</v>
      </c>
      <c r="D649" t="s">
        <v>1735</v>
      </c>
    </row>
    <row r="650" spans="1:4">
      <c r="A650" s="8" t="s">
        <v>245</v>
      </c>
      <c r="B650" s="2" t="s">
        <v>582</v>
      </c>
      <c r="C650">
        <f>'DMC Threads - By Number'!BC33</f>
        <v>0</v>
      </c>
      <c r="D650" t="s">
        <v>1735</v>
      </c>
    </row>
    <row r="651" spans="1:4">
      <c r="A651" s="8" t="s">
        <v>246</v>
      </c>
      <c r="B651" s="2" t="s">
        <v>281</v>
      </c>
      <c r="C651">
        <f>'DMC Threads - By Number'!BC34</f>
        <v>0</v>
      </c>
      <c r="D651" t="s">
        <v>1735</v>
      </c>
    </row>
    <row r="652" spans="1:4">
      <c r="A652" s="8" t="s">
        <v>247</v>
      </c>
      <c r="B652" s="2" t="s">
        <v>282</v>
      </c>
      <c r="C652">
        <f>'DMC Threads - By Number'!BC35</f>
        <v>0</v>
      </c>
      <c r="D652" t="s">
        <v>1735</v>
      </c>
    </row>
    <row r="653" spans="1:4">
      <c r="A653" s="8" t="s">
        <v>248</v>
      </c>
      <c r="B653" s="2" t="s">
        <v>497</v>
      </c>
      <c r="C653">
        <f>'DMC Threads - By Number'!BC36</f>
        <v>0</v>
      </c>
      <c r="D653" t="s">
        <v>1735</v>
      </c>
    </row>
    <row r="654" spans="1:4">
      <c r="A654" s="8" t="s">
        <v>249</v>
      </c>
      <c r="B654" s="2" t="s">
        <v>283</v>
      </c>
      <c r="C654">
        <f>'DMC Threads - By Number'!BC37</f>
        <v>0</v>
      </c>
      <c r="D654" t="s">
        <v>1735</v>
      </c>
    </row>
    <row r="655" spans="1:4">
      <c r="A655" s="8" t="s">
        <v>250</v>
      </c>
      <c r="B655" s="2" t="s">
        <v>346</v>
      </c>
      <c r="C655">
        <f>'DMC Threads - By Number'!BC38</f>
        <v>0</v>
      </c>
      <c r="D655" t="s">
        <v>1735</v>
      </c>
    </row>
    <row r="656" spans="1:4">
      <c r="A656" s="8" t="s">
        <v>251</v>
      </c>
      <c r="B656" s="2" t="s">
        <v>597</v>
      </c>
      <c r="C656">
        <f>'DMC Threads - By Number'!BC39</f>
        <v>0</v>
      </c>
      <c r="D656" t="s">
        <v>1735</v>
      </c>
    </row>
    <row r="657" spans="1:4">
      <c r="A657" s="8" t="s">
        <v>252</v>
      </c>
      <c r="B657" s="2" t="s">
        <v>284</v>
      </c>
      <c r="C657">
        <f>'DMC Threads - By Number'!BC40</f>
        <v>0</v>
      </c>
      <c r="D657" t="s">
        <v>1735</v>
      </c>
    </row>
    <row r="658" spans="1:4">
      <c r="A658" s="8" t="s">
        <v>253</v>
      </c>
      <c r="B658" s="2" t="s">
        <v>430</v>
      </c>
      <c r="C658">
        <f>'DMC Threads - By Number'!BC41</f>
        <v>0</v>
      </c>
      <c r="D658" t="s">
        <v>1735</v>
      </c>
    </row>
    <row r="659" spans="1:4">
      <c r="A659" s="8" t="s">
        <v>254</v>
      </c>
      <c r="B659" s="2" t="s">
        <v>602</v>
      </c>
      <c r="C659">
        <f>'DMC Threads - By Number'!BC42</f>
        <v>0</v>
      </c>
      <c r="D659" t="s">
        <v>1735</v>
      </c>
    </row>
    <row r="660" spans="1:4">
      <c r="A660" s="8" t="s">
        <v>255</v>
      </c>
      <c r="B660" s="2" t="s">
        <v>432</v>
      </c>
      <c r="C660">
        <f>'DMC Threads - By Number'!BC43</f>
        <v>0</v>
      </c>
      <c r="D660" t="s">
        <v>1735</v>
      </c>
    </row>
    <row r="661" spans="1:4">
      <c r="A661" s="8" t="s">
        <v>792</v>
      </c>
      <c r="B661" s="2" t="s">
        <v>793</v>
      </c>
      <c r="C661">
        <f>'DMC Threads - By Number'!BC44</f>
        <v>0</v>
      </c>
      <c r="D661" t="s">
        <v>1735</v>
      </c>
    </row>
    <row r="662" spans="1:4">
      <c r="A662" s="8" t="s">
        <v>256</v>
      </c>
      <c r="B662" s="2" t="s">
        <v>455</v>
      </c>
      <c r="C662">
        <f>'DMC Threads - By Number'!BC45</f>
        <v>0</v>
      </c>
      <c r="D662" t="s">
        <v>1735</v>
      </c>
    </row>
    <row r="663" spans="1:4">
      <c r="A663" s="8" t="s">
        <v>257</v>
      </c>
      <c r="B663" s="2" t="s">
        <v>285</v>
      </c>
      <c r="C663">
        <f>'DMC Threads - By Number'!BC46</f>
        <v>0</v>
      </c>
      <c r="D663" t="s">
        <v>1735</v>
      </c>
    </row>
    <row r="664" spans="1:4">
      <c r="A664" s="8" t="s">
        <v>258</v>
      </c>
      <c r="B664" s="2" t="s">
        <v>286</v>
      </c>
      <c r="C664">
        <f>'DMC Threads - By Number'!BC47</f>
        <v>0</v>
      </c>
      <c r="D664" t="s">
        <v>1735</v>
      </c>
    </row>
    <row r="665" spans="1:4">
      <c r="A665" s="8" t="s">
        <v>259</v>
      </c>
      <c r="B665" s="2" t="s">
        <v>610</v>
      </c>
      <c r="C665">
        <f>'DMC Threads - By Number'!BC48</f>
        <v>0</v>
      </c>
      <c r="D665" t="s">
        <v>1735</v>
      </c>
    </row>
    <row r="666" spans="1:4">
      <c r="A666" s="8" t="s">
        <v>260</v>
      </c>
      <c r="B666" s="2" t="s">
        <v>287</v>
      </c>
      <c r="C666">
        <f>'DMC Threads - By Number'!BC49</f>
        <v>0</v>
      </c>
      <c r="D666" t="s">
        <v>1735</v>
      </c>
    </row>
    <row r="667" spans="1:4">
      <c r="A667" s="8" t="s">
        <v>261</v>
      </c>
      <c r="B667" s="2" t="s">
        <v>364</v>
      </c>
      <c r="C667">
        <f>'DMC Threads - By Number'!BC50</f>
        <v>0</v>
      </c>
      <c r="D667" t="s">
        <v>1735</v>
      </c>
    </row>
    <row r="668" spans="1:4">
      <c r="A668" s="8" t="s">
        <v>262</v>
      </c>
      <c r="B668" s="2" t="s">
        <v>367</v>
      </c>
      <c r="C668">
        <f>'DMC Threads - By Number'!BC51</f>
        <v>0</v>
      </c>
      <c r="D668" t="s">
        <v>1735</v>
      </c>
    </row>
    <row r="669" spans="1:4">
      <c r="A669" s="8" t="s">
        <v>263</v>
      </c>
      <c r="B669" s="2" t="s">
        <v>288</v>
      </c>
      <c r="C669">
        <f>'DMC Threads - By Number'!BC52</f>
        <v>0</v>
      </c>
      <c r="D669" t="s">
        <v>1735</v>
      </c>
    </row>
    <row r="670" spans="1:4">
      <c r="A670" s="8" t="s">
        <v>264</v>
      </c>
      <c r="B670" s="2" t="s">
        <v>438</v>
      </c>
      <c r="C670">
        <f>'DMC Threads - By Number'!BC53</f>
        <v>0</v>
      </c>
      <c r="D670" t="s">
        <v>1735</v>
      </c>
    </row>
    <row r="671" spans="1:4">
      <c r="A671" s="8" t="s">
        <v>265</v>
      </c>
      <c r="B671" s="2" t="s">
        <v>373</v>
      </c>
      <c r="C671">
        <f>'DMC Threads - By Number'!BC54</f>
        <v>0</v>
      </c>
      <c r="D671" t="s">
        <v>1735</v>
      </c>
    </row>
    <row r="672" spans="1:4">
      <c r="A672" s="8" t="s">
        <v>266</v>
      </c>
      <c r="B672" s="2" t="s">
        <v>514</v>
      </c>
      <c r="C672">
        <f>'DMC Threads - By Number'!BC55</f>
        <v>0</v>
      </c>
      <c r="D672" t="s">
        <v>1735</v>
      </c>
    </row>
    <row r="673" spans="1:4">
      <c r="A673" s="8" t="s">
        <v>267</v>
      </c>
      <c r="B673" s="2" t="s">
        <v>678</v>
      </c>
      <c r="C673">
        <f>'DMC Threads - By Number'!BC56</f>
        <v>0</v>
      </c>
      <c r="D673" t="s">
        <v>1735</v>
      </c>
    </row>
    <row r="674" spans="1:4">
      <c r="A674" s="8" t="s">
        <v>268</v>
      </c>
      <c r="B674" s="2" t="s">
        <v>376</v>
      </c>
      <c r="C674">
        <f>'DMC Threads - By Number'!BC57</f>
        <v>0</v>
      </c>
      <c r="D674" t="s">
        <v>1735</v>
      </c>
    </row>
    <row r="675" spans="1:4">
      <c r="A675" s="8" t="s">
        <v>269</v>
      </c>
      <c r="B675" s="2" t="s">
        <v>630</v>
      </c>
      <c r="C675">
        <f>'DMC Threads - By Number'!BC58</f>
        <v>0</v>
      </c>
      <c r="D675" t="s">
        <v>1735</v>
      </c>
    </row>
    <row r="676" spans="1:4">
      <c r="A676" s="8" t="s">
        <v>270</v>
      </c>
      <c r="B676" s="2" t="s">
        <v>378</v>
      </c>
      <c r="C676">
        <f>'DMC Threads - By Number'!BC59</f>
        <v>0</v>
      </c>
      <c r="D676" t="s">
        <v>1735</v>
      </c>
    </row>
    <row r="677" spans="1:4">
      <c r="A677" s="8" t="s">
        <v>271</v>
      </c>
      <c r="B677" s="2" t="s">
        <v>680</v>
      </c>
      <c r="C677">
        <f>'DMC Threads - By Number'!BC60</f>
        <v>0</v>
      </c>
      <c r="D677" t="s">
        <v>1735</v>
      </c>
    </row>
    <row r="678" spans="1:4">
      <c r="A678" s="8" t="s">
        <v>272</v>
      </c>
      <c r="B678" s="2" t="s">
        <v>689</v>
      </c>
      <c r="C678">
        <f>'DMC Threads - By Number'!BC61</f>
        <v>0</v>
      </c>
      <c r="D678" t="s">
        <v>1735</v>
      </c>
    </row>
    <row r="679" spans="1:4">
      <c r="A679" s="8" t="s">
        <v>273</v>
      </c>
      <c r="B679" s="2" t="s">
        <v>382</v>
      </c>
      <c r="C679">
        <f>'DMC Threads - By Number'!BC62</f>
        <v>0</v>
      </c>
      <c r="D679" t="s">
        <v>1735</v>
      </c>
    </row>
    <row r="680" spans="1:4">
      <c r="A680" s="8" t="s">
        <v>274</v>
      </c>
      <c r="B680" s="2" t="s">
        <v>289</v>
      </c>
      <c r="C680">
        <f>'DMC Threads - By Number'!BC63</f>
        <v>0</v>
      </c>
      <c r="D680" t="s">
        <v>1735</v>
      </c>
    </row>
    <row r="681" spans="1:4" ht="17" thickBot="1">
      <c r="A681" s="8" t="s">
        <v>275</v>
      </c>
      <c r="B681" s="4" t="s">
        <v>443</v>
      </c>
      <c r="C681">
        <f>'DMC Threads - By Number'!BC64</f>
        <v>0</v>
      </c>
      <c r="D681" t="s">
        <v>1735</v>
      </c>
    </row>
    <row r="682" spans="1:4">
      <c r="A682" s="8" t="s">
        <v>812</v>
      </c>
      <c r="B682" s="518" t="s">
        <v>813</v>
      </c>
      <c r="C682">
        <f>'DMC Threads - By Number'!BH6</f>
        <v>0</v>
      </c>
      <c r="D682" t="s">
        <v>1735</v>
      </c>
    </row>
    <row r="683" spans="1:4">
      <c r="A683" s="8" t="s">
        <v>795</v>
      </c>
      <c r="B683" s="2" t="s">
        <v>798</v>
      </c>
      <c r="C683">
        <f>'DMC Threads - By Number'!BH7</f>
        <v>0</v>
      </c>
      <c r="D683" t="s">
        <v>1735</v>
      </c>
    </row>
    <row r="684" spans="1:4">
      <c r="A684" s="8" t="s">
        <v>796</v>
      </c>
      <c r="B684" s="6" t="s">
        <v>799</v>
      </c>
      <c r="C684">
        <f>'DMC Threads - By Number'!BH8</f>
        <v>0</v>
      </c>
      <c r="D684" t="s">
        <v>1735</v>
      </c>
    </row>
    <row r="685" spans="1:4">
      <c r="A685" s="8" t="s">
        <v>797</v>
      </c>
      <c r="B685" s="6" t="s">
        <v>800</v>
      </c>
      <c r="C685">
        <f>'DMC Threads - By Number'!BH9</f>
        <v>0</v>
      </c>
      <c r="D685" t="s">
        <v>1735</v>
      </c>
    </row>
    <row r="686" spans="1:4">
      <c r="A686" s="8" t="s">
        <v>801</v>
      </c>
      <c r="B686" s="6" t="s">
        <v>802</v>
      </c>
      <c r="C686">
        <f>'DMC Threads - By Number'!BH10</f>
        <v>0</v>
      </c>
      <c r="D686" t="s">
        <v>1735</v>
      </c>
    </row>
    <row r="687" spans="1:4">
      <c r="A687" s="8" t="s">
        <v>803</v>
      </c>
      <c r="B687" s="6" t="s">
        <v>835</v>
      </c>
      <c r="C687">
        <f>'DMC Threads - By Number'!BH11</f>
        <v>0</v>
      </c>
      <c r="D687" t="s">
        <v>1735</v>
      </c>
    </row>
    <row r="688" spans="1:4">
      <c r="A688" s="8" t="s">
        <v>1024</v>
      </c>
      <c r="B688" s="6" t="s">
        <v>892</v>
      </c>
      <c r="C688">
        <f>'DMC Threads - By Number'!BH12</f>
        <v>0</v>
      </c>
      <c r="D688" t="s">
        <v>1735</v>
      </c>
    </row>
    <row r="689" spans="1:4">
      <c r="A689" s="8" t="s">
        <v>804</v>
      </c>
      <c r="B689" s="6" t="s">
        <v>836</v>
      </c>
      <c r="C689">
        <f>'DMC Threads - By Number'!BH13</f>
        <v>0</v>
      </c>
      <c r="D689" t="s">
        <v>1735</v>
      </c>
    </row>
    <row r="690" spans="1:4">
      <c r="A690" s="8" t="s">
        <v>805</v>
      </c>
      <c r="B690" s="6" t="s">
        <v>837</v>
      </c>
      <c r="C690">
        <f>'DMC Threads - By Number'!BH14</f>
        <v>0</v>
      </c>
      <c r="D690" t="s">
        <v>1735</v>
      </c>
    </row>
    <row r="691" spans="1:4">
      <c r="A691" s="8" t="s">
        <v>838</v>
      </c>
      <c r="B691" s="6" t="s">
        <v>839</v>
      </c>
      <c r="C691">
        <f>'DMC Threads - By Number'!BH15</f>
        <v>0</v>
      </c>
      <c r="D691" t="s">
        <v>1735</v>
      </c>
    </row>
    <row r="692" spans="1:4">
      <c r="A692" s="8" t="s">
        <v>1025</v>
      </c>
      <c r="B692" s="6" t="s">
        <v>864</v>
      </c>
      <c r="C692">
        <f>'DMC Threads - By Number'!BH16</f>
        <v>0</v>
      </c>
      <c r="D692" t="s">
        <v>1735</v>
      </c>
    </row>
    <row r="693" spans="1:4">
      <c r="A693" s="8" t="s">
        <v>808</v>
      </c>
      <c r="B693" s="6" t="s">
        <v>840</v>
      </c>
      <c r="C693">
        <f>'DMC Threads - By Number'!BH17</f>
        <v>0</v>
      </c>
      <c r="D693" t="s">
        <v>1735</v>
      </c>
    </row>
    <row r="694" spans="1:4">
      <c r="A694" s="8" t="s">
        <v>1026</v>
      </c>
      <c r="B694" s="6" t="s">
        <v>893</v>
      </c>
      <c r="C694">
        <f>'DMC Threads - By Number'!BH18</f>
        <v>0</v>
      </c>
      <c r="D694" t="s">
        <v>1735</v>
      </c>
    </row>
    <row r="695" spans="1:4">
      <c r="A695" s="8" t="s">
        <v>1027</v>
      </c>
      <c r="B695" s="6" t="s">
        <v>894</v>
      </c>
      <c r="C695">
        <f>'DMC Threads - By Number'!BH19</f>
        <v>0</v>
      </c>
      <c r="D695" t="s">
        <v>1735</v>
      </c>
    </row>
    <row r="696" spans="1:4">
      <c r="A696" s="8" t="s">
        <v>809</v>
      </c>
      <c r="B696" s="6" t="s">
        <v>895</v>
      </c>
      <c r="C696">
        <f>'DMC Threads - By Number'!BH20</f>
        <v>0</v>
      </c>
      <c r="D696" t="s">
        <v>1735</v>
      </c>
    </row>
    <row r="697" spans="1:4">
      <c r="A697" s="8" t="s">
        <v>810</v>
      </c>
      <c r="B697" s="6" t="s">
        <v>896</v>
      </c>
      <c r="C697">
        <f>'DMC Threads - By Number'!BH21</f>
        <v>0</v>
      </c>
      <c r="D697" t="s">
        <v>1735</v>
      </c>
    </row>
    <row r="698" spans="1:4">
      <c r="A698" s="8" t="s">
        <v>1028</v>
      </c>
      <c r="B698" s="6" t="s">
        <v>897</v>
      </c>
      <c r="C698">
        <f>'DMC Threads - By Number'!BH22</f>
        <v>0</v>
      </c>
      <c r="D698" t="s">
        <v>1735</v>
      </c>
    </row>
    <row r="699" spans="1:4">
      <c r="A699" s="8" t="s">
        <v>811</v>
      </c>
      <c r="B699" s="6" t="s">
        <v>841</v>
      </c>
      <c r="C699">
        <f>'DMC Threads - By Number'!BH23</f>
        <v>0</v>
      </c>
      <c r="D699" t="s">
        <v>1735</v>
      </c>
    </row>
    <row r="700" spans="1:4">
      <c r="A700" s="8" t="s">
        <v>814</v>
      </c>
      <c r="B700" s="6" t="s">
        <v>843</v>
      </c>
      <c r="C700">
        <f>'DMC Threads - By Number'!BH24</f>
        <v>0</v>
      </c>
      <c r="D700" t="s">
        <v>1735</v>
      </c>
    </row>
    <row r="701" spans="1:4">
      <c r="A701" s="8" t="s">
        <v>815</v>
      </c>
      <c r="B701" s="6" t="s">
        <v>898</v>
      </c>
      <c r="C701">
        <f>'DMC Threads - By Number'!BH25</f>
        <v>0</v>
      </c>
      <c r="D701" t="s">
        <v>1735</v>
      </c>
    </row>
    <row r="702" spans="1:4">
      <c r="A702" s="8" t="s">
        <v>1029</v>
      </c>
      <c r="B702" s="6" t="s">
        <v>842</v>
      </c>
      <c r="C702">
        <f>'DMC Threads - By Number'!BH26</f>
        <v>0</v>
      </c>
      <c r="D702" t="s">
        <v>1735</v>
      </c>
    </row>
    <row r="703" spans="1:4">
      <c r="A703" s="8" t="s">
        <v>816</v>
      </c>
      <c r="B703" s="6" t="s">
        <v>844</v>
      </c>
      <c r="C703">
        <f>'DMC Threads - By Number'!BH27</f>
        <v>0</v>
      </c>
      <c r="D703" t="s">
        <v>1735</v>
      </c>
    </row>
    <row r="704" spans="1:4">
      <c r="A704" s="8" t="s">
        <v>817</v>
      </c>
      <c r="B704" s="6" t="s">
        <v>845</v>
      </c>
      <c r="C704">
        <f>'DMC Threads - By Number'!BH28</f>
        <v>0</v>
      </c>
      <c r="D704" t="s">
        <v>1735</v>
      </c>
    </row>
    <row r="705" spans="1:4">
      <c r="A705" s="8" t="s">
        <v>818</v>
      </c>
      <c r="B705" s="6" t="s">
        <v>846</v>
      </c>
      <c r="C705">
        <f>'DMC Threads - By Number'!BH29</f>
        <v>0</v>
      </c>
      <c r="D705" t="s">
        <v>1735</v>
      </c>
    </row>
    <row r="706" spans="1:4">
      <c r="A706" s="8" t="s">
        <v>1030</v>
      </c>
      <c r="B706" s="6" t="s">
        <v>899</v>
      </c>
      <c r="C706">
        <f>'DMC Threads - By Number'!BH30</f>
        <v>0</v>
      </c>
      <c r="D706" t="s">
        <v>1735</v>
      </c>
    </row>
    <row r="707" spans="1:4">
      <c r="A707" s="8" t="s">
        <v>1031</v>
      </c>
      <c r="B707" s="6" t="s">
        <v>900</v>
      </c>
      <c r="C707">
        <f>'DMC Threads - By Number'!BH31</f>
        <v>0</v>
      </c>
      <c r="D707" t="s">
        <v>1735</v>
      </c>
    </row>
    <row r="708" spans="1:4">
      <c r="A708" s="8" t="s">
        <v>819</v>
      </c>
      <c r="B708" s="6" t="s">
        <v>847</v>
      </c>
      <c r="C708">
        <f>'DMC Threads - By Number'!BH32</f>
        <v>0</v>
      </c>
      <c r="D708" t="s">
        <v>1735</v>
      </c>
    </row>
    <row r="709" spans="1:4">
      <c r="A709" s="8" t="s">
        <v>1032</v>
      </c>
      <c r="B709" s="2" t="s">
        <v>912</v>
      </c>
      <c r="C709">
        <f>'DMC Threads - By Number'!BH33</f>
        <v>0</v>
      </c>
      <c r="D709" t="s">
        <v>1735</v>
      </c>
    </row>
    <row r="710" spans="1:4">
      <c r="A710" s="8" t="s">
        <v>1033</v>
      </c>
      <c r="B710" s="2" t="s">
        <v>913</v>
      </c>
      <c r="C710">
        <f>'DMC Threads - By Number'!BH34</f>
        <v>0</v>
      </c>
      <c r="D710" t="s">
        <v>1735</v>
      </c>
    </row>
    <row r="711" spans="1:4">
      <c r="A711" s="8" t="s">
        <v>1034</v>
      </c>
      <c r="B711" s="2" t="s">
        <v>911</v>
      </c>
      <c r="C711">
        <f>'DMC Threads - By Number'!BH35</f>
        <v>0</v>
      </c>
      <c r="D711" t="s">
        <v>1735</v>
      </c>
    </row>
    <row r="712" spans="1:4">
      <c r="A712" s="8" t="s">
        <v>1035</v>
      </c>
      <c r="B712" s="6" t="s">
        <v>910</v>
      </c>
      <c r="C712">
        <f>'DMC Threads - By Number'!BH36</f>
        <v>0</v>
      </c>
      <c r="D712" t="s">
        <v>1735</v>
      </c>
    </row>
    <row r="713" spans="1:4">
      <c r="A713" s="8" t="s">
        <v>1036</v>
      </c>
      <c r="B713" s="6" t="s">
        <v>909</v>
      </c>
      <c r="C713">
        <f>'DMC Threads - By Number'!BH37</f>
        <v>0</v>
      </c>
      <c r="D713" t="s">
        <v>1735</v>
      </c>
    </row>
    <row r="714" spans="1:4">
      <c r="A714" s="8" t="s">
        <v>820</v>
      </c>
      <c r="B714" s="6" t="s">
        <v>848</v>
      </c>
      <c r="C714">
        <f>'DMC Threads - By Number'!BH38</f>
        <v>0</v>
      </c>
      <c r="D714" t="s">
        <v>1735</v>
      </c>
    </row>
    <row r="715" spans="1:4">
      <c r="A715" s="8" t="s">
        <v>1037</v>
      </c>
      <c r="B715" s="2" t="s">
        <v>907</v>
      </c>
      <c r="C715">
        <f>'DMC Threads - By Number'!BH39</f>
        <v>0</v>
      </c>
      <c r="D715" t="s">
        <v>1735</v>
      </c>
    </row>
    <row r="716" spans="1:4">
      <c r="A716" s="8" t="s">
        <v>1038</v>
      </c>
      <c r="B716" s="2" t="s">
        <v>908</v>
      </c>
      <c r="C716">
        <f>'DMC Threads - By Number'!BH40</f>
        <v>0</v>
      </c>
      <c r="D716" t="s">
        <v>1735</v>
      </c>
    </row>
    <row r="717" spans="1:4">
      <c r="A717" s="8" t="s">
        <v>1039</v>
      </c>
      <c r="B717" s="6" t="s">
        <v>840</v>
      </c>
      <c r="C717">
        <f>'DMC Threads - By Number'!BH41</f>
        <v>0</v>
      </c>
      <c r="D717" t="s">
        <v>1735</v>
      </c>
    </row>
    <row r="718" spans="1:4">
      <c r="A718" s="8" t="s">
        <v>1040</v>
      </c>
      <c r="B718" s="2" t="s">
        <v>906</v>
      </c>
      <c r="C718">
        <f>'DMC Threads - By Number'!BH42</f>
        <v>0</v>
      </c>
      <c r="D718" t="s">
        <v>1735</v>
      </c>
    </row>
    <row r="719" spans="1:4">
      <c r="A719" s="8" t="s">
        <v>1041</v>
      </c>
      <c r="B719" s="6" t="s">
        <v>853</v>
      </c>
      <c r="C719">
        <f>'DMC Threads - By Number'!BH43</f>
        <v>0</v>
      </c>
      <c r="D719" t="s">
        <v>1735</v>
      </c>
    </row>
    <row r="720" spans="1:4">
      <c r="A720" s="8" t="s">
        <v>821</v>
      </c>
      <c r="B720" s="6" t="s">
        <v>850</v>
      </c>
      <c r="C720">
        <f>'DMC Threads - By Number'!BH44</f>
        <v>0</v>
      </c>
      <c r="D720" t="s">
        <v>1735</v>
      </c>
    </row>
    <row r="721" spans="1:4">
      <c r="A721" s="8" t="s">
        <v>822</v>
      </c>
      <c r="B721" s="6" t="s">
        <v>849</v>
      </c>
      <c r="C721">
        <f>'DMC Threads - By Number'!BH45</f>
        <v>0</v>
      </c>
      <c r="D721" t="s">
        <v>1735</v>
      </c>
    </row>
    <row r="722" spans="1:4">
      <c r="A722" s="8" t="s">
        <v>823</v>
      </c>
      <c r="B722" s="6" t="s">
        <v>851</v>
      </c>
      <c r="C722">
        <f>'DMC Threads - By Number'!BH46</f>
        <v>0</v>
      </c>
      <c r="D722" t="s">
        <v>1735</v>
      </c>
    </row>
    <row r="723" spans="1:4">
      <c r="A723" s="8" t="s">
        <v>824</v>
      </c>
      <c r="B723" s="6" t="s">
        <v>852</v>
      </c>
      <c r="C723">
        <f>'DMC Threads - By Number'!BH47</f>
        <v>0</v>
      </c>
      <c r="D723" t="s">
        <v>1735</v>
      </c>
    </row>
    <row r="724" spans="1:4">
      <c r="A724" s="8" t="s">
        <v>825</v>
      </c>
      <c r="B724" s="6" t="s">
        <v>905</v>
      </c>
      <c r="C724">
        <f>'DMC Threads - By Number'!BH48</f>
        <v>0</v>
      </c>
      <c r="D724" t="s">
        <v>1735</v>
      </c>
    </row>
    <row r="725" spans="1:4">
      <c r="A725" s="8" t="s">
        <v>826</v>
      </c>
      <c r="B725" s="6" t="s">
        <v>854</v>
      </c>
      <c r="C725">
        <f>'DMC Threads - By Number'!BH49</f>
        <v>0</v>
      </c>
      <c r="D725" t="s">
        <v>1735</v>
      </c>
    </row>
    <row r="726" spans="1:4">
      <c r="A726" s="8" t="s">
        <v>827</v>
      </c>
      <c r="B726" s="6" t="s">
        <v>855</v>
      </c>
      <c r="C726">
        <f>'DMC Threads - By Number'!BH50</f>
        <v>0</v>
      </c>
      <c r="D726" t="s">
        <v>1735</v>
      </c>
    </row>
    <row r="727" spans="1:4">
      <c r="A727" s="8" t="s">
        <v>828</v>
      </c>
      <c r="B727" s="6" t="s">
        <v>835</v>
      </c>
      <c r="C727">
        <f>'DMC Threads - By Number'!BH51</f>
        <v>0</v>
      </c>
      <c r="D727" t="s">
        <v>1735</v>
      </c>
    </row>
    <row r="728" spans="1:4">
      <c r="A728" s="8" t="s">
        <v>1042</v>
      </c>
      <c r="B728" s="6" t="s">
        <v>870</v>
      </c>
      <c r="C728">
        <f>'DMC Threads - By Number'!BH52</f>
        <v>0</v>
      </c>
      <c r="D728" t="s">
        <v>1735</v>
      </c>
    </row>
    <row r="729" spans="1:4">
      <c r="A729" s="8" t="s">
        <v>1043</v>
      </c>
      <c r="B729" s="6" t="s">
        <v>904</v>
      </c>
      <c r="C729">
        <f>'DMC Threads - By Number'!BH53</f>
        <v>0</v>
      </c>
      <c r="D729" t="s">
        <v>1735</v>
      </c>
    </row>
    <row r="730" spans="1:4">
      <c r="A730" s="8" t="s">
        <v>829</v>
      </c>
      <c r="B730" s="6" t="s">
        <v>856</v>
      </c>
      <c r="C730">
        <f>'DMC Threads - By Number'!BH54</f>
        <v>0</v>
      </c>
      <c r="D730" t="s">
        <v>1735</v>
      </c>
    </row>
    <row r="731" spans="1:4">
      <c r="A731" s="8" t="s">
        <v>1044</v>
      </c>
      <c r="B731" s="6" t="s">
        <v>903</v>
      </c>
      <c r="C731">
        <f>'DMC Threads - By Number'!BH55</f>
        <v>0</v>
      </c>
      <c r="D731" t="s">
        <v>1735</v>
      </c>
    </row>
    <row r="732" spans="1:4">
      <c r="A732" s="8" t="s">
        <v>830</v>
      </c>
      <c r="B732" s="6" t="s">
        <v>857</v>
      </c>
      <c r="C732">
        <f>'DMC Threads - By Number'!BH56</f>
        <v>0</v>
      </c>
      <c r="D732" t="s">
        <v>1735</v>
      </c>
    </row>
    <row r="733" spans="1:4">
      <c r="A733" s="8" t="s">
        <v>831</v>
      </c>
      <c r="B733" s="6" t="s">
        <v>858</v>
      </c>
      <c r="C733">
        <f>'DMC Threads - By Number'!BH57</f>
        <v>0</v>
      </c>
      <c r="D733" t="s">
        <v>1735</v>
      </c>
    </row>
    <row r="734" spans="1:4">
      <c r="A734" s="8" t="s">
        <v>1045</v>
      </c>
      <c r="B734" s="6" t="s">
        <v>902</v>
      </c>
      <c r="C734">
        <f>'DMC Threads - By Number'!BH58</f>
        <v>0</v>
      </c>
      <c r="D734" t="s">
        <v>1735</v>
      </c>
    </row>
    <row r="735" spans="1:4">
      <c r="A735" s="8" t="s">
        <v>832</v>
      </c>
      <c r="B735" s="6" t="s">
        <v>859</v>
      </c>
      <c r="C735">
        <f>'DMC Threads - By Number'!BH59</f>
        <v>0</v>
      </c>
      <c r="D735" t="s">
        <v>1735</v>
      </c>
    </row>
    <row r="736" spans="1:4">
      <c r="A736" s="8" t="s">
        <v>833</v>
      </c>
      <c r="B736" s="6" t="s">
        <v>860</v>
      </c>
      <c r="C736">
        <f>'DMC Threads - By Number'!BH60</f>
        <v>0</v>
      </c>
      <c r="D736" t="s">
        <v>1735</v>
      </c>
    </row>
    <row r="737" spans="1:4">
      <c r="A737" s="8" t="s">
        <v>834</v>
      </c>
      <c r="B737" s="6" t="s">
        <v>861</v>
      </c>
      <c r="C737">
        <f>'DMC Threads - By Number'!BH61</f>
        <v>0</v>
      </c>
      <c r="D737" t="s">
        <v>1735</v>
      </c>
    </row>
    <row r="738" spans="1:4">
      <c r="A738" s="8" t="s">
        <v>1046</v>
      </c>
      <c r="B738" s="6" t="s">
        <v>868</v>
      </c>
      <c r="C738">
        <f>'DMC Threads - By Number'!BH62</f>
        <v>0</v>
      </c>
      <c r="D738" t="s">
        <v>1735</v>
      </c>
    </row>
    <row r="739" spans="1:4">
      <c r="A739" s="8" t="s">
        <v>1047</v>
      </c>
      <c r="B739" s="6" t="s">
        <v>901</v>
      </c>
      <c r="C739">
        <f>'DMC Threads - By Number'!BH63</f>
        <v>0</v>
      </c>
      <c r="D739" t="s">
        <v>1735</v>
      </c>
    </row>
    <row r="740" spans="1:4">
      <c r="A740" s="8" t="s">
        <v>806</v>
      </c>
      <c r="B740" s="6" t="s">
        <v>862</v>
      </c>
      <c r="C740">
        <f>'DMC Threads - By Number'!BH64</f>
        <v>0</v>
      </c>
      <c r="D740" t="s">
        <v>1735</v>
      </c>
    </row>
    <row r="741" spans="1:4" ht="17" thickBot="1">
      <c r="A741" s="8" t="s">
        <v>807</v>
      </c>
      <c r="B741" s="16" t="s">
        <v>863</v>
      </c>
      <c r="C741">
        <f>'DMC Threads - By Number'!BH65</f>
        <v>0</v>
      </c>
      <c r="D741" t="s">
        <v>1735</v>
      </c>
    </row>
    <row r="742" spans="1:4">
      <c r="A742" s="8">
        <v>48</v>
      </c>
      <c r="B742" s="14" t="s">
        <v>736</v>
      </c>
      <c r="C742">
        <f>'DMC Threads - By Number'!BR7</f>
        <v>0</v>
      </c>
      <c r="D742">
        <v>21</v>
      </c>
    </row>
    <row r="743" spans="1:4">
      <c r="A743" s="8">
        <v>51</v>
      </c>
      <c r="B743" s="2" t="s">
        <v>732</v>
      </c>
      <c r="C743">
        <f>'DMC Threads - By Number'!BR8</f>
        <v>0</v>
      </c>
      <c r="D743">
        <v>21</v>
      </c>
    </row>
    <row r="744" spans="1:4">
      <c r="A744" s="8">
        <v>52</v>
      </c>
      <c r="B744" s="2" t="s">
        <v>733</v>
      </c>
      <c r="C744">
        <f>'DMC Threads - By Number'!BR9</f>
        <v>0</v>
      </c>
      <c r="D744">
        <v>21</v>
      </c>
    </row>
    <row r="745" spans="1:4">
      <c r="A745" s="8">
        <v>53</v>
      </c>
      <c r="B745" s="2" t="s">
        <v>734</v>
      </c>
      <c r="C745">
        <f>'DMC Threads - By Number'!BR10</f>
        <v>0</v>
      </c>
      <c r="D745">
        <v>21</v>
      </c>
    </row>
    <row r="746" spans="1:4">
      <c r="A746" s="8">
        <v>57</v>
      </c>
      <c r="B746" s="2" t="s">
        <v>735</v>
      </c>
      <c r="C746">
        <f>'DMC Threads - By Number'!BR11</f>
        <v>0</v>
      </c>
      <c r="D746" t="s">
        <v>1735</v>
      </c>
    </row>
    <row r="747" spans="1:4">
      <c r="A747" s="8">
        <v>61</v>
      </c>
      <c r="B747" s="2" t="s">
        <v>750</v>
      </c>
      <c r="C747">
        <f>'DMC Threads - By Number'!BR12</f>
        <v>0</v>
      </c>
      <c r="D747" t="s">
        <v>1735</v>
      </c>
    </row>
    <row r="748" spans="1:4">
      <c r="A748" s="8">
        <v>62</v>
      </c>
      <c r="B748" s="2" t="s">
        <v>914</v>
      </c>
      <c r="C748">
        <f>'DMC Threads - By Number'!BR13</f>
        <v>0</v>
      </c>
      <c r="D748" t="s">
        <v>1735</v>
      </c>
    </row>
    <row r="749" spans="1:4">
      <c r="A749" s="8">
        <v>67</v>
      </c>
      <c r="B749" s="2" t="s">
        <v>751</v>
      </c>
      <c r="C749">
        <f>'DMC Threads - By Number'!BR14</f>
        <v>0</v>
      </c>
      <c r="D749">
        <v>21</v>
      </c>
    </row>
    <row r="750" spans="1:4">
      <c r="A750" s="8">
        <v>69</v>
      </c>
      <c r="B750" s="2" t="s">
        <v>737</v>
      </c>
      <c r="C750">
        <f>'DMC Threads - By Number'!BR15</f>
        <v>0</v>
      </c>
      <c r="D750">
        <v>21</v>
      </c>
    </row>
    <row r="751" spans="1:4">
      <c r="A751" s="8">
        <v>75</v>
      </c>
      <c r="B751" s="2" t="s">
        <v>752</v>
      </c>
      <c r="C751">
        <f>'DMC Threads - By Number'!BR16</f>
        <v>0</v>
      </c>
      <c r="D751" t="s">
        <v>1735</v>
      </c>
    </row>
    <row r="752" spans="1:4">
      <c r="A752" s="8">
        <v>90</v>
      </c>
      <c r="B752" s="2" t="s">
        <v>738</v>
      </c>
      <c r="C752">
        <f>'DMC Threads - By Number'!BR17</f>
        <v>0</v>
      </c>
      <c r="D752">
        <v>21</v>
      </c>
    </row>
    <row r="753" spans="1:4">
      <c r="A753" s="8">
        <v>91</v>
      </c>
      <c r="B753" s="2" t="s">
        <v>753</v>
      </c>
      <c r="C753">
        <f>'DMC Threads - By Number'!BR18</f>
        <v>0</v>
      </c>
      <c r="D753" t="s">
        <v>1735</v>
      </c>
    </row>
    <row r="754" spans="1:4">
      <c r="A754" s="8">
        <v>92</v>
      </c>
      <c r="B754" s="2" t="s">
        <v>739</v>
      </c>
      <c r="C754">
        <f>'DMC Threads - By Number'!BR19</f>
        <v>0</v>
      </c>
      <c r="D754">
        <v>21</v>
      </c>
    </row>
    <row r="755" spans="1:4">
      <c r="A755" s="8">
        <v>93</v>
      </c>
      <c r="B755" s="2" t="s">
        <v>754</v>
      </c>
      <c r="C755">
        <f>'DMC Threads - By Number'!BR20</f>
        <v>0</v>
      </c>
      <c r="D755">
        <v>21</v>
      </c>
    </row>
    <row r="756" spans="1:4">
      <c r="A756" s="8">
        <v>94</v>
      </c>
      <c r="B756" s="2" t="s">
        <v>740</v>
      </c>
      <c r="C756">
        <f>'DMC Threads - By Number'!BR21</f>
        <v>0</v>
      </c>
      <c r="D756">
        <v>21</v>
      </c>
    </row>
    <row r="757" spans="1:4">
      <c r="A757" s="8">
        <v>95</v>
      </c>
      <c r="B757" s="2" t="s">
        <v>755</v>
      </c>
      <c r="C757">
        <f>'DMC Threads - By Number'!BR22</f>
        <v>0</v>
      </c>
      <c r="D757" t="s">
        <v>1735</v>
      </c>
    </row>
    <row r="758" spans="1:4">
      <c r="A758" s="8">
        <v>99</v>
      </c>
      <c r="B758" s="2" t="s">
        <v>741</v>
      </c>
      <c r="C758">
        <f>'DMC Threads - By Number'!BR23</f>
        <v>0</v>
      </c>
      <c r="D758">
        <v>21</v>
      </c>
    </row>
    <row r="759" spans="1:4">
      <c r="A759" s="8">
        <v>101</v>
      </c>
      <c r="B759" s="2" t="s">
        <v>756</v>
      </c>
      <c r="C759">
        <f>'DMC Threads - By Number'!BR24</f>
        <v>0</v>
      </c>
      <c r="D759" t="s">
        <v>1735</v>
      </c>
    </row>
    <row r="760" spans="1:4">
      <c r="A760" s="8">
        <v>102</v>
      </c>
      <c r="B760" s="2" t="s">
        <v>757</v>
      </c>
      <c r="C760">
        <f>'DMC Threads - By Number'!BR25</f>
        <v>0</v>
      </c>
      <c r="D760" t="s">
        <v>1735</v>
      </c>
    </row>
    <row r="761" spans="1:4">
      <c r="A761" s="8">
        <v>103</v>
      </c>
      <c r="B761" s="2" t="s">
        <v>742</v>
      </c>
      <c r="C761">
        <f>'DMC Threads - By Number'!BR26</f>
        <v>0</v>
      </c>
      <c r="D761" t="s">
        <v>1735</v>
      </c>
    </row>
    <row r="762" spans="1:4">
      <c r="A762" s="8">
        <v>104</v>
      </c>
      <c r="B762" s="2" t="s">
        <v>758</v>
      </c>
      <c r="C762">
        <f>'DMC Threads - By Number'!BR27</f>
        <v>0</v>
      </c>
      <c r="D762" t="s">
        <v>1735</v>
      </c>
    </row>
    <row r="763" spans="1:4">
      <c r="A763" s="8">
        <v>105</v>
      </c>
      <c r="B763" s="2" t="s">
        <v>743</v>
      </c>
      <c r="C763">
        <f>'DMC Threads - By Number'!BR28</f>
        <v>0</v>
      </c>
      <c r="D763">
        <v>21</v>
      </c>
    </row>
    <row r="764" spans="1:4">
      <c r="A764" s="8">
        <v>106</v>
      </c>
      <c r="B764" s="2" t="s">
        <v>744</v>
      </c>
      <c r="C764">
        <f>'DMC Threads - By Number'!BR29</f>
        <v>0</v>
      </c>
      <c r="D764">
        <v>21</v>
      </c>
    </row>
    <row r="765" spans="1:4">
      <c r="A765" s="8">
        <v>107</v>
      </c>
      <c r="B765" s="2" t="s">
        <v>745</v>
      </c>
      <c r="C765">
        <f>'DMC Threads - By Number'!BR30</f>
        <v>0</v>
      </c>
      <c r="D765">
        <v>21</v>
      </c>
    </row>
    <row r="766" spans="1:4">
      <c r="A766" s="8">
        <v>108</v>
      </c>
      <c r="B766" s="2" t="s">
        <v>759</v>
      </c>
      <c r="C766">
        <f>'DMC Threads - By Number'!BR31</f>
        <v>0</v>
      </c>
      <c r="D766" t="s">
        <v>1735</v>
      </c>
    </row>
    <row r="767" spans="1:4">
      <c r="A767" s="8">
        <v>111</v>
      </c>
      <c r="B767" s="2" t="s">
        <v>746</v>
      </c>
      <c r="C767">
        <f>'DMC Threads - By Number'!BR32</f>
        <v>0</v>
      </c>
      <c r="D767">
        <v>21</v>
      </c>
    </row>
    <row r="768" spans="1:4">
      <c r="A768" s="8">
        <v>112</v>
      </c>
      <c r="B768" s="2" t="s">
        <v>760</v>
      </c>
      <c r="C768">
        <f>'DMC Threads - By Number'!BR33</f>
        <v>0</v>
      </c>
      <c r="D768" t="s">
        <v>1735</v>
      </c>
    </row>
    <row r="769" spans="1:4">
      <c r="A769" s="8">
        <v>113</v>
      </c>
      <c r="B769" s="2" t="s">
        <v>761</v>
      </c>
      <c r="C769">
        <f>'DMC Threads - By Number'!BR34</f>
        <v>0</v>
      </c>
      <c r="D769" t="s">
        <v>1735</v>
      </c>
    </row>
    <row r="770" spans="1:4">
      <c r="A770" s="8">
        <v>114</v>
      </c>
      <c r="B770" s="2" t="s">
        <v>762</v>
      </c>
      <c r="C770">
        <f>'DMC Threads - By Number'!BR35</f>
        <v>0</v>
      </c>
      <c r="D770" t="s">
        <v>1735</v>
      </c>
    </row>
    <row r="771" spans="1:4">
      <c r="A771" s="8">
        <v>115</v>
      </c>
      <c r="B771" s="2" t="s">
        <v>747</v>
      </c>
      <c r="C771">
        <f>'DMC Threads - By Number'!BR36</f>
        <v>0</v>
      </c>
      <c r="D771">
        <v>21</v>
      </c>
    </row>
    <row r="772" spans="1:4">
      <c r="A772" s="8">
        <v>116</v>
      </c>
      <c r="B772" s="2" t="s">
        <v>763</v>
      </c>
      <c r="C772">
        <f>'DMC Threads - By Number'!BR37</f>
        <v>0</v>
      </c>
      <c r="D772" t="s">
        <v>1735</v>
      </c>
    </row>
    <row r="773" spans="1:4">
      <c r="A773" s="8">
        <v>121</v>
      </c>
      <c r="B773" s="2" t="s">
        <v>748</v>
      </c>
      <c r="C773">
        <f>'DMC Threads - By Number'!BR38</f>
        <v>0</v>
      </c>
      <c r="D773">
        <v>21</v>
      </c>
    </row>
    <row r="774" spans="1:4">
      <c r="A774" s="8">
        <v>122</v>
      </c>
      <c r="B774" s="2" t="s">
        <v>764</v>
      </c>
      <c r="C774">
        <f>'DMC Threads - By Number'!BR39</f>
        <v>0</v>
      </c>
      <c r="D774" t="s">
        <v>1735</v>
      </c>
    </row>
    <row r="775" spans="1:4">
      <c r="A775" s="8">
        <v>123</v>
      </c>
      <c r="B775" s="2" t="s">
        <v>765</v>
      </c>
      <c r="C775">
        <f>'DMC Threads - By Number'!BR40</f>
        <v>0</v>
      </c>
      <c r="D775" t="s">
        <v>1735</v>
      </c>
    </row>
    <row r="776" spans="1:4">
      <c r="A776" s="8">
        <v>124</v>
      </c>
      <c r="B776" s="2" t="s">
        <v>766</v>
      </c>
      <c r="C776">
        <f>'DMC Threads - By Number'!BR41</f>
        <v>0</v>
      </c>
      <c r="D776" t="s">
        <v>1735</v>
      </c>
    </row>
    <row r="777" spans="1:4">
      <c r="A777" s="8">
        <v>125</v>
      </c>
      <c r="B777" s="2" t="s">
        <v>749</v>
      </c>
      <c r="C777">
        <f>'DMC Threads - By Number'!BR42</f>
        <v>0</v>
      </c>
      <c r="D777">
        <v>21</v>
      </c>
    </row>
    <row r="778" spans="1:4">
      <c r="A778" s="8">
        <v>126</v>
      </c>
      <c r="B778" s="2" t="s">
        <v>767</v>
      </c>
      <c r="C778">
        <f>'DMC Threads - By Number'!BR43</f>
        <v>0</v>
      </c>
      <c r="D778" t="s">
        <v>1735</v>
      </c>
    </row>
    <row r="779" spans="1:4">
      <c r="A779" s="8">
        <v>4000</v>
      </c>
      <c r="B779" s="2" t="s">
        <v>768</v>
      </c>
      <c r="C779">
        <f>'DMC Threads - By Number'!BR44</f>
        <v>0</v>
      </c>
      <c r="D779" t="s">
        <v>1735</v>
      </c>
    </row>
    <row r="780" spans="1:4">
      <c r="A780" s="8">
        <v>4010</v>
      </c>
      <c r="B780" s="2" t="s">
        <v>791</v>
      </c>
      <c r="C780">
        <f>'DMC Threads - By Number'!BR45</f>
        <v>0</v>
      </c>
      <c r="D780">
        <v>24</v>
      </c>
    </row>
    <row r="781" spans="1:4">
      <c r="A781" s="8">
        <v>4017</v>
      </c>
      <c r="B781" s="2" t="s">
        <v>769</v>
      </c>
      <c r="C781">
        <f>'DMC Threads - By Number'!BR46</f>
        <v>0</v>
      </c>
      <c r="D781" t="s">
        <v>1735</v>
      </c>
    </row>
    <row r="782" spans="1:4">
      <c r="A782" s="8">
        <v>4022</v>
      </c>
      <c r="B782" s="2" t="s">
        <v>770</v>
      </c>
      <c r="C782">
        <f>'DMC Threads - By Number'!BR47</f>
        <v>0</v>
      </c>
      <c r="D782" t="s">
        <v>1735</v>
      </c>
    </row>
    <row r="783" spans="1:4">
      <c r="A783" s="8">
        <v>4042</v>
      </c>
      <c r="B783" s="2" t="s">
        <v>771</v>
      </c>
      <c r="C783">
        <f>'DMC Threads - By Number'!BR48</f>
        <v>0</v>
      </c>
      <c r="D783" t="s">
        <v>1735</v>
      </c>
    </row>
    <row r="784" spans="1:4">
      <c r="A784" s="8">
        <v>4047</v>
      </c>
      <c r="B784" s="2" t="s">
        <v>772</v>
      </c>
      <c r="C784">
        <f>'DMC Threads - By Number'!BR49</f>
        <v>0</v>
      </c>
      <c r="D784" t="s">
        <v>1735</v>
      </c>
    </row>
    <row r="785" spans="1:4">
      <c r="A785" s="8">
        <v>4066</v>
      </c>
      <c r="B785" s="2" t="s">
        <v>773</v>
      </c>
      <c r="C785">
        <f>'DMC Threads - By Number'!BR50</f>
        <v>0</v>
      </c>
      <c r="D785" t="s">
        <v>1735</v>
      </c>
    </row>
    <row r="786" spans="1:4">
      <c r="A786" s="8">
        <v>4068</v>
      </c>
      <c r="B786" s="2" t="s">
        <v>774</v>
      </c>
      <c r="C786">
        <f>'DMC Threads - By Number'!BR51</f>
        <v>0</v>
      </c>
      <c r="D786" t="s">
        <v>1735</v>
      </c>
    </row>
    <row r="787" spans="1:4">
      <c r="A787" s="8">
        <v>4069</v>
      </c>
      <c r="B787" s="2" t="s">
        <v>775</v>
      </c>
      <c r="C787">
        <f>'DMC Threads - By Number'!BR52</f>
        <v>0</v>
      </c>
      <c r="D787" t="s">
        <v>1735</v>
      </c>
    </row>
    <row r="788" spans="1:4">
      <c r="A788" s="8">
        <v>4072</v>
      </c>
      <c r="B788" s="2" t="s">
        <v>776</v>
      </c>
      <c r="C788">
        <f>'DMC Threads - By Number'!BR53</f>
        <v>0</v>
      </c>
      <c r="D788" t="s">
        <v>1735</v>
      </c>
    </row>
    <row r="789" spans="1:4">
      <c r="A789" s="8">
        <v>4073</v>
      </c>
      <c r="B789" s="2" t="s">
        <v>777</v>
      </c>
      <c r="C789">
        <f>'DMC Threads - By Number'!BR54</f>
        <v>0</v>
      </c>
      <c r="D789" t="s">
        <v>1735</v>
      </c>
    </row>
    <row r="790" spans="1:4">
      <c r="A790" s="8">
        <v>4095</v>
      </c>
      <c r="B790" s="2" t="s">
        <v>778</v>
      </c>
      <c r="C790">
        <f>'DMC Threads - By Number'!BR55</f>
        <v>0</v>
      </c>
      <c r="D790" t="s">
        <v>1735</v>
      </c>
    </row>
    <row r="791" spans="1:4">
      <c r="A791" s="8">
        <v>4122</v>
      </c>
      <c r="B791" s="2" t="s">
        <v>779</v>
      </c>
      <c r="C791">
        <f>'DMC Threads - By Number'!BR56</f>
        <v>0</v>
      </c>
      <c r="D791" t="s">
        <v>1735</v>
      </c>
    </row>
    <row r="792" spans="1:4">
      <c r="A792" s="8">
        <v>4129</v>
      </c>
      <c r="B792" s="2" t="s">
        <v>780</v>
      </c>
      <c r="C792">
        <f>'DMC Threads - By Number'!BR57</f>
        <v>0</v>
      </c>
      <c r="D792" t="s">
        <v>1735</v>
      </c>
    </row>
    <row r="793" spans="1:4">
      <c r="A793" s="8">
        <v>4135</v>
      </c>
      <c r="B793" s="2" t="s">
        <v>737</v>
      </c>
      <c r="C793">
        <f>'DMC Threads - By Number'!BR58</f>
        <v>0</v>
      </c>
      <c r="D793" t="s">
        <v>1735</v>
      </c>
    </row>
    <row r="794" spans="1:4">
      <c r="A794" s="8">
        <v>4205</v>
      </c>
      <c r="B794" s="2" t="s">
        <v>781</v>
      </c>
      <c r="C794">
        <f>'DMC Threads - By Number'!BR59</f>
        <v>0</v>
      </c>
      <c r="D794" t="s">
        <v>1735</v>
      </c>
    </row>
    <row r="795" spans="1:4">
      <c r="A795" s="8">
        <v>4211</v>
      </c>
      <c r="B795" s="2" t="s">
        <v>782</v>
      </c>
      <c r="C795">
        <f>'DMC Threads - By Number'!BR60</f>
        <v>0</v>
      </c>
      <c r="D795" t="s">
        <v>1735</v>
      </c>
    </row>
    <row r="796" spans="1:4">
      <c r="A796" s="8">
        <v>4212</v>
      </c>
      <c r="B796" s="2" t="s">
        <v>783</v>
      </c>
      <c r="C796">
        <f>'DMC Threads - By Number'!BR61</f>
        <v>0</v>
      </c>
      <c r="D796" t="s">
        <v>1735</v>
      </c>
    </row>
    <row r="797" spans="1:4">
      <c r="A797" s="8">
        <v>4214</v>
      </c>
      <c r="B797" s="2" t="s">
        <v>784</v>
      </c>
      <c r="C797">
        <f>'DMC Threads - By Number'!BR62</f>
        <v>0</v>
      </c>
      <c r="D797" t="s">
        <v>1735</v>
      </c>
    </row>
    <row r="798" spans="1:4">
      <c r="A798" s="8">
        <v>4237</v>
      </c>
      <c r="B798" s="2" t="s">
        <v>785</v>
      </c>
      <c r="C798">
        <f>'DMC Threads - By Number'!BR63</f>
        <v>0</v>
      </c>
      <c r="D798" t="s">
        <v>1735</v>
      </c>
    </row>
    <row r="799" spans="1:4">
      <c r="A799" s="8">
        <v>4245</v>
      </c>
      <c r="B799" s="2" t="s">
        <v>786</v>
      </c>
      <c r="C799">
        <f>'DMC Threads - By Number'!BR64</f>
        <v>0</v>
      </c>
      <c r="D799" t="s">
        <v>1735</v>
      </c>
    </row>
    <row r="800" spans="1:4">
      <c r="A800" s="8">
        <v>4250</v>
      </c>
      <c r="B800" s="2" t="s">
        <v>787</v>
      </c>
      <c r="C800">
        <f>'DMC Threads - By Number'!BR65</f>
        <v>0</v>
      </c>
      <c r="D800" t="s">
        <v>1735</v>
      </c>
    </row>
    <row r="801" spans="1:4">
      <c r="A801" s="8">
        <v>4255</v>
      </c>
      <c r="B801" s="2" t="s">
        <v>788</v>
      </c>
      <c r="C801">
        <f>'DMC Threads - By Number'!BR66</f>
        <v>0</v>
      </c>
      <c r="D801" t="s">
        <v>1735</v>
      </c>
    </row>
    <row r="802" spans="1:4">
      <c r="A802" s="8">
        <v>4260</v>
      </c>
      <c r="B802" s="2" t="s">
        <v>789</v>
      </c>
      <c r="C802">
        <f>'DMC Threads - By Number'!BR67</f>
        <v>0</v>
      </c>
      <c r="D802" t="s">
        <v>1735</v>
      </c>
    </row>
    <row r="803" spans="1:4" ht="17" thickBot="1">
      <c r="A803" s="8">
        <v>4265</v>
      </c>
      <c r="B803" s="4" t="s">
        <v>790</v>
      </c>
      <c r="C803">
        <f>'DMC Threads - By Number'!BR68</f>
        <v>0</v>
      </c>
      <c r="D803" t="s">
        <v>1735</v>
      </c>
    </row>
    <row r="804" spans="1:4">
      <c r="A804" s="8">
        <v>5269</v>
      </c>
      <c r="B804" s="518" t="s">
        <v>721</v>
      </c>
      <c r="C804">
        <f>'DMC Threads - By Number'!BW7</f>
        <v>0</v>
      </c>
      <c r="D804" t="s">
        <v>1735</v>
      </c>
    </row>
    <row r="805" spans="1:4">
      <c r="A805" s="8">
        <v>5270</v>
      </c>
      <c r="B805" s="6" t="s">
        <v>722</v>
      </c>
      <c r="C805">
        <f>'DMC Threads - By Number'!BW8</f>
        <v>0</v>
      </c>
      <c r="D805" t="s">
        <v>1735</v>
      </c>
    </row>
    <row r="806" spans="1:4">
      <c r="A806" s="8">
        <v>5272</v>
      </c>
      <c r="B806" s="6" t="s">
        <v>723</v>
      </c>
      <c r="C806">
        <f>'DMC Threads - By Number'!BW9</f>
        <v>0</v>
      </c>
      <c r="D806" t="s">
        <v>1735</v>
      </c>
    </row>
    <row r="807" spans="1:4">
      <c r="A807" s="8">
        <v>5279</v>
      </c>
      <c r="B807" s="6" t="s">
        <v>724</v>
      </c>
      <c r="C807">
        <f>'DMC Threads - By Number'!BW10</f>
        <v>0</v>
      </c>
      <c r="D807" t="s">
        <v>1735</v>
      </c>
    </row>
    <row r="808" spans="1:4">
      <c r="A808" s="8">
        <v>5282</v>
      </c>
      <c r="B808" s="6" t="s">
        <v>725</v>
      </c>
      <c r="C808">
        <f>'DMC Threads - By Number'!BW11</f>
        <v>0</v>
      </c>
      <c r="D808">
        <v>26</v>
      </c>
    </row>
    <row r="809" spans="1:4">
      <c r="A809" s="8">
        <v>5283</v>
      </c>
      <c r="B809" s="6" t="s">
        <v>726</v>
      </c>
      <c r="C809">
        <f>'DMC Threads - By Number'!BW12</f>
        <v>0</v>
      </c>
      <c r="D809">
        <v>26</v>
      </c>
    </row>
    <row r="810" spans="1:4">
      <c r="A810" s="8">
        <v>5284</v>
      </c>
      <c r="B810" s="6" t="s">
        <v>727</v>
      </c>
      <c r="C810">
        <f>'DMC Threads - By Number'!BW13</f>
        <v>0</v>
      </c>
      <c r="D810" t="s">
        <v>1735</v>
      </c>
    </row>
    <row r="811" spans="1:4">
      <c r="A811" s="8">
        <v>5287</v>
      </c>
      <c r="B811" s="6" t="s">
        <v>728</v>
      </c>
      <c r="C811">
        <f>'DMC Threads - By Number'!BW14</f>
        <v>0</v>
      </c>
      <c r="D811" t="s">
        <v>1735</v>
      </c>
    </row>
    <row r="812" spans="1:4">
      <c r="A812" s="8">
        <v>5288</v>
      </c>
      <c r="B812" s="6" t="s">
        <v>729</v>
      </c>
      <c r="C812">
        <f>'DMC Threads - By Number'!BW15</f>
        <v>0</v>
      </c>
      <c r="D812" t="s">
        <v>1735</v>
      </c>
    </row>
    <row r="813" spans="1:4">
      <c r="A813" s="8">
        <v>5289</v>
      </c>
      <c r="B813" s="6" t="s">
        <v>730</v>
      </c>
      <c r="C813">
        <f>'DMC Threads - By Number'!BW16</f>
        <v>0</v>
      </c>
      <c r="D813" t="s">
        <v>1735</v>
      </c>
    </row>
    <row r="814" spans="1:4">
      <c r="A814" s="8">
        <v>5290</v>
      </c>
      <c r="B814" s="6" t="s">
        <v>731</v>
      </c>
      <c r="C814">
        <f>'DMC Threads - By Number'!BW17</f>
        <v>0</v>
      </c>
      <c r="D814" t="s">
        <v>1735</v>
      </c>
    </row>
    <row r="815" spans="1:4" ht="17" thickBot="1">
      <c r="A815" s="8">
        <v>5290</v>
      </c>
      <c r="B815" s="16" t="s">
        <v>999</v>
      </c>
      <c r="C815">
        <f>'DMC Threads - By Number'!BW18</f>
        <v>0</v>
      </c>
      <c r="D815" t="s">
        <v>1735</v>
      </c>
    </row>
    <row r="816" spans="1:4">
      <c r="A816" s="8">
        <v>724</v>
      </c>
      <c r="B816" s="2" t="s">
        <v>1462</v>
      </c>
      <c r="C816">
        <f>'DMC Threads - By Number'!O62</f>
        <v>0</v>
      </c>
      <c r="D816" t="s">
        <v>1735</v>
      </c>
    </row>
    <row r="817" spans="1:4" ht="17" thickBot="1">
      <c r="A817" s="8">
        <v>974</v>
      </c>
      <c r="B817" s="2" t="s">
        <v>1463</v>
      </c>
      <c r="C817">
        <f>'DMC Threads - By Number'!Y68</f>
        <v>0</v>
      </c>
      <c r="D817" t="s">
        <v>1735</v>
      </c>
    </row>
    <row r="818" spans="1:4">
      <c r="A818" s="11">
        <v>30300</v>
      </c>
      <c r="B818" s="518" t="s">
        <v>1393</v>
      </c>
      <c r="C818">
        <f>'DMC Threads - By Number'!BM6</f>
        <v>0</v>
      </c>
      <c r="D818" t="s">
        <v>1735</v>
      </c>
    </row>
    <row r="819" spans="1:4">
      <c r="A819" s="9">
        <v>30301</v>
      </c>
      <c r="B819" s="6" t="s">
        <v>1394</v>
      </c>
      <c r="C819">
        <f>'DMC Threads - By Number'!BM7</f>
        <v>0</v>
      </c>
      <c r="D819" t="s">
        <v>1735</v>
      </c>
    </row>
    <row r="820" spans="1:4">
      <c r="A820" s="9">
        <v>30307</v>
      </c>
      <c r="B820" s="6" t="s">
        <v>1395</v>
      </c>
      <c r="C820">
        <f>'DMC Threads - By Number'!BM8</f>
        <v>0</v>
      </c>
      <c r="D820" t="s">
        <v>1735</v>
      </c>
    </row>
    <row r="821" spans="1:4">
      <c r="A821" s="9">
        <v>30310</v>
      </c>
      <c r="B821" s="6" t="s">
        <v>1396</v>
      </c>
      <c r="C821">
        <f>'DMC Threads - By Number'!BM9</f>
        <v>0</v>
      </c>
      <c r="D821" t="s">
        <v>1735</v>
      </c>
    </row>
    <row r="822" spans="1:4">
      <c r="A822" s="9">
        <v>30326</v>
      </c>
      <c r="B822" s="6" t="s">
        <v>1397</v>
      </c>
      <c r="C822">
        <f>'DMC Threads - By Number'!BM10</f>
        <v>0</v>
      </c>
      <c r="D822" t="s">
        <v>1735</v>
      </c>
    </row>
    <row r="823" spans="1:4">
      <c r="A823" s="9">
        <v>30336</v>
      </c>
      <c r="B823" s="6" t="s">
        <v>1398</v>
      </c>
      <c r="C823">
        <f>'DMC Threads - By Number'!BM11</f>
        <v>0</v>
      </c>
      <c r="D823" t="s">
        <v>1735</v>
      </c>
    </row>
    <row r="824" spans="1:4">
      <c r="A824" s="9">
        <v>30351</v>
      </c>
      <c r="B824" s="6" t="s">
        <v>1399</v>
      </c>
      <c r="C824">
        <f>'DMC Threads - By Number'!BM12</f>
        <v>0</v>
      </c>
      <c r="D824" t="s">
        <v>1735</v>
      </c>
    </row>
    <row r="825" spans="1:4">
      <c r="A825" s="9">
        <v>30352</v>
      </c>
      <c r="B825" s="6" t="s">
        <v>1400</v>
      </c>
      <c r="C825">
        <f>'DMC Threads - By Number'!BM13</f>
        <v>0</v>
      </c>
      <c r="D825" t="s">
        <v>1735</v>
      </c>
    </row>
    <row r="826" spans="1:4">
      <c r="A826" s="9">
        <v>30434</v>
      </c>
      <c r="B826" s="6" t="s">
        <v>1401</v>
      </c>
      <c r="C826">
        <f>'DMC Threads - By Number'!BM14</f>
        <v>0</v>
      </c>
      <c r="D826" t="s">
        <v>1735</v>
      </c>
    </row>
    <row r="827" spans="1:4">
      <c r="A827" s="9">
        <v>30435</v>
      </c>
      <c r="B827" s="6" t="s">
        <v>1402</v>
      </c>
      <c r="C827">
        <f>'DMC Threads - By Number'!BM15</f>
        <v>0</v>
      </c>
      <c r="D827" t="s">
        <v>1735</v>
      </c>
    </row>
    <row r="828" spans="1:4">
      <c r="A828" s="9">
        <v>30469</v>
      </c>
      <c r="B828" s="6" t="s">
        <v>1403</v>
      </c>
      <c r="C828">
        <f>'DMC Threads - By Number'!BM16</f>
        <v>0</v>
      </c>
      <c r="D828" t="s">
        <v>1735</v>
      </c>
    </row>
    <row r="829" spans="1:4">
      <c r="A829" s="9">
        <v>30501</v>
      </c>
      <c r="B829" s="6" t="s">
        <v>1404</v>
      </c>
      <c r="C829">
        <f>'DMC Threads - By Number'!BM17</f>
        <v>0</v>
      </c>
      <c r="D829" t="s">
        <v>1735</v>
      </c>
    </row>
    <row r="830" spans="1:4">
      <c r="A830" s="9">
        <v>30503</v>
      </c>
      <c r="B830" s="6" t="s">
        <v>1405</v>
      </c>
      <c r="C830">
        <f>'DMC Threads - By Number'!BM18</f>
        <v>0</v>
      </c>
      <c r="D830" t="s">
        <v>1735</v>
      </c>
    </row>
    <row r="831" spans="1:4">
      <c r="A831" s="9">
        <v>30504</v>
      </c>
      <c r="B831" s="6" t="s">
        <v>1406</v>
      </c>
      <c r="C831">
        <f>'DMC Threads - By Number'!BM19</f>
        <v>0</v>
      </c>
      <c r="D831" t="s">
        <v>1735</v>
      </c>
    </row>
    <row r="832" spans="1:4">
      <c r="A832" s="9">
        <v>30543</v>
      </c>
      <c r="B832" s="6" t="s">
        <v>1407</v>
      </c>
      <c r="C832">
        <f>'DMC Threads - By Number'!BM20</f>
        <v>0</v>
      </c>
      <c r="D832" t="s">
        <v>1735</v>
      </c>
    </row>
    <row r="833" spans="1:4">
      <c r="A833" s="9">
        <v>30550</v>
      </c>
      <c r="B833" s="6" t="s">
        <v>1408</v>
      </c>
      <c r="C833">
        <f>'DMC Threads - By Number'!BM21</f>
        <v>0</v>
      </c>
      <c r="D833" t="s">
        <v>1735</v>
      </c>
    </row>
    <row r="834" spans="1:4">
      <c r="A834" s="9">
        <v>30552</v>
      </c>
      <c r="B834" s="6" t="s">
        <v>1409</v>
      </c>
      <c r="C834">
        <f>'DMC Threads - By Number'!BM22</f>
        <v>0</v>
      </c>
      <c r="D834" t="s">
        <v>1735</v>
      </c>
    </row>
    <row r="835" spans="1:4">
      <c r="A835" s="9">
        <v>30553</v>
      </c>
      <c r="B835" s="6" t="s">
        <v>1410</v>
      </c>
      <c r="C835">
        <f>'DMC Threads - By Number'!BM23</f>
        <v>0</v>
      </c>
      <c r="D835" t="s">
        <v>1735</v>
      </c>
    </row>
    <row r="836" spans="1:4">
      <c r="A836" s="9">
        <v>30554</v>
      </c>
      <c r="B836" s="6" t="s">
        <v>1411</v>
      </c>
      <c r="C836">
        <f>'DMC Threads - By Number'!BM24</f>
        <v>0</v>
      </c>
      <c r="D836" t="s">
        <v>1735</v>
      </c>
    </row>
    <row r="837" spans="1:4">
      <c r="A837" s="9">
        <v>30580</v>
      </c>
      <c r="B837" s="6" t="s">
        <v>1412</v>
      </c>
      <c r="C837">
        <f>'DMC Threads - By Number'!BM25</f>
        <v>0</v>
      </c>
      <c r="D837" t="s">
        <v>1735</v>
      </c>
    </row>
    <row r="838" spans="1:4">
      <c r="A838" s="9">
        <v>30601</v>
      </c>
      <c r="B838" s="6" t="s">
        <v>1413</v>
      </c>
      <c r="C838">
        <f>'DMC Threads - By Number'!BM26</f>
        <v>0</v>
      </c>
      <c r="D838" t="s">
        <v>1735</v>
      </c>
    </row>
    <row r="839" spans="1:4">
      <c r="A839" s="9">
        <v>30602</v>
      </c>
      <c r="B839" s="6" t="s">
        <v>1414</v>
      </c>
      <c r="C839">
        <f>'DMC Threads - By Number'!BM27</f>
        <v>0</v>
      </c>
      <c r="D839" t="s">
        <v>1735</v>
      </c>
    </row>
    <row r="840" spans="1:4">
      <c r="A840" s="9">
        <v>30606</v>
      </c>
      <c r="B840" s="6" t="s">
        <v>1415</v>
      </c>
      <c r="C840">
        <f>'DMC Threads - By Number'!BM28</f>
        <v>0</v>
      </c>
      <c r="D840" t="s">
        <v>1735</v>
      </c>
    </row>
    <row r="841" spans="1:4">
      <c r="A841" s="9">
        <v>30666</v>
      </c>
      <c r="B841" s="6" t="s">
        <v>1416</v>
      </c>
      <c r="C841">
        <f>'DMC Threads - By Number'!BM29</f>
        <v>0</v>
      </c>
      <c r="D841" t="s">
        <v>1735</v>
      </c>
    </row>
    <row r="842" spans="1:4">
      <c r="A842" s="9">
        <v>30676</v>
      </c>
      <c r="B842" s="6" t="s">
        <v>1417</v>
      </c>
      <c r="C842">
        <f>'DMC Threads - By Number'!BM30</f>
        <v>0</v>
      </c>
      <c r="D842" t="s">
        <v>1735</v>
      </c>
    </row>
    <row r="843" spans="1:4">
      <c r="A843" s="9">
        <v>30702</v>
      </c>
      <c r="B843" s="6" t="s">
        <v>1418</v>
      </c>
      <c r="C843">
        <f>'DMC Threads - By Number'!BM31</f>
        <v>0</v>
      </c>
      <c r="D843" t="s">
        <v>1735</v>
      </c>
    </row>
    <row r="844" spans="1:4">
      <c r="A844" s="9">
        <v>30712</v>
      </c>
      <c r="B844" s="6" t="s">
        <v>1419</v>
      </c>
      <c r="C844">
        <f>'DMC Threads - By Number'!BM32</f>
        <v>0</v>
      </c>
      <c r="D844" t="s">
        <v>1735</v>
      </c>
    </row>
    <row r="845" spans="1:4">
      <c r="A845" s="9">
        <v>30726</v>
      </c>
      <c r="B845" s="6" t="s">
        <v>1420</v>
      </c>
      <c r="C845">
        <f>'DMC Threads - By Number'!BM33</f>
        <v>0</v>
      </c>
      <c r="D845" t="s">
        <v>1735</v>
      </c>
    </row>
    <row r="846" spans="1:4">
      <c r="A846" s="9">
        <v>30742</v>
      </c>
      <c r="B846" s="6" t="s">
        <v>1421</v>
      </c>
      <c r="C846">
        <f>'DMC Threads - By Number'!BM34</f>
        <v>0</v>
      </c>
      <c r="D846" t="s">
        <v>1735</v>
      </c>
    </row>
    <row r="847" spans="1:4">
      <c r="A847" s="9">
        <v>30744</v>
      </c>
      <c r="B847" s="6" t="s">
        <v>1422</v>
      </c>
      <c r="C847">
        <f>'DMC Threads - By Number'!BM35</f>
        <v>0</v>
      </c>
      <c r="D847" t="s">
        <v>1735</v>
      </c>
    </row>
    <row r="848" spans="1:4">
      <c r="A848" s="9">
        <v>30797</v>
      </c>
      <c r="B848" s="6" t="s">
        <v>1423</v>
      </c>
      <c r="C848">
        <f>'DMC Threads - By Number'!BM36</f>
        <v>0</v>
      </c>
      <c r="D848" t="s">
        <v>1735</v>
      </c>
    </row>
    <row r="849" spans="1:4">
      <c r="A849" s="9">
        <v>30798</v>
      </c>
      <c r="B849" s="6" t="s">
        <v>1424</v>
      </c>
      <c r="C849">
        <f>'DMC Threads - By Number'!BM37</f>
        <v>0</v>
      </c>
      <c r="D849" t="s">
        <v>1735</v>
      </c>
    </row>
    <row r="850" spans="1:4">
      <c r="A850" s="9">
        <v>30799</v>
      </c>
      <c r="B850" s="6" t="s">
        <v>1425</v>
      </c>
      <c r="C850">
        <f>'DMC Threads - By Number'!BM38</f>
        <v>0</v>
      </c>
      <c r="D850" t="s">
        <v>1735</v>
      </c>
    </row>
    <row r="851" spans="1:4">
      <c r="A851" s="9">
        <v>30813</v>
      </c>
      <c r="B851" s="6" t="s">
        <v>1426</v>
      </c>
      <c r="C851">
        <f>'DMC Threads - By Number'!BM39</f>
        <v>0</v>
      </c>
      <c r="D851" t="s">
        <v>1735</v>
      </c>
    </row>
    <row r="852" spans="1:4">
      <c r="A852" s="9">
        <v>30814</v>
      </c>
      <c r="B852" s="6" t="s">
        <v>1427</v>
      </c>
      <c r="C852">
        <f>'DMC Threads - By Number'!BM40</f>
        <v>0</v>
      </c>
      <c r="D852" t="s">
        <v>1735</v>
      </c>
    </row>
    <row r="853" spans="1:4">
      <c r="A853" s="9">
        <v>30818</v>
      </c>
      <c r="B853" s="6" t="s">
        <v>1428</v>
      </c>
      <c r="C853">
        <f>'DMC Threads - By Number'!BM41</f>
        <v>0</v>
      </c>
      <c r="D853" t="s">
        <v>1735</v>
      </c>
    </row>
    <row r="854" spans="1:4">
      <c r="A854" s="9">
        <v>30820</v>
      </c>
      <c r="B854" s="6" t="s">
        <v>1429</v>
      </c>
      <c r="C854">
        <f>'DMC Threads - By Number'!BM42</f>
        <v>0</v>
      </c>
      <c r="D854" t="s">
        <v>1735</v>
      </c>
    </row>
    <row r="855" spans="1:4">
      <c r="A855" s="9">
        <v>30824</v>
      </c>
      <c r="B855" s="6" t="s">
        <v>1430</v>
      </c>
      <c r="C855">
        <f>'DMC Threads - By Number'!BM43</f>
        <v>0</v>
      </c>
      <c r="D855" t="s">
        <v>1735</v>
      </c>
    </row>
    <row r="856" spans="1:4">
      <c r="A856" s="9">
        <v>30839</v>
      </c>
      <c r="B856" s="6" t="s">
        <v>1431</v>
      </c>
      <c r="C856">
        <f>'DMC Threads - By Number'!BM44</f>
        <v>0</v>
      </c>
      <c r="D856" t="s">
        <v>1735</v>
      </c>
    </row>
    <row r="857" spans="1:4">
      <c r="A857" s="9">
        <v>30841</v>
      </c>
      <c r="B857" s="6" t="s">
        <v>1432</v>
      </c>
      <c r="C857">
        <f>'DMC Threads - By Number'!BM45</f>
        <v>0</v>
      </c>
      <c r="D857" t="s">
        <v>1735</v>
      </c>
    </row>
    <row r="858" spans="1:4">
      <c r="A858" s="9">
        <v>30898</v>
      </c>
      <c r="B858" s="6" t="s">
        <v>1433</v>
      </c>
      <c r="C858">
        <f>'DMC Threads - By Number'!BM46</f>
        <v>0</v>
      </c>
      <c r="D858" t="s">
        <v>1735</v>
      </c>
    </row>
    <row r="859" spans="1:4">
      <c r="A859" s="9">
        <v>30899</v>
      </c>
      <c r="B859" s="6" t="s">
        <v>1434</v>
      </c>
      <c r="C859">
        <f>'DMC Threads - By Number'!BM47</f>
        <v>0</v>
      </c>
      <c r="D859" t="s">
        <v>1735</v>
      </c>
    </row>
    <row r="860" spans="1:4">
      <c r="A860" s="9">
        <v>30909</v>
      </c>
      <c r="B860" s="6" t="s">
        <v>1435</v>
      </c>
      <c r="C860">
        <f>'DMC Threads - By Number'!BM48</f>
        <v>0</v>
      </c>
      <c r="D860" t="s">
        <v>1735</v>
      </c>
    </row>
    <row r="861" spans="1:4">
      <c r="A861" s="9">
        <v>30911</v>
      </c>
      <c r="B861" s="6" t="s">
        <v>1436</v>
      </c>
      <c r="C861">
        <f>'DMC Threads - By Number'!BM49</f>
        <v>0</v>
      </c>
      <c r="D861" t="s">
        <v>1735</v>
      </c>
    </row>
    <row r="862" spans="1:4">
      <c r="A862" s="9">
        <v>30913</v>
      </c>
      <c r="B862" s="6" t="s">
        <v>1437</v>
      </c>
      <c r="C862">
        <f>'DMC Threads - By Number'!BM50</f>
        <v>0</v>
      </c>
      <c r="D862" t="s">
        <v>1735</v>
      </c>
    </row>
    <row r="863" spans="1:4">
      <c r="A863" s="9">
        <v>30915</v>
      </c>
      <c r="B863" s="6" t="s">
        <v>1438</v>
      </c>
      <c r="C863">
        <f>'DMC Threads - By Number'!BM51</f>
        <v>0</v>
      </c>
      <c r="D863" t="s">
        <v>1735</v>
      </c>
    </row>
    <row r="864" spans="1:4">
      <c r="A864" s="9">
        <v>30931</v>
      </c>
      <c r="B864" s="6" t="s">
        <v>1439</v>
      </c>
      <c r="C864">
        <f>'DMC Threads - By Number'!BM52</f>
        <v>0</v>
      </c>
      <c r="D864" t="s">
        <v>1735</v>
      </c>
    </row>
    <row r="865" spans="1:4">
      <c r="A865" s="9">
        <v>30932</v>
      </c>
      <c r="B865" s="6" t="s">
        <v>1440</v>
      </c>
      <c r="C865">
        <f>'DMC Threads - By Number'!BM53</f>
        <v>0</v>
      </c>
      <c r="D865" t="s">
        <v>1735</v>
      </c>
    </row>
    <row r="866" spans="1:4">
      <c r="A866" s="9">
        <v>30943</v>
      </c>
      <c r="B866" s="6" t="s">
        <v>1441</v>
      </c>
      <c r="C866">
        <f>'DMC Threads - By Number'!BM54</f>
        <v>0</v>
      </c>
      <c r="D866" t="s">
        <v>1735</v>
      </c>
    </row>
    <row r="867" spans="1:4">
      <c r="A867" s="9">
        <v>30955</v>
      </c>
      <c r="B867" s="6" t="s">
        <v>1442</v>
      </c>
      <c r="C867">
        <f>'DMC Threads - By Number'!BM55</f>
        <v>0</v>
      </c>
      <c r="D867" t="s">
        <v>1735</v>
      </c>
    </row>
    <row r="868" spans="1:4">
      <c r="A868" s="9">
        <v>30956</v>
      </c>
      <c r="B868" s="6" t="s">
        <v>1443</v>
      </c>
      <c r="C868">
        <f>'DMC Threads - By Number'!BM56</f>
        <v>0</v>
      </c>
      <c r="D868" t="s">
        <v>1735</v>
      </c>
    </row>
    <row r="869" spans="1:4">
      <c r="A869" s="9">
        <v>30957</v>
      </c>
      <c r="B869" s="6" t="s">
        <v>1461</v>
      </c>
      <c r="C869">
        <f>'DMC Threads - By Number'!BM57</f>
        <v>0</v>
      </c>
      <c r="D869" t="s">
        <v>1735</v>
      </c>
    </row>
    <row r="870" spans="1:4">
      <c r="A870" s="9">
        <v>30959</v>
      </c>
      <c r="B870" s="6" t="s">
        <v>1444</v>
      </c>
      <c r="C870">
        <f>'DMC Threads - By Number'!BM58</f>
        <v>0</v>
      </c>
      <c r="D870" t="s">
        <v>1735</v>
      </c>
    </row>
    <row r="871" spans="1:4">
      <c r="A871" s="9">
        <v>30964</v>
      </c>
      <c r="B871" s="6" t="s">
        <v>1445</v>
      </c>
      <c r="C871">
        <f>'DMC Threads - By Number'!BM59</f>
        <v>0</v>
      </c>
      <c r="D871" t="s">
        <v>1735</v>
      </c>
    </row>
    <row r="872" spans="1:4">
      <c r="A872" s="9">
        <v>30973</v>
      </c>
      <c r="B872" s="6" t="s">
        <v>1446</v>
      </c>
      <c r="C872">
        <f>'DMC Threads - By Number'!BM60</f>
        <v>0</v>
      </c>
      <c r="D872" t="s">
        <v>1735</v>
      </c>
    </row>
    <row r="873" spans="1:4">
      <c r="A873" s="9">
        <v>30976</v>
      </c>
      <c r="B873" s="6" t="s">
        <v>1447</v>
      </c>
      <c r="C873">
        <f>'DMC Threads - By Number'!BM61</f>
        <v>0</v>
      </c>
      <c r="D873" t="s">
        <v>1735</v>
      </c>
    </row>
    <row r="874" spans="1:4">
      <c r="A874" s="9">
        <v>30991</v>
      </c>
      <c r="B874" s="6" t="s">
        <v>1448</v>
      </c>
      <c r="C874">
        <f>'DMC Threads - By Number'!BM62</f>
        <v>0</v>
      </c>
      <c r="D874" t="s">
        <v>1735</v>
      </c>
    </row>
    <row r="875" spans="1:4">
      <c r="A875" s="9">
        <v>30993</v>
      </c>
      <c r="B875" s="6" t="s">
        <v>1449</v>
      </c>
      <c r="C875">
        <f>'DMC Threads - By Number'!BM63</f>
        <v>0</v>
      </c>
      <c r="D875" t="s">
        <v>1735</v>
      </c>
    </row>
    <row r="876" spans="1:4">
      <c r="A876" s="9">
        <v>30995</v>
      </c>
      <c r="B876" s="6" t="s">
        <v>1450</v>
      </c>
      <c r="C876">
        <f>'DMC Threads - By Number'!BM64</f>
        <v>0</v>
      </c>
      <c r="D876" t="s">
        <v>1735</v>
      </c>
    </row>
    <row r="877" spans="1:4">
      <c r="A877" s="9">
        <v>30996</v>
      </c>
      <c r="B877" s="6" t="s">
        <v>1451</v>
      </c>
      <c r="C877">
        <f>'DMC Threads - By Number'!BM65</f>
        <v>0</v>
      </c>
      <c r="D877" t="s">
        <v>1735</v>
      </c>
    </row>
    <row r="878" spans="1:4">
      <c r="A878" s="9">
        <v>33325</v>
      </c>
      <c r="B878" s="6" t="s">
        <v>1452</v>
      </c>
      <c r="C878">
        <f>'DMC Threads - By Number'!BM66</f>
        <v>0</v>
      </c>
      <c r="D878" t="s">
        <v>1735</v>
      </c>
    </row>
    <row r="879" spans="1:4">
      <c r="A879" s="9">
        <v>33350</v>
      </c>
      <c r="B879" s="6" t="s">
        <v>1453</v>
      </c>
      <c r="C879">
        <f>'DMC Threads - By Number'!BM67</f>
        <v>0</v>
      </c>
      <c r="D879" t="s">
        <v>1735</v>
      </c>
    </row>
    <row r="880" spans="1:4">
      <c r="A880" s="9">
        <v>33371</v>
      </c>
      <c r="B880" s="6" t="s">
        <v>1454</v>
      </c>
      <c r="C880">
        <f>'DMC Threads - By Number'!BM68</f>
        <v>0</v>
      </c>
      <c r="D880" t="s">
        <v>1735</v>
      </c>
    </row>
    <row r="881" spans="1:4">
      <c r="A881" s="9">
        <v>33607</v>
      </c>
      <c r="B881" s="6" t="s">
        <v>1455</v>
      </c>
      <c r="C881">
        <f>'DMC Threads - By Number'!BM69</f>
        <v>0</v>
      </c>
      <c r="D881" t="s">
        <v>1735</v>
      </c>
    </row>
    <row r="882" spans="1:4">
      <c r="A882" s="9">
        <v>33608</v>
      </c>
      <c r="B882" s="6" t="s">
        <v>1456</v>
      </c>
      <c r="C882">
        <f>'DMC Threads - By Number'!BM70</f>
        <v>0</v>
      </c>
      <c r="D882" t="s">
        <v>1735</v>
      </c>
    </row>
    <row r="883" spans="1:4">
      <c r="A883" s="9">
        <v>33687</v>
      </c>
      <c r="B883" s="6" t="s">
        <v>1457</v>
      </c>
      <c r="C883">
        <f>'DMC Threads - By Number'!BM71</f>
        <v>0</v>
      </c>
      <c r="D883" t="s">
        <v>1735</v>
      </c>
    </row>
    <row r="884" spans="1:4">
      <c r="A884" s="9">
        <v>33689</v>
      </c>
      <c r="B884" s="6" t="s">
        <v>1458</v>
      </c>
      <c r="C884">
        <f>'DMC Threads - By Number'!BM72</f>
        <v>0</v>
      </c>
      <c r="D884" t="s">
        <v>1735</v>
      </c>
    </row>
    <row r="885" spans="1:4">
      <c r="A885" s="9">
        <v>33733</v>
      </c>
      <c r="B885" s="6" t="s">
        <v>1459</v>
      </c>
      <c r="C885">
        <f>'DMC Threads - By Number'!BM73</f>
        <v>0</v>
      </c>
      <c r="D885" t="s">
        <v>1735</v>
      </c>
    </row>
    <row r="886" spans="1:4" ht="17" thickBot="1">
      <c r="A886" s="10">
        <v>33814</v>
      </c>
      <c r="B886" s="16" t="s">
        <v>1460</v>
      </c>
      <c r="C886">
        <f>'DMC Threads - By Number'!BM74</f>
        <v>0</v>
      </c>
      <c r="D886" t="s">
        <v>1735</v>
      </c>
    </row>
    <row r="887" spans="1:4">
      <c r="A887" s="8">
        <v>3684</v>
      </c>
      <c r="B887" t="str">
        <f>'DMC Threads - By Number'!AB52</f>
        <v>Garnet - Extremely Dark</v>
      </c>
      <c r="C887">
        <f>'DMC Threads - By Number'!AD52</f>
        <v>0</v>
      </c>
      <c r="D887" t="s">
        <v>1735</v>
      </c>
    </row>
    <row r="888" spans="1:4">
      <c r="A888" s="1" t="s">
        <v>1501</v>
      </c>
      <c r="B888" t="str">
        <f>'DMC Threads - By Number'!BU36</f>
        <v>Discontinued Secret Perfume - Lily Of The Valley</v>
      </c>
      <c r="C888">
        <f>'DMC Threads - By Number'!BW36</f>
        <v>0</v>
      </c>
      <c r="D888" t="s">
        <v>1735</v>
      </c>
    </row>
    <row r="889" spans="1:4">
      <c r="A889" s="1" t="s">
        <v>1515</v>
      </c>
      <c r="B889" t="str">
        <f>'DMC Threads - By Number'!BU37</f>
        <v>Discontinued Secret Perfume - Strawberry</v>
      </c>
      <c r="C889">
        <f>'DMC Threads - By Number'!BW37</f>
        <v>0</v>
      </c>
      <c r="D889" t="s">
        <v>1735</v>
      </c>
    </row>
    <row r="890" spans="1:4">
      <c r="A890" s="1" t="s">
        <v>1502</v>
      </c>
      <c r="B890" t="str">
        <f>'DMC Threads - By Number'!BU38</f>
        <v>Discontinued Secret Perfume - Lavender</v>
      </c>
      <c r="C890">
        <f>'DMC Threads - By Number'!BW38</f>
        <v>0</v>
      </c>
      <c r="D890" t="s">
        <v>1735</v>
      </c>
    </row>
    <row r="891" spans="1:4">
      <c r="A891" s="1" t="s">
        <v>1516</v>
      </c>
      <c r="B891" t="str">
        <f>'DMC Threads - By Number'!BU39</f>
        <v>Discontinued Secret Perfume - Rose</v>
      </c>
      <c r="C891">
        <f>'DMC Threads - By Number'!BW39</f>
        <v>0</v>
      </c>
      <c r="D891" t="s">
        <v>1735</v>
      </c>
    </row>
    <row r="892" spans="1:4">
      <c r="A892" s="1" t="s">
        <v>1517</v>
      </c>
      <c r="B892" t="str">
        <f>'DMC Threads - By Number'!BU40</f>
        <v>Discontinued Secret Perfume - Apple</v>
      </c>
      <c r="C892">
        <f>'DMC Threads - By Number'!BW40</f>
        <v>0</v>
      </c>
      <c r="D892" t="s">
        <v>1735</v>
      </c>
    </row>
    <row r="893" spans="1:4">
      <c r="A893" s="1" t="s">
        <v>1518</v>
      </c>
      <c r="B893" t="str">
        <f>'DMC Threads - By Number'!BU41</f>
        <v>Discontinued Secret Perfume - Lemon</v>
      </c>
      <c r="C893">
        <f>'DMC Threads - By Number'!BW41</f>
        <v>0</v>
      </c>
      <c r="D893" t="s">
        <v>1735</v>
      </c>
    </row>
    <row r="894" spans="1:4">
      <c r="A894" s="1" t="s">
        <v>1519</v>
      </c>
      <c r="B894" t="str">
        <f>'DMC Threads - By Number'!BU42</f>
        <v>Discontinued Secret Perfume - Almond</v>
      </c>
      <c r="C894">
        <f>'DMC Threads - By Number'!BW42</f>
        <v>0</v>
      </c>
      <c r="D894" t="s">
        <v>1735</v>
      </c>
    </row>
    <row r="895" spans="1:4">
      <c r="A895" s="1" t="s">
        <v>1520</v>
      </c>
      <c r="B895" t="str">
        <f>'DMC Threads - By Number'!BU43</f>
        <v>Discontinued Secret Perfume - Orange</v>
      </c>
      <c r="C895">
        <f>'DMC Threads - By Number'!BW43</f>
        <v>0</v>
      </c>
      <c r="D895" t="s">
        <v>1735</v>
      </c>
    </row>
    <row r="896" spans="1:4">
      <c r="A896" s="1" t="s">
        <v>1521</v>
      </c>
      <c r="B896" t="str">
        <f>'DMC Threads - By Number'!BU44</f>
        <v>Discontinued Secret Perfume - Honeysuckle</v>
      </c>
      <c r="C896">
        <f>'DMC Threads - By Number'!BW44</f>
        <v>0</v>
      </c>
      <c r="D896" t="s">
        <v>1735</v>
      </c>
    </row>
    <row r="897" spans="1:4">
      <c r="A897" s="1" t="s">
        <v>1522</v>
      </c>
      <c r="B897" t="str">
        <f>'DMC Threads - By Number'!BU45</f>
        <v>Discontinued Secret Perfume - Chocolate</v>
      </c>
      <c r="C897">
        <f>'DMC Threads - By Number'!BW45</f>
        <v>0</v>
      </c>
      <c r="D897" t="s">
        <v>1735</v>
      </c>
    </row>
    <row r="898" spans="1:4">
      <c r="A898" s="1" t="s">
        <v>1523</v>
      </c>
      <c r="B898" t="str">
        <f>'DMC Threads - By Number'!BU46</f>
        <v>Discontinued Secret Perfume - Toffee/Caramel</v>
      </c>
      <c r="C898">
        <f>'DMC Threads - By Number'!BW46</f>
        <v>0</v>
      </c>
      <c r="D898" t="s">
        <v>1735</v>
      </c>
    </row>
    <row r="899" spans="1:4" ht="17" thickBot="1">
      <c r="A899" s="3" t="s">
        <v>1524</v>
      </c>
      <c r="B899" t="str">
        <f>'DMC Threads - By Number'!BU47</f>
        <v>Discontinued Secret Perfume - Vanilla</v>
      </c>
      <c r="C899">
        <f>'DMC Threads - By Number'!BW47</f>
        <v>0</v>
      </c>
      <c r="D899" t="s">
        <v>1735</v>
      </c>
    </row>
    <row r="900" spans="1:4">
      <c r="A900" s="9">
        <v>127</v>
      </c>
      <c r="B900" s="6" t="s">
        <v>1392</v>
      </c>
      <c r="C900">
        <f>'DMC Threads - By Number'!AN62</f>
        <v>0</v>
      </c>
      <c r="D900" t="s">
        <v>1735</v>
      </c>
    </row>
  </sheetData>
  <sheetProtection algorithmName="SHA-512" hashValue="3u9EFSKL/VDJUkoiPe8AAYEMrm8RF2hpkrKipn+BMnjR7MUYKkjKdQOPyLIJbmQcmc0Zu7UhYXHu0hHnO4NKtQ==" saltValue="3mC8byKoSg34Y9Q8PfDUD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E6C7-EA49-F34D-BB4C-71C921FA0E3B}">
  <sheetPr>
    <tabColor theme="6"/>
  </sheetPr>
  <dimension ref="B1:EA59"/>
  <sheetViews>
    <sheetView workbookViewId="0">
      <selection activeCell="B3" sqref="B3"/>
    </sheetView>
  </sheetViews>
  <sheetFormatPr baseColWidth="10" defaultColWidth="10.83203125" defaultRowHeight="16"/>
  <cols>
    <col min="1" max="1" width="2.1640625" customWidth="1"/>
    <col min="2" max="2" width="10.83203125" customWidth="1"/>
    <col min="3" max="3" width="27.6640625" customWidth="1"/>
    <col min="4" max="4" width="7" customWidth="1"/>
    <col min="5" max="5" width="7.5" customWidth="1"/>
    <col min="6" max="6" width="5.83203125" customWidth="1"/>
    <col min="7" max="7" width="10.83203125" customWidth="1"/>
    <col min="8" max="8" width="27.6640625" customWidth="1"/>
    <col min="9" max="9" width="5.83203125" customWidth="1"/>
    <col min="10" max="10" width="6.83203125" customWidth="1"/>
    <col min="11" max="11" width="5.83203125" customWidth="1"/>
    <col min="12" max="12" width="10.83203125" customWidth="1"/>
    <col min="13" max="13" width="27.6640625" customWidth="1"/>
    <col min="14" max="14" width="5.83203125" customWidth="1"/>
    <col min="15" max="15" width="6.83203125" customWidth="1"/>
    <col min="16" max="16" width="5.83203125" customWidth="1"/>
    <col min="17" max="17" width="10.83203125" customWidth="1"/>
    <col min="18" max="18" width="27.6640625" customWidth="1"/>
    <col min="19" max="19" width="5.83203125" customWidth="1"/>
    <col min="20" max="20" width="6.83203125" customWidth="1"/>
    <col min="21" max="21" width="5.83203125" customWidth="1"/>
    <col min="22" max="22" width="10.83203125" customWidth="1"/>
    <col min="23" max="23" width="27.6640625" customWidth="1"/>
    <col min="24" max="24" width="5.83203125" customWidth="1"/>
    <col min="25" max="25" width="6.83203125" customWidth="1"/>
    <col min="26" max="26" width="5.83203125" customWidth="1"/>
    <col min="27" max="27" width="10.83203125" customWidth="1"/>
    <col min="28" max="28" width="27.6640625" customWidth="1"/>
    <col min="29" max="29" width="5.83203125" customWidth="1"/>
    <col min="30" max="30" width="6.83203125" customWidth="1"/>
    <col min="31" max="31" width="5.83203125" customWidth="1"/>
    <col min="32" max="32" width="10.83203125" customWidth="1"/>
    <col min="33" max="33" width="27.6640625" customWidth="1"/>
    <col min="34" max="34" width="5.83203125" customWidth="1"/>
    <col min="35" max="35" width="6.83203125" customWidth="1"/>
    <col min="36" max="36" width="5.83203125" customWidth="1"/>
    <col min="37" max="37" width="10.83203125" customWidth="1"/>
    <col min="38" max="38" width="27.6640625" customWidth="1"/>
    <col min="39" max="39" width="5.83203125" customWidth="1"/>
    <col min="40" max="40" width="6.83203125" customWidth="1"/>
    <col min="41" max="41" width="5.83203125" customWidth="1"/>
    <col min="42" max="42" width="10.83203125" customWidth="1"/>
    <col min="43" max="43" width="27.6640625" customWidth="1"/>
    <col min="44" max="44" width="5.83203125" customWidth="1"/>
    <col min="45" max="45" width="6.83203125" customWidth="1"/>
    <col min="46" max="46" width="5.83203125" customWidth="1"/>
    <col min="47" max="47" width="10.83203125" customWidth="1"/>
    <col min="48" max="48" width="27.6640625" customWidth="1"/>
    <col min="49" max="49" width="5.83203125" customWidth="1"/>
    <col min="50" max="50" width="6.83203125" customWidth="1"/>
    <col min="51" max="51" width="5.83203125" customWidth="1"/>
    <col min="52" max="52" width="10.83203125" customWidth="1"/>
    <col min="53" max="53" width="27.6640625" customWidth="1"/>
    <col min="54" max="54" width="5.83203125" customWidth="1"/>
    <col min="55" max="55" width="6.83203125" customWidth="1"/>
    <col min="56" max="56" width="5.83203125" customWidth="1"/>
    <col min="57" max="57" width="10.83203125" customWidth="1"/>
    <col min="58" max="58" width="27.6640625" customWidth="1"/>
    <col min="59" max="59" width="5.83203125" customWidth="1"/>
    <col min="60" max="60" width="6.83203125" customWidth="1"/>
    <col min="61" max="61" width="5.83203125" customWidth="1"/>
    <col min="62" max="62" width="10.83203125" customWidth="1"/>
    <col min="63" max="63" width="27.6640625" customWidth="1"/>
    <col min="64" max="64" width="5.83203125" customWidth="1"/>
    <col min="65" max="65" width="6.83203125" customWidth="1"/>
    <col min="66" max="66" width="5.83203125" customWidth="1"/>
    <col min="67" max="67" width="10.83203125" customWidth="1"/>
    <col min="68" max="68" width="27.6640625" customWidth="1"/>
    <col min="69" max="69" width="5.83203125" customWidth="1"/>
    <col min="70" max="70" width="6.83203125" customWidth="1"/>
    <col min="71" max="71" width="5.83203125" customWidth="1"/>
    <col min="72" max="72" width="10.83203125" customWidth="1"/>
    <col min="73" max="73" width="27.6640625" customWidth="1"/>
    <col min="74" max="74" width="5.83203125" customWidth="1"/>
    <col min="75" max="75" width="6.83203125" customWidth="1"/>
    <col min="76" max="76" width="5.83203125" customWidth="1"/>
    <col min="77" max="77" width="10.83203125" customWidth="1"/>
    <col min="78" max="78" width="27.6640625" customWidth="1"/>
    <col min="79" max="79" width="5.83203125" customWidth="1"/>
    <col min="80" max="80" width="6.83203125" customWidth="1"/>
    <col min="81" max="81" width="5.83203125" customWidth="1"/>
    <col min="82" max="82" width="10.83203125" customWidth="1"/>
    <col min="83" max="83" width="27.6640625" customWidth="1"/>
    <col min="84" max="84" width="5.83203125" customWidth="1"/>
    <col min="85" max="85" width="6.83203125" customWidth="1"/>
    <col min="86" max="86" width="5.83203125" customWidth="1"/>
    <col min="87" max="87" width="10.83203125" customWidth="1"/>
    <col min="88" max="88" width="27.6640625" customWidth="1"/>
    <col min="89" max="89" width="5.83203125" customWidth="1"/>
    <col min="90" max="90" width="6.83203125" customWidth="1"/>
    <col min="91" max="91" width="5.83203125" customWidth="1"/>
    <col min="92" max="92" width="10.83203125" customWidth="1"/>
    <col min="93" max="93" width="27.6640625" customWidth="1"/>
    <col min="94" max="94" width="5.83203125" customWidth="1"/>
    <col min="95" max="95" width="6.83203125" customWidth="1"/>
    <col min="96" max="96" width="5.83203125" customWidth="1"/>
    <col min="97" max="97" width="10.83203125" customWidth="1"/>
    <col min="98" max="98" width="27.6640625" customWidth="1"/>
    <col min="99" max="99" width="5.83203125" customWidth="1"/>
    <col min="100" max="100" width="6.83203125" customWidth="1"/>
    <col min="101" max="101" width="5.83203125" customWidth="1"/>
    <col min="102" max="102" width="10.83203125" customWidth="1"/>
    <col min="103" max="103" width="27.6640625" customWidth="1"/>
    <col min="104" max="104" width="5.83203125" customWidth="1"/>
    <col min="105" max="105" width="6.83203125" customWidth="1"/>
    <col min="106" max="106" width="5.83203125" customWidth="1"/>
    <col min="107" max="107" width="10.83203125" customWidth="1"/>
    <col min="108" max="108" width="27.6640625" customWidth="1"/>
    <col min="109" max="109" width="5.83203125" customWidth="1"/>
    <col min="110" max="110" width="6.83203125" customWidth="1"/>
    <col min="111" max="111" width="5.83203125" customWidth="1"/>
    <col min="112" max="112" width="10.83203125" customWidth="1"/>
    <col min="113" max="113" width="27.6640625" customWidth="1"/>
    <col min="114" max="114" width="5.83203125" customWidth="1"/>
    <col min="115" max="115" width="6.83203125" customWidth="1"/>
    <col min="116" max="116" width="5.83203125" customWidth="1"/>
    <col min="117" max="117" width="10.83203125" customWidth="1"/>
    <col min="118" max="118" width="27.6640625" customWidth="1"/>
    <col min="119" max="119" width="5.83203125" customWidth="1"/>
    <col min="120" max="120" width="6.83203125" customWidth="1"/>
    <col min="121" max="121" width="5.83203125" customWidth="1"/>
    <col min="122" max="122" width="10.83203125" customWidth="1"/>
    <col min="123" max="123" width="27.6640625" customWidth="1"/>
    <col min="124" max="124" width="5.83203125" customWidth="1"/>
    <col min="125" max="125" width="6.83203125" customWidth="1"/>
    <col min="126" max="126" width="5.83203125" customWidth="1"/>
    <col min="127" max="127" width="10.83203125" customWidth="1"/>
    <col min="128" max="128" width="27.6640625" customWidth="1"/>
    <col min="129" max="129" width="5.83203125" customWidth="1"/>
    <col min="130" max="130" width="6.83203125" customWidth="1"/>
    <col min="131" max="131" width="5.83203125" customWidth="1"/>
  </cols>
  <sheetData>
    <row r="1" spans="2:131" ht="17" thickBot="1"/>
    <row r="2" spans="2:131" ht="29" customHeight="1" thickBot="1">
      <c r="B2" s="491" t="s">
        <v>1000</v>
      </c>
      <c r="C2" s="520" t="s">
        <v>0</v>
      </c>
      <c r="D2" s="521" t="s">
        <v>243</v>
      </c>
      <c r="E2" s="522" t="s">
        <v>991</v>
      </c>
      <c r="G2" s="516"/>
      <c r="J2" s="8"/>
      <c r="L2" s="8"/>
      <c r="O2" s="8"/>
      <c r="Q2" s="8"/>
      <c r="T2" s="8"/>
      <c r="V2" s="8"/>
      <c r="Y2" s="8"/>
      <c r="AA2" s="8"/>
      <c r="AD2" s="8"/>
      <c r="AF2" s="8"/>
      <c r="AI2" s="8"/>
      <c r="AK2" s="8"/>
      <c r="AN2" s="8"/>
      <c r="AS2" s="8"/>
      <c r="AX2" s="8"/>
      <c r="BC2" s="8"/>
      <c r="BH2" s="8"/>
      <c r="BM2" s="8"/>
      <c r="BR2" s="8"/>
    </row>
    <row r="3" spans="2:131" ht="28" customHeight="1" thickBot="1">
      <c r="B3" s="1159">
        <v>310</v>
      </c>
      <c r="C3" s="1069" t="str">
        <f>VLOOKUP(B3,Sheet2!A1:C575,2,FALSE)</f>
        <v>Black</v>
      </c>
      <c r="D3" s="1162">
        <f>VLOOKUP(B3,Sheet2!A1:C575,3,FALSE)</f>
        <v>0</v>
      </c>
      <c r="E3" s="1070">
        <f>VLOOKUP(B3,Sheet2!A1:D575,4,FALSE)</f>
        <v>20</v>
      </c>
      <c r="G3" s="516"/>
      <c r="J3" s="8"/>
      <c r="L3" s="8"/>
      <c r="O3" s="8"/>
      <c r="Q3" s="8"/>
      <c r="T3" s="8"/>
      <c r="V3" s="8"/>
      <c r="Y3" s="8"/>
      <c r="AA3" s="8"/>
      <c r="AD3" s="8"/>
      <c r="AF3" s="8"/>
      <c r="AI3" s="8"/>
      <c r="AK3" s="8"/>
      <c r="AN3" s="8"/>
      <c r="AS3" s="8"/>
      <c r="AX3" s="8"/>
      <c r="BC3" s="8"/>
      <c r="BH3" s="8"/>
      <c r="BM3" s="8"/>
      <c r="BR3" s="8"/>
    </row>
    <row r="4" spans="2:131" ht="10" customHeight="1" thickBot="1">
      <c r="B4" s="567"/>
      <c r="G4" s="516" t="s">
        <v>290</v>
      </c>
      <c r="L4" s="567"/>
      <c r="Q4" s="567"/>
      <c r="V4" s="567"/>
      <c r="AA4" s="567"/>
      <c r="AF4" s="567"/>
      <c r="AK4" s="567"/>
      <c r="AO4" s="568"/>
      <c r="AP4" s="567"/>
      <c r="AT4" s="568"/>
      <c r="AU4" s="567"/>
      <c r="AZ4" s="567"/>
      <c r="BD4" s="568"/>
      <c r="BE4" s="567"/>
      <c r="BI4" s="568"/>
      <c r="BJ4" s="567"/>
      <c r="BO4" s="567"/>
      <c r="BS4" s="568"/>
      <c r="BT4" s="567"/>
      <c r="BX4" s="568"/>
      <c r="BY4" s="567"/>
      <c r="CD4" s="567"/>
      <c r="CH4" s="568"/>
      <c r="CI4" s="567"/>
      <c r="CM4" s="568"/>
      <c r="CN4" s="567"/>
      <c r="CR4" s="568"/>
      <c r="CS4" s="567"/>
      <c r="CW4" s="568"/>
      <c r="CX4" s="567"/>
      <c r="DB4" s="568"/>
      <c r="DC4" s="567"/>
      <c r="DG4" s="568"/>
      <c r="DH4" s="567"/>
      <c r="DL4" s="568"/>
      <c r="DM4" s="567"/>
      <c r="DQ4" s="568"/>
      <c r="DR4" s="567"/>
      <c r="DV4" s="568"/>
      <c r="DW4" s="567"/>
      <c r="EA4" s="568"/>
    </row>
    <row r="5" spans="2:131" ht="17" customHeight="1" thickBot="1">
      <c r="B5" s="2096" t="s">
        <v>965</v>
      </c>
      <c r="C5" s="2097"/>
      <c r="D5" s="2097"/>
      <c r="E5" s="2098"/>
      <c r="G5" s="2096" t="s">
        <v>966</v>
      </c>
      <c r="H5" s="2097"/>
      <c r="I5" s="2097"/>
      <c r="J5" s="2098"/>
      <c r="L5" s="2096" t="s">
        <v>967</v>
      </c>
      <c r="M5" s="2097"/>
      <c r="N5" s="2097"/>
      <c r="O5" s="2098"/>
      <c r="Q5" s="2096" t="s">
        <v>968</v>
      </c>
      <c r="R5" s="2097"/>
      <c r="S5" s="2097"/>
      <c r="T5" s="2098"/>
      <c r="V5" s="2096" t="s">
        <v>969</v>
      </c>
      <c r="W5" s="2097"/>
      <c r="X5" s="2097"/>
      <c r="Y5" s="2098"/>
      <c r="AA5" s="2096" t="s">
        <v>970</v>
      </c>
      <c r="AB5" s="2097"/>
      <c r="AC5" s="2097"/>
      <c r="AD5" s="2098"/>
      <c r="AF5" s="2096" t="s">
        <v>971</v>
      </c>
      <c r="AG5" s="2097"/>
      <c r="AH5" s="2097"/>
      <c r="AI5" s="2098"/>
      <c r="AK5" s="2096" t="s">
        <v>972</v>
      </c>
      <c r="AL5" s="2097"/>
      <c r="AM5" s="2097"/>
      <c r="AN5" s="2098"/>
      <c r="AO5" s="568"/>
      <c r="AP5" s="2096" t="s">
        <v>973</v>
      </c>
      <c r="AQ5" s="2097"/>
      <c r="AR5" s="2097"/>
      <c r="AS5" s="2098"/>
      <c r="AT5" s="568"/>
      <c r="AU5" s="2096" t="s">
        <v>974</v>
      </c>
      <c r="AV5" s="2097"/>
      <c r="AW5" s="2097"/>
      <c r="AX5" s="2098"/>
      <c r="AZ5" s="2096" t="s">
        <v>975</v>
      </c>
      <c r="BA5" s="2097"/>
      <c r="BB5" s="2097"/>
      <c r="BC5" s="2098"/>
      <c r="BD5" s="568"/>
      <c r="BE5" s="2096" t="s">
        <v>976</v>
      </c>
      <c r="BF5" s="2097"/>
      <c r="BG5" s="2097"/>
      <c r="BH5" s="2098"/>
      <c r="BI5" s="568"/>
      <c r="BJ5" s="2096" t="s">
        <v>977</v>
      </c>
      <c r="BK5" s="2097"/>
      <c r="BL5" s="2097"/>
      <c r="BM5" s="2098"/>
      <c r="BO5" s="2096" t="s">
        <v>978</v>
      </c>
      <c r="BP5" s="2097"/>
      <c r="BQ5" s="2097"/>
      <c r="BR5" s="2098"/>
      <c r="BS5" s="568"/>
      <c r="BT5" s="2096" t="s">
        <v>979</v>
      </c>
      <c r="BU5" s="2097"/>
      <c r="BV5" s="2097"/>
      <c r="BW5" s="2098"/>
      <c r="BX5" s="568"/>
      <c r="BY5" s="2096" t="s">
        <v>980</v>
      </c>
      <c r="BZ5" s="2097"/>
      <c r="CA5" s="2097"/>
      <c r="CB5" s="2098"/>
      <c r="CD5" s="2096" t="s">
        <v>981</v>
      </c>
      <c r="CE5" s="2097"/>
      <c r="CF5" s="2097"/>
      <c r="CG5" s="2098"/>
      <c r="CH5" s="568"/>
      <c r="CI5" s="2096" t="s">
        <v>982</v>
      </c>
      <c r="CJ5" s="2097"/>
      <c r="CK5" s="2097"/>
      <c r="CL5" s="2098"/>
      <c r="CM5" s="568"/>
      <c r="CN5" s="2096" t="s">
        <v>983</v>
      </c>
      <c r="CO5" s="2097"/>
      <c r="CP5" s="2097"/>
      <c r="CQ5" s="2098"/>
      <c r="CR5" s="568"/>
      <c r="CS5" s="2096" t="s">
        <v>984</v>
      </c>
      <c r="CT5" s="2097"/>
      <c r="CU5" s="2097"/>
      <c r="CV5" s="2098"/>
      <c r="CW5" s="568"/>
      <c r="CX5" s="2096" t="s">
        <v>985</v>
      </c>
      <c r="CY5" s="2097"/>
      <c r="CZ5" s="2097"/>
      <c r="DA5" s="2098"/>
      <c r="DB5" s="568"/>
      <c r="DC5" s="2096" t="s">
        <v>986</v>
      </c>
      <c r="DD5" s="2097"/>
      <c r="DE5" s="2097"/>
      <c r="DF5" s="2098"/>
      <c r="DG5" s="568"/>
      <c r="DH5" s="2096" t="s">
        <v>987</v>
      </c>
      <c r="DI5" s="2097"/>
      <c r="DJ5" s="2097"/>
      <c r="DK5" s="2098"/>
      <c r="DL5" s="568"/>
      <c r="DM5" s="2096" t="s">
        <v>988</v>
      </c>
      <c r="DN5" s="2097"/>
      <c r="DO5" s="2097"/>
      <c r="DP5" s="2098"/>
      <c r="DQ5" s="568"/>
      <c r="DR5" s="2096" t="s">
        <v>989</v>
      </c>
      <c r="DS5" s="2097"/>
      <c r="DT5" s="2097"/>
      <c r="DU5" s="2098"/>
      <c r="DV5" s="568"/>
      <c r="DW5" s="2096" t="s">
        <v>990</v>
      </c>
      <c r="DX5" s="2097"/>
      <c r="DY5" s="2097"/>
      <c r="DZ5" s="2098"/>
      <c r="EA5" s="568"/>
    </row>
    <row r="6" spans="2:131" ht="17" customHeight="1" thickBot="1">
      <c r="B6" s="491" t="s">
        <v>61</v>
      </c>
      <c r="C6" s="492" t="s">
        <v>0</v>
      </c>
      <c r="D6" s="493" t="s">
        <v>1</v>
      </c>
      <c r="E6" s="494" t="s">
        <v>243</v>
      </c>
      <c r="G6" s="491" t="s">
        <v>61</v>
      </c>
      <c r="H6" s="492" t="s">
        <v>0</v>
      </c>
      <c r="I6" s="493" t="s">
        <v>1</v>
      </c>
      <c r="J6" s="494" t="s">
        <v>243</v>
      </c>
      <c r="L6" s="491" t="s">
        <v>61</v>
      </c>
      <c r="M6" s="492" t="s">
        <v>0</v>
      </c>
      <c r="N6" s="493" t="s">
        <v>1</v>
      </c>
      <c r="O6" s="494" t="s">
        <v>243</v>
      </c>
      <c r="Q6" s="491" t="s">
        <v>61</v>
      </c>
      <c r="R6" s="492" t="s">
        <v>0</v>
      </c>
      <c r="S6" s="493" t="s">
        <v>1</v>
      </c>
      <c r="T6" s="494" t="s">
        <v>243</v>
      </c>
      <c r="V6" s="491" t="s">
        <v>61</v>
      </c>
      <c r="W6" s="492" t="s">
        <v>0</v>
      </c>
      <c r="X6" s="493" t="s">
        <v>1</v>
      </c>
      <c r="Y6" s="494" t="s">
        <v>243</v>
      </c>
      <c r="AA6" s="491" t="s">
        <v>61</v>
      </c>
      <c r="AB6" s="492" t="s">
        <v>0</v>
      </c>
      <c r="AC6" s="493" t="s">
        <v>1</v>
      </c>
      <c r="AD6" s="494" t="s">
        <v>243</v>
      </c>
      <c r="AF6" s="491" t="s">
        <v>61</v>
      </c>
      <c r="AG6" s="492" t="s">
        <v>0</v>
      </c>
      <c r="AH6" s="493" t="s">
        <v>1</v>
      </c>
      <c r="AI6" s="494" t="s">
        <v>243</v>
      </c>
      <c r="AK6" s="491" t="s">
        <v>61</v>
      </c>
      <c r="AL6" s="492" t="s">
        <v>0</v>
      </c>
      <c r="AM6" s="493" t="s">
        <v>1</v>
      </c>
      <c r="AN6" s="494" t="s">
        <v>243</v>
      </c>
      <c r="AO6" s="569"/>
      <c r="AP6" s="491" t="s">
        <v>61</v>
      </c>
      <c r="AQ6" s="492" t="s">
        <v>0</v>
      </c>
      <c r="AR6" s="493" t="s">
        <v>1</v>
      </c>
      <c r="AS6" s="494" t="s">
        <v>243</v>
      </c>
      <c r="AT6" s="569"/>
      <c r="AU6" s="491" t="s">
        <v>61</v>
      </c>
      <c r="AV6" s="492" t="s">
        <v>0</v>
      </c>
      <c r="AW6" s="493" t="s">
        <v>1</v>
      </c>
      <c r="AX6" s="494" t="s">
        <v>243</v>
      </c>
      <c r="AZ6" s="491" t="s">
        <v>61</v>
      </c>
      <c r="BA6" s="492" t="s">
        <v>0</v>
      </c>
      <c r="BB6" s="493" t="s">
        <v>1</v>
      </c>
      <c r="BC6" s="494" t="s">
        <v>243</v>
      </c>
      <c r="BD6" s="569"/>
      <c r="BE6" s="491" t="s">
        <v>61</v>
      </c>
      <c r="BF6" s="492" t="s">
        <v>0</v>
      </c>
      <c r="BG6" s="493" t="s">
        <v>1</v>
      </c>
      <c r="BH6" s="494" t="s">
        <v>243</v>
      </c>
      <c r="BI6" s="569"/>
      <c r="BJ6" s="491" t="s">
        <v>61</v>
      </c>
      <c r="BK6" s="492" t="s">
        <v>0</v>
      </c>
      <c r="BL6" s="493" t="s">
        <v>1</v>
      </c>
      <c r="BM6" s="494" t="s">
        <v>243</v>
      </c>
      <c r="BO6" s="491" t="s">
        <v>61</v>
      </c>
      <c r="BP6" s="492" t="s">
        <v>0</v>
      </c>
      <c r="BQ6" s="493" t="s">
        <v>1</v>
      </c>
      <c r="BR6" s="494" t="s">
        <v>243</v>
      </c>
      <c r="BS6" s="569"/>
      <c r="BT6" s="491" t="s">
        <v>61</v>
      </c>
      <c r="BU6" s="492" t="s">
        <v>0</v>
      </c>
      <c r="BV6" s="493" t="s">
        <v>1</v>
      </c>
      <c r="BW6" s="494" t="s">
        <v>243</v>
      </c>
      <c r="BX6" s="569"/>
      <c r="BY6" s="491" t="s">
        <v>61</v>
      </c>
      <c r="BZ6" s="492" t="s">
        <v>0</v>
      </c>
      <c r="CA6" s="493" t="s">
        <v>1</v>
      </c>
      <c r="CB6" s="494" t="s">
        <v>243</v>
      </c>
      <c r="CD6" s="491" t="s">
        <v>61</v>
      </c>
      <c r="CE6" s="492" t="s">
        <v>0</v>
      </c>
      <c r="CF6" s="493" t="s">
        <v>1</v>
      </c>
      <c r="CG6" s="494" t="s">
        <v>243</v>
      </c>
      <c r="CH6" s="569"/>
      <c r="CI6" s="491" t="s">
        <v>61</v>
      </c>
      <c r="CJ6" s="492" t="s">
        <v>0</v>
      </c>
      <c r="CK6" s="493" t="s">
        <v>1</v>
      </c>
      <c r="CL6" s="494" t="s">
        <v>243</v>
      </c>
      <c r="CM6" s="569"/>
      <c r="CN6" s="491" t="s">
        <v>61</v>
      </c>
      <c r="CO6" s="492" t="s">
        <v>0</v>
      </c>
      <c r="CP6" s="493" t="s">
        <v>1</v>
      </c>
      <c r="CQ6" s="494" t="s">
        <v>243</v>
      </c>
      <c r="CR6" s="569"/>
      <c r="CS6" s="491" t="s">
        <v>61</v>
      </c>
      <c r="CT6" s="492" t="s">
        <v>0</v>
      </c>
      <c r="CU6" s="493" t="s">
        <v>1</v>
      </c>
      <c r="CV6" s="494" t="s">
        <v>243</v>
      </c>
      <c r="CW6" s="569"/>
      <c r="CX6" s="519" t="s">
        <v>61</v>
      </c>
      <c r="CY6" s="520" t="s">
        <v>0</v>
      </c>
      <c r="CZ6" s="521" t="s">
        <v>1</v>
      </c>
      <c r="DA6" s="522" t="s">
        <v>243</v>
      </c>
      <c r="DB6" s="569"/>
      <c r="DC6" s="519" t="s">
        <v>61</v>
      </c>
      <c r="DD6" s="520" t="s">
        <v>0</v>
      </c>
      <c r="DE6" s="521" t="s">
        <v>1</v>
      </c>
      <c r="DF6" s="522" t="s">
        <v>243</v>
      </c>
      <c r="DG6" s="569"/>
      <c r="DH6" s="491" t="s">
        <v>61</v>
      </c>
      <c r="DI6" s="492" t="s">
        <v>0</v>
      </c>
      <c r="DJ6" s="493" t="s">
        <v>1</v>
      </c>
      <c r="DK6" s="494" t="s">
        <v>243</v>
      </c>
      <c r="DL6" s="569"/>
      <c r="DM6" s="519" t="s">
        <v>61</v>
      </c>
      <c r="DN6" s="520" t="s">
        <v>0</v>
      </c>
      <c r="DO6" s="521" t="s">
        <v>1</v>
      </c>
      <c r="DP6" s="522" t="s">
        <v>243</v>
      </c>
      <c r="DQ6" s="569"/>
      <c r="DR6" s="519" t="s">
        <v>61</v>
      </c>
      <c r="DS6" s="520" t="s">
        <v>0</v>
      </c>
      <c r="DT6" s="521" t="s">
        <v>1</v>
      </c>
      <c r="DU6" s="522" t="s">
        <v>243</v>
      </c>
      <c r="DV6" s="569"/>
      <c r="DW6" s="491" t="s">
        <v>61</v>
      </c>
      <c r="DX6" s="492" t="s">
        <v>0</v>
      </c>
      <c r="DY6" s="493" t="s">
        <v>1</v>
      </c>
      <c r="DZ6" s="494" t="s">
        <v>243</v>
      </c>
      <c r="EA6" s="569"/>
    </row>
    <row r="7" spans="2:131">
      <c r="B7" s="1016">
        <v>3713</v>
      </c>
      <c r="C7" s="1017" t="s">
        <v>639</v>
      </c>
      <c r="D7" s="1018"/>
      <c r="E7" s="1146"/>
      <c r="G7" s="1016">
        <v>894</v>
      </c>
      <c r="H7" s="1017" t="s">
        <v>542</v>
      </c>
      <c r="I7" s="1024"/>
      <c r="J7" s="1164"/>
      <c r="L7" s="1016">
        <v>23</v>
      </c>
      <c r="M7" s="1017" t="s">
        <v>125</v>
      </c>
      <c r="N7" s="1026"/>
      <c r="O7" s="1164"/>
      <c r="Q7" s="1016">
        <v>778</v>
      </c>
      <c r="R7" s="1017" t="s">
        <v>575</v>
      </c>
      <c r="S7" s="1028"/>
      <c r="T7" s="1164"/>
      <c r="V7" s="1016">
        <v>3743</v>
      </c>
      <c r="W7" s="1017" t="s">
        <v>657</v>
      </c>
      <c r="X7" s="1030"/>
      <c r="Y7" s="1164"/>
      <c r="AA7" s="1016">
        <v>3840</v>
      </c>
      <c r="AB7" s="1017" t="s">
        <v>655</v>
      </c>
      <c r="AC7" s="1032"/>
      <c r="AD7" s="1164"/>
      <c r="AF7" s="1016">
        <v>159</v>
      </c>
      <c r="AG7" s="1017" t="s">
        <v>633</v>
      </c>
      <c r="AH7" s="1034"/>
      <c r="AI7" s="1164"/>
      <c r="AK7" s="1016">
        <v>828</v>
      </c>
      <c r="AL7" s="1017" t="s">
        <v>681</v>
      </c>
      <c r="AM7" s="1036"/>
      <c r="AN7" s="1164"/>
      <c r="AP7" s="1016">
        <v>964</v>
      </c>
      <c r="AQ7" s="1017" t="s">
        <v>641</v>
      </c>
      <c r="AR7" s="1038"/>
      <c r="AS7" s="1164"/>
      <c r="AU7" s="1016">
        <v>955</v>
      </c>
      <c r="AV7" s="1017" t="s">
        <v>632</v>
      </c>
      <c r="AW7" s="1040"/>
      <c r="AX7" s="1164"/>
      <c r="AZ7" s="1016">
        <v>14</v>
      </c>
      <c r="BA7" s="1017" t="s">
        <v>696</v>
      </c>
      <c r="BB7" s="1042"/>
      <c r="BC7" s="1164"/>
      <c r="BE7" s="1016">
        <v>10</v>
      </c>
      <c r="BF7" s="1017" t="s">
        <v>714</v>
      </c>
      <c r="BG7" s="1044"/>
      <c r="BH7" s="1164"/>
      <c r="BJ7" s="1016">
        <v>17</v>
      </c>
      <c r="BK7" s="1017" t="s">
        <v>692</v>
      </c>
      <c r="BL7" s="1046"/>
      <c r="BM7" s="1164"/>
      <c r="BO7" s="1016">
        <v>676</v>
      </c>
      <c r="BP7" s="1017" t="s">
        <v>618</v>
      </c>
      <c r="BQ7" s="1048"/>
      <c r="BR7" s="1164"/>
      <c r="BT7" s="1016">
        <v>445</v>
      </c>
      <c r="BU7" s="1017" t="s">
        <v>601</v>
      </c>
      <c r="BV7" s="1050"/>
      <c r="BW7" s="1164"/>
      <c r="BY7" s="1016">
        <v>951</v>
      </c>
      <c r="BZ7" s="1017" t="s">
        <v>627</v>
      </c>
      <c r="CA7" s="1052"/>
      <c r="CB7" s="1164"/>
      <c r="CD7" s="1016">
        <v>948</v>
      </c>
      <c r="CE7" s="1017" t="s">
        <v>620</v>
      </c>
      <c r="CF7" s="1054"/>
      <c r="CG7" s="1164"/>
      <c r="CI7" s="1016">
        <v>453</v>
      </c>
      <c r="CJ7" s="1017" t="s">
        <v>640</v>
      </c>
      <c r="CK7" s="1056"/>
      <c r="CL7" s="1164"/>
      <c r="CN7" s="1016">
        <v>3865</v>
      </c>
      <c r="CO7" s="1017" t="s">
        <v>80</v>
      </c>
      <c r="CP7" s="1058"/>
      <c r="CQ7" s="1164"/>
      <c r="CS7" s="1016">
        <v>3072</v>
      </c>
      <c r="CT7" s="1017" t="s">
        <v>590</v>
      </c>
      <c r="CU7" s="1060"/>
      <c r="CV7" s="1164"/>
      <c r="CX7" s="11">
        <v>48</v>
      </c>
      <c r="CY7" s="518" t="s">
        <v>131</v>
      </c>
      <c r="CZ7" s="518"/>
      <c r="DA7" s="1164"/>
      <c r="DC7" s="11" t="s">
        <v>89</v>
      </c>
      <c r="DD7" s="518" t="s">
        <v>192</v>
      </c>
      <c r="DE7" s="1063"/>
      <c r="DF7" s="1164"/>
      <c r="DH7" s="11" t="s">
        <v>113</v>
      </c>
      <c r="DI7" s="518" t="s">
        <v>184</v>
      </c>
      <c r="DJ7" s="536"/>
      <c r="DK7" s="1164"/>
      <c r="DM7" s="11">
        <v>4010</v>
      </c>
      <c r="DN7" s="14" t="s">
        <v>869</v>
      </c>
      <c r="DO7" s="518"/>
      <c r="DP7" s="1164"/>
      <c r="DR7" s="11">
        <v>4130</v>
      </c>
      <c r="DS7" s="14" t="s">
        <v>153</v>
      </c>
      <c r="DT7" s="518"/>
      <c r="DU7" s="1155"/>
      <c r="DW7" s="11">
        <v>5282</v>
      </c>
      <c r="DX7" s="14" t="s">
        <v>217</v>
      </c>
      <c r="DY7" s="1066"/>
      <c r="DZ7" s="1153"/>
    </row>
    <row r="8" spans="2:131" ht="17" thickBot="1">
      <c r="B8" s="1019">
        <v>761</v>
      </c>
      <c r="C8" s="572" t="s">
        <v>559</v>
      </c>
      <c r="D8" s="574"/>
      <c r="E8" s="1147"/>
      <c r="G8" s="1019">
        <v>893</v>
      </c>
      <c r="H8" s="572" t="s">
        <v>540</v>
      </c>
      <c r="I8" s="575"/>
      <c r="J8" s="1165"/>
      <c r="L8" s="1019">
        <v>3689</v>
      </c>
      <c r="M8" s="572" t="s">
        <v>635</v>
      </c>
      <c r="N8" s="576"/>
      <c r="O8" s="1165"/>
      <c r="Q8" s="1019">
        <v>3727</v>
      </c>
      <c r="R8" s="572" t="s">
        <v>652</v>
      </c>
      <c r="S8" s="577"/>
      <c r="T8" s="1165"/>
      <c r="V8" s="1019">
        <v>3042</v>
      </c>
      <c r="W8" s="572" t="s">
        <v>576</v>
      </c>
      <c r="X8" s="578"/>
      <c r="Y8" s="1165"/>
      <c r="AA8" s="1019">
        <v>3839</v>
      </c>
      <c r="AB8" s="572" t="s">
        <v>532</v>
      </c>
      <c r="AC8" s="579"/>
      <c r="AD8" s="1165"/>
      <c r="AF8" s="1019">
        <v>160</v>
      </c>
      <c r="AG8" s="572" t="s">
        <v>517</v>
      </c>
      <c r="AH8" s="580"/>
      <c r="AI8" s="1165"/>
      <c r="AK8" s="1019">
        <v>3761</v>
      </c>
      <c r="AL8" s="572" t="s">
        <v>546</v>
      </c>
      <c r="AM8" s="581"/>
      <c r="AN8" s="1165"/>
      <c r="AP8" s="1019">
        <v>959</v>
      </c>
      <c r="AQ8" s="572" t="s">
        <v>518</v>
      </c>
      <c r="AR8" s="582"/>
      <c r="AS8" s="1165"/>
      <c r="AU8" s="1019">
        <v>13</v>
      </c>
      <c r="AV8" s="572" t="s">
        <v>694</v>
      </c>
      <c r="AW8" s="583"/>
      <c r="AX8" s="1165"/>
      <c r="AZ8" s="1019">
        <v>15</v>
      </c>
      <c r="BA8" s="572" t="s">
        <v>121</v>
      </c>
      <c r="BB8" s="584"/>
      <c r="BC8" s="1165"/>
      <c r="BE8" s="1019">
        <v>11</v>
      </c>
      <c r="BF8" s="572" t="s">
        <v>695</v>
      </c>
      <c r="BG8" s="585"/>
      <c r="BH8" s="1165"/>
      <c r="BJ8" s="1019">
        <v>18</v>
      </c>
      <c r="BK8" s="572" t="s">
        <v>122</v>
      </c>
      <c r="BL8" s="586"/>
      <c r="BM8" s="1165"/>
      <c r="BO8" s="1019">
        <v>729</v>
      </c>
      <c r="BP8" s="572" t="s">
        <v>529</v>
      </c>
      <c r="BQ8" s="587"/>
      <c r="BR8" s="1165"/>
      <c r="BT8" s="1019">
        <v>307</v>
      </c>
      <c r="BU8" s="572" t="s">
        <v>2</v>
      </c>
      <c r="BV8" s="588"/>
      <c r="BW8" s="1165"/>
      <c r="BY8" s="1019">
        <v>3856</v>
      </c>
      <c r="BZ8" s="572" t="s">
        <v>668</v>
      </c>
      <c r="CA8" s="589"/>
      <c r="CB8" s="1165"/>
      <c r="CD8" s="1019">
        <v>754</v>
      </c>
      <c r="CE8" s="572" t="s">
        <v>552</v>
      </c>
      <c r="CF8" s="590"/>
      <c r="CG8" s="1165"/>
      <c r="CI8" s="1019">
        <v>452</v>
      </c>
      <c r="CJ8" s="572" t="s">
        <v>522</v>
      </c>
      <c r="CK8" s="591"/>
      <c r="CL8" s="1165"/>
      <c r="CN8" s="1019" t="s">
        <v>44</v>
      </c>
      <c r="CO8" s="572" t="s">
        <v>45</v>
      </c>
      <c r="CP8" s="592"/>
      <c r="CQ8" s="1165"/>
      <c r="CS8" s="1019">
        <v>647</v>
      </c>
      <c r="CT8" s="572" t="s">
        <v>509</v>
      </c>
      <c r="CU8" s="593"/>
      <c r="CV8" s="1165"/>
      <c r="CX8" s="9">
        <v>107</v>
      </c>
      <c r="CY8" s="6" t="s">
        <v>144</v>
      </c>
      <c r="CZ8" s="6"/>
      <c r="DA8" s="1165"/>
      <c r="DC8" s="9" t="s">
        <v>92</v>
      </c>
      <c r="DD8" s="6" t="s">
        <v>201</v>
      </c>
      <c r="DE8" s="58"/>
      <c r="DF8" s="1165"/>
      <c r="DH8" s="9" t="s">
        <v>107</v>
      </c>
      <c r="DI8" s="6" t="s">
        <v>202</v>
      </c>
      <c r="DJ8" s="59"/>
      <c r="DK8" s="1165"/>
      <c r="DM8" s="9">
        <v>4015</v>
      </c>
      <c r="DN8" s="2" t="s">
        <v>149</v>
      </c>
      <c r="DO8" s="6"/>
      <c r="DP8" s="1165"/>
      <c r="DR8" s="9">
        <v>4140</v>
      </c>
      <c r="DS8" s="2" t="s">
        <v>154</v>
      </c>
      <c r="DT8" s="6"/>
      <c r="DU8" s="1149"/>
      <c r="DW8" s="10">
        <v>5283</v>
      </c>
      <c r="DX8" s="4" t="s">
        <v>218</v>
      </c>
      <c r="DY8" s="1067"/>
      <c r="DZ8" s="1152"/>
    </row>
    <row r="9" spans="2:131">
      <c r="B9" s="1019">
        <v>760</v>
      </c>
      <c r="C9" s="572" t="s">
        <v>23</v>
      </c>
      <c r="D9" s="594"/>
      <c r="E9" s="1147"/>
      <c r="G9" s="1019">
        <v>892</v>
      </c>
      <c r="H9" s="572" t="s">
        <v>465</v>
      </c>
      <c r="I9" s="595"/>
      <c r="J9" s="1165"/>
      <c r="L9" s="1019">
        <v>3688</v>
      </c>
      <c r="M9" s="596" t="s">
        <v>516</v>
      </c>
      <c r="N9" s="597"/>
      <c r="O9" s="1165"/>
      <c r="Q9" s="1019">
        <v>316</v>
      </c>
      <c r="R9" s="572" t="s">
        <v>474</v>
      </c>
      <c r="S9" s="598"/>
      <c r="T9" s="1165"/>
      <c r="V9" s="1019">
        <v>3041</v>
      </c>
      <c r="W9" s="572" t="s">
        <v>486</v>
      </c>
      <c r="X9" s="599"/>
      <c r="Y9" s="1165"/>
      <c r="AA9" s="1019">
        <v>3838</v>
      </c>
      <c r="AB9" s="572" t="s">
        <v>394</v>
      </c>
      <c r="AC9" s="600"/>
      <c r="AD9" s="1165"/>
      <c r="AF9" s="1019">
        <v>161</v>
      </c>
      <c r="AG9" s="572" t="s">
        <v>379</v>
      </c>
      <c r="AH9" s="601"/>
      <c r="AI9" s="1165"/>
      <c r="AK9" s="1019">
        <v>519</v>
      </c>
      <c r="AL9" s="572" t="s">
        <v>10</v>
      </c>
      <c r="AM9" s="602"/>
      <c r="AN9" s="1165"/>
      <c r="AP9" s="1019">
        <v>958</v>
      </c>
      <c r="AQ9" s="572" t="s">
        <v>380</v>
      </c>
      <c r="AR9" s="603"/>
      <c r="AS9" s="1165"/>
      <c r="AU9" s="1019">
        <v>954</v>
      </c>
      <c r="AV9" s="572" t="s">
        <v>32</v>
      </c>
      <c r="AW9" s="604"/>
      <c r="AX9" s="1165"/>
      <c r="AZ9" s="1019">
        <v>16</v>
      </c>
      <c r="BA9" s="572" t="s">
        <v>693</v>
      </c>
      <c r="BB9" s="605"/>
      <c r="BC9" s="1165"/>
      <c r="BE9" s="1019">
        <v>12</v>
      </c>
      <c r="BF9" s="572" t="s">
        <v>120</v>
      </c>
      <c r="BG9" s="606"/>
      <c r="BH9" s="1165"/>
      <c r="BJ9" s="1019">
        <v>834</v>
      </c>
      <c r="BK9" s="572" t="s">
        <v>649</v>
      </c>
      <c r="BL9" s="607"/>
      <c r="BM9" s="1165"/>
      <c r="BO9" s="1019">
        <v>680</v>
      </c>
      <c r="BP9" s="572" t="s">
        <v>375</v>
      </c>
      <c r="BQ9" s="608"/>
      <c r="BR9" s="1165"/>
      <c r="BT9" s="1019">
        <v>973</v>
      </c>
      <c r="BU9" s="572" t="s">
        <v>459</v>
      </c>
      <c r="BV9" s="609"/>
      <c r="BW9" s="1165"/>
      <c r="BY9" s="1019">
        <v>722</v>
      </c>
      <c r="BZ9" s="572" t="s">
        <v>588</v>
      </c>
      <c r="CA9" s="610"/>
      <c r="CB9" s="1165"/>
      <c r="CD9" s="1019">
        <v>3771</v>
      </c>
      <c r="CE9" s="572" t="s">
        <v>327</v>
      </c>
      <c r="CF9" s="611"/>
      <c r="CG9" s="1165"/>
      <c r="CI9" s="1019">
        <v>451</v>
      </c>
      <c r="CJ9" s="572" t="s">
        <v>385</v>
      </c>
      <c r="CK9" s="612"/>
      <c r="CL9" s="1165"/>
      <c r="CN9" s="1019">
        <v>822</v>
      </c>
      <c r="CO9" s="572" t="s">
        <v>628</v>
      </c>
      <c r="CP9" s="613"/>
      <c r="CQ9" s="1165"/>
      <c r="CS9" s="1019">
        <v>3023</v>
      </c>
      <c r="CT9" s="572" t="s">
        <v>560</v>
      </c>
      <c r="CU9" s="614"/>
      <c r="CV9" s="1165"/>
      <c r="CX9" s="9">
        <v>115</v>
      </c>
      <c r="CY9" s="6" t="s">
        <v>146</v>
      </c>
      <c r="CZ9" s="6"/>
      <c r="DA9" s="1165"/>
      <c r="DC9" s="9" t="s">
        <v>87</v>
      </c>
      <c r="DD9" s="6" t="s">
        <v>213</v>
      </c>
      <c r="DE9" s="530"/>
      <c r="DF9" s="1165"/>
      <c r="DH9" s="9" t="s">
        <v>111</v>
      </c>
      <c r="DI9" s="6" t="s">
        <v>209</v>
      </c>
      <c r="DJ9" s="66"/>
      <c r="DK9" s="1163"/>
      <c r="DM9" s="9">
        <v>4020</v>
      </c>
      <c r="DN9" s="2" t="s">
        <v>168</v>
      </c>
      <c r="DO9" s="6"/>
      <c r="DP9" s="1165"/>
      <c r="DR9" s="9">
        <v>4145</v>
      </c>
      <c r="DS9" s="2" t="s">
        <v>155</v>
      </c>
      <c r="DT9" s="6"/>
      <c r="DU9" s="1149"/>
      <c r="DW9" s="571"/>
      <c r="DX9" s="572"/>
      <c r="DY9" s="571"/>
      <c r="DZ9" s="571"/>
    </row>
    <row r="10" spans="2:131">
      <c r="B10" s="1019">
        <v>3712</v>
      </c>
      <c r="C10" s="596" t="s">
        <v>521</v>
      </c>
      <c r="D10" s="615"/>
      <c r="E10" s="1147"/>
      <c r="G10" s="1019">
        <v>891</v>
      </c>
      <c r="H10" s="572" t="s">
        <v>316</v>
      </c>
      <c r="I10" s="616"/>
      <c r="J10" s="1165"/>
      <c r="L10" s="1019">
        <v>3687</v>
      </c>
      <c r="M10" s="572" t="s">
        <v>41</v>
      </c>
      <c r="N10" s="617"/>
      <c r="O10" s="1165"/>
      <c r="Q10" s="1019">
        <v>3726</v>
      </c>
      <c r="R10" s="572" t="s">
        <v>391</v>
      </c>
      <c r="S10" s="618"/>
      <c r="T10" s="1165"/>
      <c r="V10" s="1019">
        <v>3740</v>
      </c>
      <c r="W10" s="572" t="s">
        <v>353</v>
      </c>
      <c r="X10" s="619"/>
      <c r="Y10" s="1165"/>
      <c r="AA10" s="1019">
        <v>800</v>
      </c>
      <c r="AB10" s="572" t="s">
        <v>699</v>
      </c>
      <c r="AC10" s="620"/>
      <c r="AD10" s="1165"/>
      <c r="AF10" s="1019">
        <v>3756</v>
      </c>
      <c r="AG10" s="572" t="s">
        <v>595</v>
      </c>
      <c r="AH10" s="621"/>
      <c r="AI10" s="1165"/>
      <c r="AK10" s="1019">
        <v>518</v>
      </c>
      <c r="AL10" s="572" t="s">
        <v>537</v>
      </c>
      <c r="AM10" s="622"/>
      <c r="AN10" s="1165"/>
      <c r="AP10" s="1019">
        <v>3812</v>
      </c>
      <c r="AQ10" s="572" t="s">
        <v>434</v>
      </c>
      <c r="AR10" s="623"/>
      <c r="AS10" s="1165"/>
      <c r="AU10" s="1019">
        <v>913</v>
      </c>
      <c r="AV10" s="572" t="s">
        <v>487</v>
      </c>
      <c r="AW10" s="624"/>
      <c r="AX10" s="1165"/>
      <c r="AZ10" s="1019">
        <v>704</v>
      </c>
      <c r="BA10" s="572" t="s">
        <v>458</v>
      </c>
      <c r="BB10" s="625"/>
      <c r="BC10" s="1165"/>
      <c r="BE10" s="1019">
        <v>165</v>
      </c>
      <c r="BF10" s="572" t="s">
        <v>457</v>
      </c>
      <c r="BG10" s="626"/>
      <c r="BH10" s="1165"/>
      <c r="BJ10" s="1019">
        <v>833</v>
      </c>
      <c r="BK10" s="572" t="s">
        <v>646</v>
      </c>
      <c r="BL10" s="627"/>
      <c r="BM10" s="1165"/>
      <c r="BO10" s="1019">
        <v>3829</v>
      </c>
      <c r="BP10" s="572" t="s">
        <v>442</v>
      </c>
      <c r="BQ10" s="628"/>
      <c r="BR10" s="1165"/>
      <c r="BT10" s="1019">
        <v>444</v>
      </c>
      <c r="BU10" s="572" t="s">
        <v>383</v>
      </c>
      <c r="BV10" s="629"/>
      <c r="BW10" s="1165"/>
      <c r="BY10" s="1019">
        <v>721</v>
      </c>
      <c r="BZ10" s="572" t="s">
        <v>523</v>
      </c>
      <c r="CA10" s="630"/>
      <c r="CB10" s="1165"/>
      <c r="CD10" s="1019">
        <v>758</v>
      </c>
      <c r="CE10" s="572" t="s">
        <v>555</v>
      </c>
      <c r="CF10" s="631"/>
      <c r="CG10" s="1165"/>
      <c r="CI10" s="1019">
        <v>3861</v>
      </c>
      <c r="CJ10" s="572" t="s">
        <v>573</v>
      </c>
      <c r="CK10" s="632"/>
      <c r="CL10" s="1165"/>
      <c r="CN10" s="1019">
        <v>644</v>
      </c>
      <c r="CO10" s="572" t="s">
        <v>507</v>
      </c>
      <c r="CP10" s="633"/>
      <c r="CQ10" s="1165"/>
      <c r="CS10" s="1019">
        <v>3022</v>
      </c>
      <c r="CT10" s="572" t="s">
        <v>477</v>
      </c>
      <c r="CU10" s="634"/>
      <c r="CV10" s="1165"/>
      <c r="CX10" s="9">
        <v>99</v>
      </c>
      <c r="CY10" s="6" t="s">
        <v>141</v>
      </c>
      <c r="CZ10" s="6"/>
      <c r="DA10" s="1165"/>
      <c r="DC10" s="9" t="s">
        <v>83</v>
      </c>
      <c r="DD10" s="6" t="s">
        <v>187</v>
      </c>
      <c r="DE10" s="44"/>
      <c r="DF10" s="1165"/>
      <c r="DH10" s="9" t="s">
        <v>109</v>
      </c>
      <c r="DI10" s="6" t="s">
        <v>205</v>
      </c>
      <c r="DJ10" s="62"/>
      <c r="DK10" s="1163"/>
      <c r="DM10" s="9">
        <v>4025</v>
      </c>
      <c r="DN10" s="2" t="s">
        <v>169</v>
      </c>
      <c r="DO10" s="6"/>
      <c r="DP10" s="1165"/>
      <c r="DR10" s="9">
        <v>4150</v>
      </c>
      <c r="DS10" s="2" t="s">
        <v>156</v>
      </c>
      <c r="DT10" s="6"/>
      <c r="DU10" s="1149"/>
      <c r="DW10" s="571"/>
      <c r="DX10" s="572"/>
      <c r="DY10" s="571"/>
      <c r="DZ10" s="571"/>
    </row>
    <row r="11" spans="2:131">
      <c r="B11" s="1019">
        <v>3328</v>
      </c>
      <c r="C11" s="572" t="s">
        <v>352</v>
      </c>
      <c r="D11" s="635"/>
      <c r="E11" s="1147"/>
      <c r="G11" s="1019">
        <v>818</v>
      </c>
      <c r="H11" s="572" t="s">
        <v>27</v>
      </c>
      <c r="I11" s="636"/>
      <c r="J11" s="1165"/>
      <c r="L11" s="1019">
        <v>3803</v>
      </c>
      <c r="M11" s="572" t="s">
        <v>344</v>
      </c>
      <c r="N11" s="637"/>
      <c r="O11" s="1165"/>
      <c r="Q11" s="1019">
        <v>315</v>
      </c>
      <c r="R11" s="572" t="s">
        <v>472</v>
      </c>
      <c r="S11" s="638"/>
      <c r="T11" s="1165"/>
      <c r="V11" s="1019">
        <v>27</v>
      </c>
      <c r="W11" s="572" t="s">
        <v>127</v>
      </c>
      <c r="X11" s="639"/>
      <c r="Y11" s="1165"/>
      <c r="AA11" s="1019">
        <v>809</v>
      </c>
      <c r="AB11" s="572" t="s">
        <v>64</v>
      </c>
      <c r="AC11" s="640"/>
      <c r="AD11" s="1165"/>
      <c r="AF11" s="1019">
        <v>775</v>
      </c>
      <c r="AG11" s="572" t="s">
        <v>569</v>
      </c>
      <c r="AH11" s="641"/>
      <c r="AI11" s="1165"/>
      <c r="AK11" s="1019">
        <v>3760</v>
      </c>
      <c r="AL11" s="572" t="s">
        <v>468</v>
      </c>
      <c r="AM11" s="642"/>
      <c r="AN11" s="1165"/>
      <c r="AP11" s="1019">
        <v>3851</v>
      </c>
      <c r="AQ11" s="572" t="s">
        <v>548</v>
      </c>
      <c r="AR11" s="643"/>
      <c r="AS11" s="1165"/>
      <c r="AU11" s="1019">
        <v>912</v>
      </c>
      <c r="AV11" s="572" t="s">
        <v>574</v>
      </c>
      <c r="AW11" s="644"/>
      <c r="AX11" s="1165"/>
      <c r="AZ11" s="1019">
        <v>703</v>
      </c>
      <c r="BA11" s="572" t="s">
        <v>16</v>
      </c>
      <c r="BB11" s="645"/>
      <c r="BC11" s="1165"/>
      <c r="BE11" s="1019">
        <v>3819</v>
      </c>
      <c r="BF11" s="572" t="s">
        <v>617</v>
      </c>
      <c r="BG11" s="646"/>
      <c r="BH11" s="1165"/>
      <c r="BJ11" s="1019">
        <v>832</v>
      </c>
      <c r="BK11" s="572" t="s">
        <v>28</v>
      </c>
      <c r="BL11" s="647"/>
      <c r="BM11" s="1165"/>
      <c r="BO11" s="1019">
        <v>3822</v>
      </c>
      <c r="BP11" s="572" t="s">
        <v>625</v>
      </c>
      <c r="BQ11" s="648"/>
      <c r="BR11" s="1165"/>
      <c r="BT11" s="1019">
        <v>3078</v>
      </c>
      <c r="BU11" s="572" t="s">
        <v>592</v>
      </c>
      <c r="BV11" s="649"/>
      <c r="BW11" s="1165"/>
      <c r="BY11" s="1019">
        <v>720</v>
      </c>
      <c r="BZ11" s="572" t="s">
        <v>386</v>
      </c>
      <c r="CA11" s="650"/>
      <c r="CB11" s="1165"/>
      <c r="CD11" s="1019">
        <v>3778</v>
      </c>
      <c r="CE11" s="572" t="s">
        <v>572</v>
      </c>
      <c r="CF11" s="651"/>
      <c r="CG11" s="1165"/>
      <c r="CI11" s="1019">
        <v>3860</v>
      </c>
      <c r="CJ11" s="572" t="s">
        <v>79</v>
      </c>
      <c r="CK11" s="652"/>
      <c r="CL11" s="1165"/>
      <c r="CN11" s="1019">
        <v>642</v>
      </c>
      <c r="CO11" s="572" t="s">
        <v>359</v>
      </c>
      <c r="CP11" s="653"/>
      <c r="CQ11" s="1165"/>
      <c r="CS11" s="1019">
        <v>3024</v>
      </c>
      <c r="CT11" s="572" t="s">
        <v>563</v>
      </c>
      <c r="CU11" s="654"/>
      <c r="CV11" s="1165"/>
      <c r="CX11" s="9">
        <v>52</v>
      </c>
      <c r="CY11" s="6" t="s">
        <v>133</v>
      </c>
      <c r="CZ11" s="6"/>
      <c r="DA11" s="1165"/>
      <c r="DC11" s="9" t="s">
        <v>94</v>
      </c>
      <c r="DD11" s="6" t="s">
        <v>206</v>
      </c>
      <c r="DE11" s="63"/>
      <c r="DF11" s="1165"/>
      <c r="DH11" s="9" t="s">
        <v>106</v>
      </c>
      <c r="DI11" s="6" t="s">
        <v>189</v>
      </c>
      <c r="DJ11" s="46"/>
      <c r="DK11" s="1147"/>
      <c r="DM11" s="9">
        <v>4030</v>
      </c>
      <c r="DN11" s="2" t="s">
        <v>170</v>
      </c>
      <c r="DO11" s="6"/>
      <c r="DP11" s="1165"/>
      <c r="DR11" s="9">
        <v>4160</v>
      </c>
      <c r="DS11" s="2" t="s">
        <v>157</v>
      </c>
      <c r="DT11" s="6"/>
      <c r="DU11" s="1149"/>
      <c r="DW11" s="571"/>
      <c r="DX11" s="572"/>
      <c r="DY11" s="571"/>
      <c r="DZ11" s="571"/>
    </row>
    <row r="12" spans="2:131">
      <c r="B12" s="1019">
        <v>347</v>
      </c>
      <c r="C12" s="572" t="s">
        <v>424</v>
      </c>
      <c r="D12" s="655"/>
      <c r="E12" s="1147"/>
      <c r="G12" s="1019">
        <v>957</v>
      </c>
      <c r="H12" s="572" t="s">
        <v>702</v>
      </c>
      <c r="I12" s="656"/>
      <c r="J12" s="1165"/>
      <c r="L12" s="1019">
        <v>3685</v>
      </c>
      <c r="M12" s="572" t="s">
        <v>428</v>
      </c>
      <c r="N12" s="657"/>
      <c r="O12" s="1165"/>
      <c r="Q12" s="1019">
        <v>3802</v>
      </c>
      <c r="R12" s="572" t="s">
        <v>426</v>
      </c>
      <c r="S12" s="658"/>
      <c r="T12" s="1165"/>
      <c r="V12" s="1019">
        <v>28</v>
      </c>
      <c r="W12" s="572" t="s">
        <v>709</v>
      </c>
      <c r="X12" s="659"/>
      <c r="Y12" s="1165"/>
      <c r="AA12" s="1019">
        <v>799</v>
      </c>
      <c r="AB12" s="572" t="s">
        <v>502</v>
      </c>
      <c r="AC12" s="660"/>
      <c r="AD12" s="1165"/>
      <c r="AF12" s="1019">
        <v>3841</v>
      </c>
      <c r="AG12" s="572" t="s">
        <v>704</v>
      </c>
      <c r="AH12" s="661"/>
      <c r="AI12" s="1165"/>
      <c r="AK12" s="1019">
        <v>517</v>
      </c>
      <c r="AL12" s="572" t="s">
        <v>315</v>
      </c>
      <c r="AM12" s="662"/>
      <c r="AN12" s="1165"/>
      <c r="AP12" s="1019">
        <v>943</v>
      </c>
      <c r="AQ12" s="572" t="s">
        <v>510</v>
      </c>
      <c r="AR12" s="663"/>
      <c r="AS12" s="1165"/>
      <c r="AU12" s="1019">
        <v>911</v>
      </c>
      <c r="AV12" s="572" t="s">
        <v>485</v>
      </c>
      <c r="AW12" s="664"/>
      <c r="AX12" s="1165"/>
      <c r="AZ12" s="1019">
        <v>702</v>
      </c>
      <c r="BA12" s="572" t="s">
        <v>15</v>
      </c>
      <c r="BB12" s="665"/>
      <c r="BC12" s="1165"/>
      <c r="BE12" s="1019">
        <v>166</v>
      </c>
      <c r="BF12" s="572" t="s">
        <v>56</v>
      </c>
      <c r="BG12" s="666"/>
      <c r="BH12" s="1165"/>
      <c r="BJ12" s="1019">
        <v>831</v>
      </c>
      <c r="BK12" s="572" t="s">
        <v>525</v>
      </c>
      <c r="BL12" s="667"/>
      <c r="BM12" s="1165"/>
      <c r="BO12" s="1019">
        <v>3821</v>
      </c>
      <c r="BP12" s="572" t="s">
        <v>75</v>
      </c>
      <c r="BQ12" s="668"/>
      <c r="BR12" s="1165"/>
      <c r="BT12" s="1019">
        <v>727</v>
      </c>
      <c r="BU12" s="572" t="s">
        <v>648</v>
      </c>
      <c r="BV12" s="669"/>
      <c r="BW12" s="1165"/>
      <c r="BY12" s="1019">
        <v>3825</v>
      </c>
      <c r="BZ12" s="572" t="s">
        <v>701</v>
      </c>
      <c r="CA12" s="670"/>
      <c r="CB12" s="1165"/>
      <c r="CD12" s="1019">
        <v>356</v>
      </c>
      <c r="CE12" s="572" t="s">
        <v>501</v>
      </c>
      <c r="CF12" s="671"/>
      <c r="CG12" s="1165"/>
      <c r="CI12" s="1019">
        <v>779</v>
      </c>
      <c r="CJ12" s="572" t="s">
        <v>65</v>
      </c>
      <c r="CK12" s="672"/>
      <c r="CL12" s="1165"/>
      <c r="CN12" s="1019">
        <v>640</v>
      </c>
      <c r="CO12" s="572" t="s">
        <v>433</v>
      </c>
      <c r="CP12" s="673"/>
      <c r="CQ12" s="1165"/>
      <c r="CS12" s="1019">
        <v>648</v>
      </c>
      <c r="CT12" s="572" t="s">
        <v>616</v>
      </c>
      <c r="CU12" s="674"/>
      <c r="CV12" s="1165"/>
      <c r="CX12" s="9">
        <v>93</v>
      </c>
      <c r="CY12" s="6" t="s">
        <v>139</v>
      </c>
      <c r="CZ12" s="6"/>
      <c r="DA12" s="1165"/>
      <c r="DC12" s="9" t="s">
        <v>88</v>
      </c>
      <c r="DD12" s="6" t="s">
        <v>214</v>
      </c>
      <c r="DE12" s="531"/>
      <c r="DF12" s="1165"/>
      <c r="DH12" s="9" t="s">
        <v>112</v>
      </c>
      <c r="DI12" s="6" t="s">
        <v>211</v>
      </c>
      <c r="DJ12" s="534"/>
      <c r="DK12" s="1163"/>
      <c r="DM12" s="9">
        <v>4040</v>
      </c>
      <c r="DN12" s="2" t="s">
        <v>171</v>
      </c>
      <c r="DO12" s="6"/>
      <c r="DP12" s="1165"/>
      <c r="DR12" s="9">
        <v>4170</v>
      </c>
      <c r="DS12" s="2" t="s">
        <v>158</v>
      </c>
      <c r="DT12" s="6"/>
      <c r="DU12" s="1149"/>
      <c r="DW12" s="571"/>
      <c r="DX12" s="572"/>
      <c r="DY12" s="571"/>
      <c r="DZ12" s="571"/>
    </row>
    <row r="13" spans="2:131">
      <c r="B13" s="1019">
        <v>353</v>
      </c>
      <c r="C13" s="572" t="s">
        <v>58</v>
      </c>
      <c r="D13" s="675"/>
      <c r="E13" s="1147"/>
      <c r="G13" s="1019">
        <v>956</v>
      </c>
      <c r="H13" s="572" t="s">
        <v>33</v>
      </c>
      <c r="I13" s="676"/>
      <c r="J13" s="1165"/>
      <c r="L13" s="1019">
        <v>605</v>
      </c>
      <c r="M13" s="572" t="s">
        <v>589</v>
      </c>
      <c r="N13" s="677"/>
      <c r="O13" s="1165"/>
      <c r="Q13" s="1019">
        <v>902</v>
      </c>
      <c r="R13" s="572" t="s">
        <v>409</v>
      </c>
      <c r="S13" s="678"/>
      <c r="T13" s="1165"/>
      <c r="V13" s="1019">
        <v>29</v>
      </c>
      <c r="W13" s="572" t="s">
        <v>128</v>
      </c>
      <c r="X13" s="679"/>
      <c r="Y13" s="1165"/>
      <c r="AA13" s="1019">
        <v>798</v>
      </c>
      <c r="AB13" s="572" t="s">
        <v>350</v>
      </c>
      <c r="AC13" s="680"/>
      <c r="AD13" s="1165"/>
      <c r="AF13" s="1019">
        <v>3325</v>
      </c>
      <c r="AG13" s="572" t="s">
        <v>595</v>
      </c>
      <c r="AH13" s="681"/>
      <c r="AI13" s="1165"/>
      <c r="AK13" s="1019">
        <v>3842</v>
      </c>
      <c r="AL13" s="572" t="s">
        <v>315</v>
      </c>
      <c r="AM13" s="682"/>
      <c r="AN13" s="1165"/>
      <c r="AP13" s="1019">
        <v>3850</v>
      </c>
      <c r="AQ13" s="572" t="s">
        <v>322</v>
      </c>
      <c r="AR13" s="683"/>
      <c r="AS13" s="1165"/>
      <c r="AU13" s="1019">
        <v>910</v>
      </c>
      <c r="AV13" s="572" t="s">
        <v>330</v>
      </c>
      <c r="AW13" s="684"/>
      <c r="AX13" s="1165"/>
      <c r="AZ13" s="1019">
        <v>701</v>
      </c>
      <c r="BA13" s="572" t="s">
        <v>584</v>
      </c>
      <c r="BB13" s="685"/>
      <c r="BC13" s="1165"/>
      <c r="BE13" s="1019">
        <v>581</v>
      </c>
      <c r="BF13" s="572" t="s">
        <v>13</v>
      </c>
      <c r="BG13" s="686"/>
      <c r="BH13" s="1165"/>
      <c r="BJ13" s="1019">
        <v>830</v>
      </c>
      <c r="BK13" s="572" t="s">
        <v>388</v>
      </c>
      <c r="BL13" s="687"/>
      <c r="BM13" s="1165"/>
      <c r="BO13" s="1019">
        <v>3820</v>
      </c>
      <c r="BP13" s="572" t="s">
        <v>372</v>
      </c>
      <c r="BQ13" s="688"/>
      <c r="BR13" s="1165"/>
      <c r="BT13" s="1019">
        <v>726</v>
      </c>
      <c r="BU13" s="572" t="s">
        <v>645</v>
      </c>
      <c r="BV13" s="689"/>
      <c r="BW13" s="1165"/>
      <c r="BY13" s="1019">
        <v>922</v>
      </c>
      <c r="BZ13" s="572" t="s">
        <v>587</v>
      </c>
      <c r="CA13" s="690"/>
      <c r="CB13" s="1165"/>
      <c r="CD13" s="1019">
        <v>3830</v>
      </c>
      <c r="CE13" s="572" t="s">
        <v>78</v>
      </c>
      <c r="CF13" s="691"/>
      <c r="CG13" s="1165"/>
      <c r="CI13" s="1019">
        <v>9</v>
      </c>
      <c r="CJ13" s="572" t="s">
        <v>715</v>
      </c>
      <c r="CK13" s="692"/>
      <c r="CL13" s="1165"/>
      <c r="CN13" s="1019">
        <v>3787</v>
      </c>
      <c r="CO13" s="572" t="s">
        <v>336</v>
      </c>
      <c r="CP13" s="693"/>
      <c r="CQ13" s="1165"/>
      <c r="CS13" s="1019">
        <v>646</v>
      </c>
      <c r="CT13" s="572" t="s">
        <v>362</v>
      </c>
      <c r="CU13" s="694"/>
      <c r="CV13" s="1165"/>
      <c r="CX13" s="9">
        <v>121</v>
      </c>
      <c r="CY13" s="6" t="s">
        <v>147</v>
      </c>
      <c r="CZ13" s="6"/>
      <c r="DA13" s="1165"/>
      <c r="DC13" s="9" t="s">
        <v>85</v>
      </c>
      <c r="DD13" s="6" t="s">
        <v>195</v>
      </c>
      <c r="DE13" s="52"/>
      <c r="DF13" s="1165"/>
      <c r="DH13" s="9" t="s">
        <v>110</v>
      </c>
      <c r="DI13" s="6" t="s">
        <v>203</v>
      </c>
      <c r="DJ13" s="60"/>
      <c r="DK13" s="1163"/>
      <c r="DM13" s="9">
        <v>4045</v>
      </c>
      <c r="DN13" s="2" t="s">
        <v>172</v>
      </c>
      <c r="DO13" s="6"/>
      <c r="DP13" s="1165"/>
      <c r="DR13" s="9">
        <v>4180</v>
      </c>
      <c r="DS13" s="2" t="s">
        <v>159</v>
      </c>
      <c r="DT13" s="6"/>
      <c r="DU13" s="1149"/>
      <c r="DW13" s="571"/>
      <c r="DX13" s="572"/>
      <c r="DY13" s="571"/>
      <c r="DZ13" s="571"/>
    </row>
    <row r="14" spans="2:131">
      <c r="B14" s="1019">
        <v>352</v>
      </c>
      <c r="C14" s="572" t="s">
        <v>593</v>
      </c>
      <c r="D14" s="695"/>
      <c r="E14" s="1147"/>
      <c r="G14" s="1019">
        <v>3708</v>
      </c>
      <c r="H14" s="572" t="s">
        <v>638</v>
      </c>
      <c r="I14" s="696"/>
      <c r="J14" s="1165"/>
      <c r="L14" s="1019">
        <v>604</v>
      </c>
      <c r="M14" s="572" t="s">
        <v>586</v>
      </c>
      <c r="N14" s="697"/>
      <c r="O14" s="1165"/>
      <c r="Q14" s="1019">
        <v>3836</v>
      </c>
      <c r="R14" s="572" t="s">
        <v>651</v>
      </c>
      <c r="S14" s="698"/>
      <c r="T14" s="1165"/>
      <c r="V14" s="1019">
        <v>3747</v>
      </c>
      <c r="W14" s="572" t="s">
        <v>662</v>
      </c>
      <c r="X14" s="699"/>
      <c r="Y14" s="1165"/>
      <c r="AA14" s="1019">
        <v>797</v>
      </c>
      <c r="AB14" s="572" t="s">
        <v>24</v>
      </c>
      <c r="AC14" s="700"/>
      <c r="AD14" s="1165"/>
      <c r="AF14" s="1019">
        <v>3755</v>
      </c>
      <c r="AG14" s="572" t="s">
        <v>43</v>
      </c>
      <c r="AH14" s="701"/>
      <c r="AI14" s="1165"/>
      <c r="AK14" s="1019">
        <v>311</v>
      </c>
      <c r="AL14" s="572" t="s">
        <v>469</v>
      </c>
      <c r="AM14" s="702"/>
      <c r="AN14" s="1165"/>
      <c r="AP14" s="1019">
        <v>993</v>
      </c>
      <c r="AQ14" s="572" t="s">
        <v>543</v>
      </c>
      <c r="AR14" s="703"/>
      <c r="AS14" s="1165"/>
      <c r="AU14" s="1019">
        <v>909</v>
      </c>
      <c r="AV14" s="572" t="s">
        <v>415</v>
      </c>
      <c r="AW14" s="704"/>
      <c r="AX14" s="1165"/>
      <c r="AZ14" s="1019">
        <v>700</v>
      </c>
      <c r="BA14" s="572" t="s">
        <v>457</v>
      </c>
      <c r="BB14" s="705"/>
      <c r="BC14" s="1165"/>
      <c r="BE14" s="1019">
        <v>580</v>
      </c>
      <c r="BF14" s="572" t="s">
        <v>331</v>
      </c>
      <c r="BG14" s="706"/>
      <c r="BH14" s="1165"/>
      <c r="BJ14" s="1019">
        <v>829</v>
      </c>
      <c r="BK14" s="572" t="s">
        <v>444</v>
      </c>
      <c r="BL14" s="707"/>
      <c r="BM14" s="1165"/>
      <c r="BO14" s="1019">
        <v>3852</v>
      </c>
      <c r="BP14" s="572" t="s">
        <v>407</v>
      </c>
      <c r="BQ14" s="708"/>
      <c r="BR14" s="1165"/>
      <c r="BT14" s="1019">
        <v>725</v>
      </c>
      <c r="BU14" s="572" t="s">
        <v>19</v>
      </c>
      <c r="BV14" s="709"/>
      <c r="BW14" s="1165"/>
      <c r="BY14" s="1019">
        <v>921</v>
      </c>
      <c r="BZ14" s="572" t="s">
        <v>30</v>
      </c>
      <c r="CA14" s="710"/>
      <c r="CB14" s="1165"/>
      <c r="CD14" s="1019">
        <v>355</v>
      </c>
      <c r="CE14" s="572" t="s">
        <v>349</v>
      </c>
      <c r="CF14" s="711"/>
      <c r="CG14" s="1165"/>
      <c r="CI14" s="1019">
        <v>712</v>
      </c>
      <c r="CJ14" s="572" t="s">
        <v>17</v>
      </c>
      <c r="CK14" s="712"/>
      <c r="CL14" s="1165"/>
      <c r="CN14" s="1019">
        <v>3021</v>
      </c>
      <c r="CO14" s="572" t="s">
        <v>411</v>
      </c>
      <c r="CP14" s="713"/>
      <c r="CQ14" s="1165"/>
      <c r="CS14" s="1019">
        <v>645</v>
      </c>
      <c r="CT14" s="572" t="s">
        <v>436</v>
      </c>
      <c r="CU14" s="714"/>
      <c r="CV14" s="1165"/>
      <c r="CX14" s="9">
        <v>67</v>
      </c>
      <c r="CY14" s="6" t="s">
        <v>135</v>
      </c>
      <c r="CZ14" s="6"/>
      <c r="DA14" s="1165"/>
      <c r="DC14" s="9" t="s">
        <v>90</v>
      </c>
      <c r="DD14" s="6" t="s">
        <v>215</v>
      </c>
      <c r="DE14" s="532"/>
      <c r="DF14" s="1165"/>
      <c r="DH14" s="9" t="s">
        <v>108</v>
      </c>
      <c r="DI14" s="6" t="s">
        <v>208</v>
      </c>
      <c r="DJ14" s="65"/>
      <c r="DK14" s="1163"/>
      <c r="DM14" s="9">
        <v>4050</v>
      </c>
      <c r="DN14" s="2" t="s">
        <v>173</v>
      </c>
      <c r="DO14" s="6"/>
      <c r="DP14" s="1165"/>
      <c r="DR14" s="9">
        <v>4190</v>
      </c>
      <c r="DS14" s="2" t="s">
        <v>160</v>
      </c>
      <c r="DT14" s="6"/>
      <c r="DU14" s="1149"/>
      <c r="DW14" s="571"/>
      <c r="DX14" s="572"/>
      <c r="DY14" s="571"/>
      <c r="DZ14" s="571"/>
    </row>
    <row r="15" spans="2:131">
      <c r="B15" s="1019">
        <v>351</v>
      </c>
      <c r="C15" s="572" t="s">
        <v>5</v>
      </c>
      <c r="D15" s="716"/>
      <c r="E15" s="1147"/>
      <c r="G15" s="1019">
        <v>3706</v>
      </c>
      <c r="H15" s="572" t="s">
        <v>519</v>
      </c>
      <c r="I15" s="717"/>
      <c r="J15" s="1165"/>
      <c r="L15" s="1019">
        <v>603</v>
      </c>
      <c r="M15" s="572" t="s">
        <v>585</v>
      </c>
      <c r="N15" s="718"/>
      <c r="O15" s="1165"/>
      <c r="Q15" s="1019">
        <v>3835</v>
      </c>
      <c r="R15" s="572" t="s">
        <v>528</v>
      </c>
      <c r="S15" s="719"/>
      <c r="T15" s="1165"/>
      <c r="V15" s="1019">
        <v>341</v>
      </c>
      <c r="W15" s="572" t="s">
        <v>583</v>
      </c>
      <c r="X15" s="720"/>
      <c r="Y15" s="1165"/>
      <c r="AA15" s="1019">
        <v>796</v>
      </c>
      <c r="AB15" s="572" t="s">
        <v>347</v>
      </c>
      <c r="AC15" s="721"/>
      <c r="AD15" s="1165"/>
      <c r="AF15" s="1019">
        <v>334</v>
      </c>
      <c r="AG15" s="572" t="s">
        <v>489</v>
      </c>
      <c r="AH15" s="722"/>
      <c r="AI15" s="1165"/>
      <c r="AK15" s="1019">
        <v>747</v>
      </c>
      <c r="AL15" s="572" t="s">
        <v>551</v>
      </c>
      <c r="AM15" s="723"/>
      <c r="AN15" s="1165"/>
      <c r="AP15" s="1019">
        <v>992</v>
      </c>
      <c r="AQ15" s="572" t="s">
        <v>541</v>
      </c>
      <c r="AR15" s="724"/>
      <c r="AS15" s="1165"/>
      <c r="AU15" s="1019">
        <v>3818</v>
      </c>
      <c r="AV15" s="572" t="s">
        <v>677</v>
      </c>
      <c r="AW15" s="725"/>
      <c r="AX15" s="1165"/>
      <c r="AZ15" s="1019">
        <v>699</v>
      </c>
      <c r="BA15" s="572" t="s">
        <v>55</v>
      </c>
      <c r="BB15" s="726"/>
      <c r="BC15" s="1165"/>
      <c r="BE15" s="1019">
        <v>523</v>
      </c>
      <c r="BF15" s="572" t="s">
        <v>545</v>
      </c>
      <c r="BG15" s="727"/>
      <c r="BH15" s="1165"/>
      <c r="BJ15" s="1019">
        <v>746</v>
      </c>
      <c r="BK15" s="572" t="s">
        <v>22</v>
      </c>
      <c r="BL15" s="728"/>
      <c r="BM15" s="1165"/>
      <c r="BO15" s="1019">
        <v>728</v>
      </c>
      <c r="BP15" s="572" t="s">
        <v>63</v>
      </c>
      <c r="BQ15" s="729"/>
      <c r="BR15" s="1165"/>
      <c r="BT15" s="1019">
        <v>972</v>
      </c>
      <c r="BU15" s="572" t="s">
        <v>690</v>
      </c>
      <c r="BV15" s="730"/>
      <c r="BW15" s="1165"/>
      <c r="BY15" s="1019">
        <v>920</v>
      </c>
      <c r="BZ15" s="572" t="s">
        <v>495</v>
      </c>
      <c r="CA15" s="731"/>
      <c r="CB15" s="1165"/>
      <c r="CD15" s="1019">
        <v>3777</v>
      </c>
      <c r="CE15" s="572" t="s">
        <v>417</v>
      </c>
      <c r="CF15" s="732"/>
      <c r="CG15" s="1165"/>
      <c r="CI15" s="1019">
        <v>739</v>
      </c>
      <c r="CJ15" s="572" t="s">
        <v>664</v>
      </c>
      <c r="CK15" s="733"/>
      <c r="CL15" s="1165"/>
      <c r="CN15" s="1019">
        <v>844</v>
      </c>
      <c r="CO15" s="572" t="s">
        <v>685</v>
      </c>
      <c r="CP15" s="734"/>
      <c r="CQ15" s="1165"/>
      <c r="CS15" s="1019" t="s">
        <v>47</v>
      </c>
      <c r="CT15" s="572" t="s">
        <v>48</v>
      </c>
      <c r="CU15" s="735"/>
      <c r="CV15" s="1165"/>
      <c r="CX15" s="9">
        <v>125</v>
      </c>
      <c r="CY15" s="6" t="s">
        <v>148</v>
      </c>
      <c r="CZ15" s="6"/>
      <c r="DA15" s="1165"/>
      <c r="DC15" s="9" t="s">
        <v>91</v>
      </c>
      <c r="DD15" s="6" t="s">
        <v>200</v>
      </c>
      <c r="DE15" s="57"/>
      <c r="DF15" s="1165"/>
      <c r="DH15" s="9" t="s">
        <v>95</v>
      </c>
      <c r="DI15" s="6" t="s">
        <v>188</v>
      </c>
      <c r="DJ15" s="45"/>
      <c r="DK15" s="1147"/>
      <c r="DM15" s="9">
        <v>4060</v>
      </c>
      <c r="DN15" s="2" t="s">
        <v>174</v>
      </c>
      <c r="DO15" s="6"/>
      <c r="DP15" s="1165"/>
      <c r="DR15" s="9">
        <v>4200</v>
      </c>
      <c r="DS15" s="2" t="s">
        <v>161</v>
      </c>
      <c r="DT15" s="6"/>
      <c r="DU15" s="1149"/>
      <c r="DW15" s="571"/>
      <c r="DX15" s="572"/>
      <c r="DY15" s="571"/>
      <c r="DZ15" s="571"/>
    </row>
    <row r="16" spans="2:131">
      <c r="B16" s="1019">
        <v>350</v>
      </c>
      <c r="C16" s="572" t="s">
        <v>498</v>
      </c>
      <c r="D16" s="737"/>
      <c r="E16" s="1147"/>
      <c r="G16" s="1019">
        <v>3705</v>
      </c>
      <c r="H16" s="572" t="s">
        <v>381</v>
      </c>
      <c r="I16" s="738"/>
      <c r="J16" s="1165"/>
      <c r="L16" s="1019">
        <v>602</v>
      </c>
      <c r="M16" s="572" t="s">
        <v>493</v>
      </c>
      <c r="N16" s="739"/>
      <c r="O16" s="1165"/>
      <c r="Q16" s="1019">
        <v>3834</v>
      </c>
      <c r="R16" s="572" t="s">
        <v>390</v>
      </c>
      <c r="S16" s="740"/>
      <c r="T16" s="1165"/>
      <c r="V16" s="1019">
        <v>156</v>
      </c>
      <c r="W16" s="572" t="s">
        <v>469</v>
      </c>
      <c r="X16" s="741"/>
      <c r="Y16" s="1165"/>
      <c r="AA16" s="1019">
        <v>820</v>
      </c>
      <c r="AB16" s="572" t="s">
        <v>441</v>
      </c>
      <c r="AC16" s="742"/>
      <c r="AD16" s="1165"/>
      <c r="AF16" s="1019">
        <v>322</v>
      </c>
      <c r="AG16" s="572" t="s">
        <v>43</v>
      </c>
      <c r="AH16" s="743"/>
      <c r="AI16" s="1165"/>
      <c r="AK16" s="1019">
        <v>3766</v>
      </c>
      <c r="AL16" s="572" t="s">
        <v>550</v>
      </c>
      <c r="AM16" s="744"/>
      <c r="AN16" s="1165"/>
      <c r="AP16" s="1019">
        <v>3814</v>
      </c>
      <c r="AQ16" s="572" t="s">
        <v>36</v>
      </c>
      <c r="AR16" s="745"/>
      <c r="AS16" s="1165"/>
      <c r="AU16" s="1019">
        <v>369</v>
      </c>
      <c r="AV16" s="572" t="s">
        <v>607</v>
      </c>
      <c r="AW16" s="746"/>
      <c r="AX16" s="1165"/>
      <c r="AZ16" s="1019">
        <v>907</v>
      </c>
      <c r="BA16" s="572" t="s">
        <v>562</v>
      </c>
      <c r="BB16" s="747"/>
      <c r="BC16" s="1165"/>
      <c r="BE16" s="1019">
        <v>3053</v>
      </c>
      <c r="BF16" s="572" t="s">
        <v>69</v>
      </c>
      <c r="BG16" s="748"/>
      <c r="BH16" s="1165"/>
      <c r="BJ16" s="1019">
        <v>677</v>
      </c>
      <c r="BK16" s="572" t="s">
        <v>619</v>
      </c>
      <c r="BL16" s="749"/>
      <c r="BM16" s="1165"/>
      <c r="BO16" s="1019">
        <v>783</v>
      </c>
      <c r="BP16" s="572" t="s">
        <v>494</v>
      </c>
      <c r="BQ16" s="750"/>
      <c r="BR16" s="1165"/>
      <c r="BT16" s="1019">
        <v>745</v>
      </c>
      <c r="BU16" s="572" t="s">
        <v>698</v>
      </c>
      <c r="BV16" s="751"/>
      <c r="BW16" s="1165"/>
      <c r="BY16" s="1019">
        <v>919</v>
      </c>
      <c r="BZ16" s="572" t="s">
        <v>29</v>
      </c>
      <c r="CA16" s="752"/>
      <c r="CB16" s="1165"/>
      <c r="CD16" s="1019">
        <v>3779</v>
      </c>
      <c r="CE16" s="572" t="s">
        <v>669</v>
      </c>
      <c r="CF16" s="753"/>
      <c r="CG16" s="1165"/>
      <c r="CI16" s="1019">
        <v>738</v>
      </c>
      <c r="CJ16" s="572" t="s">
        <v>663</v>
      </c>
      <c r="CK16" s="754"/>
      <c r="CL16" s="1165"/>
      <c r="CN16" s="1019">
        <v>3033</v>
      </c>
      <c r="CO16" s="572" t="s">
        <v>571</v>
      </c>
      <c r="CP16" s="755"/>
      <c r="CQ16" s="1165"/>
      <c r="CS16" s="1019" t="s">
        <v>962</v>
      </c>
      <c r="CT16" s="572" t="s">
        <v>46</v>
      </c>
      <c r="CU16" s="756"/>
      <c r="CV16" s="1165"/>
      <c r="CX16" s="9">
        <v>92</v>
      </c>
      <c r="CY16" s="6" t="s">
        <v>138</v>
      </c>
      <c r="CZ16" s="6"/>
      <c r="DA16" s="1165"/>
      <c r="DC16" s="9" t="s">
        <v>86</v>
      </c>
      <c r="DD16" s="6" t="s">
        <v>199</v>
      </c>
      <c r="DE16" s="56"/>
      <c r="DF16" s="1165"/>
      <c r="DH16" s="9" t="s">
        <v>105</v>
      </c>
      <c r="DI16" s="6" t="s">
        <v>196</v>
      </c>
      <c r="DJ16" s="53"/>
      <c r="DK16" s="1163"/>
      <c r="DM16" s="9">
        <v>4065</v>
      </c>
      <c r="DN16" s="2" t="s">
        <v>175</v>
      </c>
      <c r="DO16" s="6"/>
      <c r="DP16" s="1165"/>
      <c r="DR16" s="9">
        <v>4210</v>
      </c>
      <c r="DS16" s="2" t="s">
        <v>162</v>
      </c>
      <c r="DT16" s="6"/>
      <c r="DU16" s="1149"/>
      <c r="DW16" s="571"/>
      <c r="DX16" s="572"/>
      <c r="DY16" s="571"/>
      <c r="DZ16" s="571"/>
    </row>
    <row r="17" spans="2:130">
      <c r="B17" s="1019">
        <v>349</v>
      </c>
      <c r="C17" s="572" t="s">
        <v>342</v>
      </c>
      <c r="D17" s="758"/>
      <c r="E17" s="1147"/>
      <c r="G17" s="1019">
        <v>963</v>
      </c>
      <c r="H17" s="572" t="s">
        <v>682</v>
      </c>
      <c r="I17" s="759"/>
      <c r="J17" s="1165"/>
      <c r="L17" s="1019">
        <v>601</v>
      </c>
      <c r="M17" s="572" t="s">
        <v>338</v>
      </c>
      <c r="N17" s="760"/>
      <c r="O17" s="1165"/>
      <c r="Q17" s="1019">
        <v>154</v>
      </c>
      <c r="R17" s="572" t="s">
        <v>440</v>
      </c>
      <c r="S17" s="761"/>
      <c r="T17" s="1165"/>
      <c r="V17" s="1019">
        <v>340</v>
      </c>
      <c r="W17" s="572" t="s">
        <v>492</v>
      </c>
      <c r="X17" s="762"/>
      <c r="Y17" s="1165"/>
      <c r="AA17" s="1019">
        <v>162</v>
      </c>
      <c r="AB17" s="572" t="s">
        <v>595</v>
      </c>
      <c r="AC17" s="763"/>
      <c r="AD17" s="1165"/>
      <c r="AF17" s="1019">
        <v>312</v>
      </c>
      <c r="AG17" s="572" t="s">
        <v>406</v>
      </c>
      <c r="AH17" s="764"/>
      <c r="AI17" s="1165"/>
      <c r="AK17" s="1019">
        <v>807</v>
      </c>
      <c r="AL17" s="572" t="s">
        <v>25</v>
      </c>
      <c r="AM17" s="765"/>
      <c r="AN17" s="1165"/>
      <c r="AP17" s="1019">
        <v>991</v>
      </c>
      <c r="AQ17" s="572" t="s">
        <v>317</v>
      </c>
      <c r="AR17" s="766"/>
      <c r="AS17" s="1165"/>
      <c r="AU17" s="1019">
        <v>368</v>
      </c>
      <c r="AV17" s="572" t="s">
        <v>605</v>
      </c>
      <c r="AW17" s="767"/>
      <c r="AX17" s="1165"/>
      <c r="AZ17" s="1019">
        <v>906</v>
      </c>
      <c r="BA17" s="572" t="s">
        <v>478</v>
      </c>
      <c r="BB17" s="768"/>
      <c r="BC17" s="1165"/>
      <c r="BE17" s="1019">
        <v>3052</v>
      </c>
      <c r="BF17" s="572" t="s">
        <v>496</v>
      </c>
      <c r="BG17" s="769"/>
      <c r="BH17" s="1165"/>
      <c r="BJ17" s="1019">
        <v>422</v>
      </c>
      <c r="BK17" s="572" t="s">
        <v>626</v>
      </c>
      <c r="BL17" s="770"/>
      <c r="BM17" s="1165"/>
      <c r="BO17" s="1019">
        <v>782</v>
      </c>
      <c r="BP17" s="572" t="s">
        <v>339</v>
      </c>
      <c r="BQ17" s="771"/>
      <c r="BR17" s="1165"/>
      <c r="BT17" s="1019">
        <v>744</v>
      </c>
      <c r="BU17" s="572" t="s">
        <v>697</v>
      </c>
      <c r="BV17" s="772"/>
      <c r="BW17" s="1165"/>
      <c r="BY17" s="1019">
        <v>918</v>
      </c>
      <c r="BZ17" s="572" t="s">
        <v>337</v>
      </c>
      <c r="CA17" s="773"/>
      <c r="CB17" s="1165"/>
      <c r="CD17" s="1019">
        <v>3859</v>
      </c>
      <c r="CE17" s="572" t="s">
        <v>567</v>
      </c>
      <c r="CF17" s="774"/>
      <c r="CG17" s="1165"/>
      <c r="CI17" s="1019">
        <v>437</v>
      </c>
      <c r="CJ17" s="572" t="s">
        <v>636</v>
      </c>
      <c r="CK17" s="775"/>
      <c r="CL17" s="1165"/>
      <c r="CN17" s="1019">
        <v>3782</v>
      </c>
      <c r="CO17" s="572" t="s">
        <v>577</v>
      </c>
      <c r="CP17" s="776"/>
      <c r="CQ17" s="1165"/>
      <c r="CS17" s="1019" t="s">
        <v>961</v>
      </c>
      <c r="CT17" s="572" t="s">
        <v>46</v>
      </c>
      <c r="CU17" s="756"/>
      <c r="CV17" s="1165"/>
      <c r="CX17" s="9">
        <v>94</v>
      </c>
      <c r="CY17" s="6" t="s">
        <v>140</v>
      </c>
      <c r="CZ17" s="6"/>
      <c r="DA17" s="1165"/>
      <c r="DC17" s="9" t="s">
        <v>82</v>
      </c>
      <c r="DD17" s="6" t="s">
        <v>186</v>
      </c>
      <c r="DE17" s="6"/>
      <c r="DF17" s="1149"/>
      <c r="DH17" s="9" t="s">
        <v>97</v>
      </c>
      <c r="DI17" s="6" t="s">
        <v>193</v>
      </c>
      <c r="DJ17" s="50"/>
      <c r="DK17" s="1147"/>
      <c r="DM17" s="9">
        <v>4070</v>
      </c>
      <c r="DN17" s="2" t="s">
        <v>176</v>
      </c>
      <c r="DO17" s="6"/>
      <c r="DP17" s="1165"/>
      <c r="DR17" s="9">
        <v>4215</v>
      </c>
      <c r="DS17" s="2" t="s">
        <v>163</v>
      </c>
      <c r="DT17" s="6"/>
      <c r="DU17" s="1149"/>
      <c r="DW17" s="571"/>
      <c r="DX17" s="572"/>
      <c r="DY17" s="571"/>
      <c r="DZ17" s="571"/>
    </row>
    <row r="18" spans="2:130">
      <c r="B18" s="1019">
        <v>817</v>
      </c>
      <c r="C18" s="572" t="s">
        <v>439</v>
      </c>
      <c r="D18" s="777"/>
      <c r="E18" s="1147"/>
      <c r="G18" s="1019">
        <v>3716</v>
      </c>
      <c r="H18" s="572" t="s">
        <v>642</v>
      </c>
      <c r="I18" s="778"/>
      <c r="J18" s="1165"/>
      <c r="K18" s="571"/>
      <c r="L18" s="1019">
        <v>600</v>
      </c>
      <c r="M18" s="572" t="s">
        <v>420</v>
      </c>
      <c r="N18" s="779"/>
      <c r="O18" s="1165"/>
      <c r="Q18" s="1019">
        <v>24</v>
      </c>
      <c r="R18" s="572" t="s">
        <v>126</v>
      </c>
      <c r="S18" s="780"/>
      <c r="T18" s="1165"/>
      <c r="V18" s="1019">
        <v>155</v>
      </c>
      <c r="W18" s="572" t="s">
        <v>53</v>
      </c>
      <c r="X18" s="781"/>
      <c r="Y18" s="1165"/>
      <c r="AA18" s="1019">
        <v>827</v>
      </c>
      <c r="AB18" s="572" t="s">
        <v>637</v>
      </c>
      <c r="AC18" s="782"/>
      <c r="AD18" s="1165"/>
      <c r="AF18" s="1019">
        <v>803</v>
      </c>
      <c r="AG18" s="572" t="s">
        <v>688</v>
      </c>
      <c r="AH18" s="783"/>
      <c r="AI18" s="1165"/>
      <c r="AK18" s="1019">
        <v>3765</v>
      </c>
      <c r="AL18" s="572" t="s">
        <v>405</v>
      </c>
      <c r="AM18" s="784"/>
      <c r="AN18" s="1165"/>
      <c r="AP18" s="1019">
        <v>966</v>
      </c>
      <c r="AQ18" s="572" t="s">
        <v>526</v>
      </c>
      <c r="AR18" s="785"/>
      <c r="AS18" s="1165"/>
      <c r="AU18" s="1019">
        <v>320</v>
      </c>
      <c r="AV18" s="572" t="s">
        <v>480</v>
      </c>
      <c r="AW18" s="786"/>
      <c r="AX18" s="1165"/>
      <c r="AZ18" s="1019">
        <v>905</v>
      </c>
      <c r="BA18" s="572" t="s">
        <v>328</v>
      </c>
      <c r="BB18" s="787"/>
      <c r="BC18" s="1165"/>
      <c r="BE18" s="1019">
        <v>3051</v>
      </c>
      <c r="BF18" s="572" t="s">
        <v>340</v>
      </c>
      <c r="BG18" s="788"/>
      <c r="BH18" s="1165"/>
      <c r="BJ18" s="1019">
        <v>3828</v>
      </c>
      <c r="BK18" s="572" t="s">
        <v>77</v>
      </c>
      <c r="BL18" s="789"/>
      <c r="BM18" s="1165"/>
      <c r="BO18" s="1019">
        <v>780</v>
      </c>
      <c r="BP18" s="572" t="s">
        <v>670</v>
      </c>
      <c r="BQ18" s="790"/>
      <c r="BR18" s="1165"/>
      <c r="BT18" s="1019">
        <v>743</v>
      </c>
      <c r="BU18" s="572" t="s">
        <v>467</v>
      </c>
      <c r="BV18" s="791"/>
      <c r="BW18" s="1165"/>
      <c r="BY18" s="1019">
        <v>3770</v>
      </c>
      <c r="BZ18" s="572" t="s">
        <v>554</v>
      </c>
      <c r="CA18" s="792"/>
      <c r="CB18" s="1165"/>
      <c r="CD18" s="1019">
        <v>3858</v>
      </c>
      <c r="CE18" s="572" t="s">
        <v>481</v>
      </c>
      <c r="CF18" s="793"/>
      <c r="CG18" s="1165"/>
      <c r="CI18" s="1019">
        <v>436</v>
      </c>
      <c r="CJ18" s="572" t="s">
        <v>7</v>
      </c>
      <c r="CK18" s="794"/>
      <c r="CL18" s="1165"/>
      <c r="CN18" s="1019">
        <v>3032</v>
      </c>
      <c r="CO18" s="572" t="s">
        <v>483</v>
      </c>
      <c r="CP18" s="795"/>
      <c r="CQ18" s="1165"/>
      <c r="CS18" s="1019">
        <v>762</v>
      </c>
      <c r="CT18" s="572" t="s">
        <v>561</v>
      </c>
      <c r="CU18" s="796"/>
      <c r="CV18" s="1165"/>
      <c r="CX18" s="9">
        <v>90</v>
      </c>
      <c r="CY18" s="6" t="s">
        <v>137</v>
      </c>
      <c r="CZ18" s="6"/>
      <c r="DA18" s="1165"/>
      <c r="DC18" s="9" t="s">
        <v>81</v>
      </c>
      <c r="DD18" s="6" t="s">
        <v>185</v>
      </c>
      <c r="DE18" s="6"/>
      <c r="DF18" s="1149"/>
      <c r="DH18" s="9" t="s">
        <v>98</v>
      </c>
      <c r="DI18" s="6" t="s">
        <v>198</v>
      </c>
      <c r="DJ18" s="55"/>
      <c r="DK18" s="1163"/>
      <c r="DM18" s="9">
        <v>4075</v>
      </c>
      <c r="DN18" s="2" t="s">
        <v>177</v>
      </c>
      <c r="DO18" s="6"/>
      <c r="DP18" s="1165"/>
      <c r="DR18" s="9">
        <v>4220</v>
      </c>
      <c r="DS18" s="2" t="s">
        <v>164</v>
      </c>
      <c r="DT18" s="6"/>
      <c r="DU18" s="1149"/>
      <c r="DW18" s="571"/>
      <c r="DX18" s="572"/>
      <c r="DY18" s="571"/>
      <c r="DZ18" s="571"/>
    </row>
    <row r="19" spans="2:130">
      <c r="B19" s="1019">
        <v>304</v>
      </c>
      <c r="C19" s="572" t="s">
        <v>463</v>
      </c>
      <c r="D19" s="798"/>
      <c r="E19" s="1147"/>
      <c r="G19" s="1019">
        <v>962</v>
      </c>
      <c r="H19" s="572" t="s">
        <v>520</v>
      </c>
      <c r="I19" s="799"/>
      <c r="J19" s="1165"/>
      <c r="K19" s="571"/>
      <c r="L19" s="1019">
        <v>3806</v>
      </c>
      <c r="M19" s="572" t="s">
        <v>596</v>
      </c>
      <c r="N19" s="800"/>
      <c r="O19" s="1165"/>
      <c r="Q19" s="1019">
        <v>25</v>
      </c>
      <c r="R19" s="572" t="s">
        <v>711</v>
      </c>
      <c r="S19" s="801"/>
      <c r="T19" s="1165"/>
      <c r="V19" s="1019">
        <v>3746</v>
      </c>
      <c r="W19" s="572" t="s">
        <v>398</v>
      </c>
      <c r="X19" s="802"/>
      <c r="Y19" s="1165"/>
      <c r="AA19" s="1019">
        <v>813</v>
      </c>
      <c r="AB19" s="572" t="s">
        <v>612</v>
      </c>
      <c r="AC19" s="803"/>
      <c r="AD19" s="1165"/>
      <c r="AF19" s="1019">
        <v>336</v>
      </c>
      <c r="AG19" s="572" t="s">
        <v>54</v>
      </c>
      <c r="AH19" s="804"/>
      <c r="AI19" s="1165"/>
      <c r="AK19" s="1019">
        <v>3811</v>
      </c>
      <c r="AL19" s="572" t="s">
        <v>606</v>
      </c>
      <c r="AM19" s="805"/>
      <c r="AN19" s="1165"/>
      <c r="AP19" s="1019">
        <v>564</v>
      </c>
      <c r="AQ19" s="572" t="s">
        <v>570</v>
      </c>
      <c r="AR19" s="806"/>
      <c r="AS19" s="1165"/>
      <c r="AU19" s="1019">
        <v>367</v>
      </c>
      <c r="AV19" s="572" t="s">
        <v>354</v>
      </c>
      <c r="AW19" s="807"/>
      <c r="AX19" s="1165"/>
      <c r="AZ19" s="1019">
        <v>904</v>
      </c>
      <c r="BA19" s="572" t="s">
        <v>410</v>
      </c>
      <c r="BB19" s="808"/>
      <c r="BC19" s="1165"/>
      <c r="BE19" s="1019">
        <v>524</v>
      </c>
      <c r="BF19" s="572" t="s">
        <v>547</v>
      </c>
      <c r="BG19" s="809"/>
      <c r="BH19" s="1165"/>
      <c r="BJ19" s="1019">
        <v>420</v>
      </c>
      <c r="BK19" s="572" t="s">
        <v>374</v>
      </c>
      <c r="BL19" s="810"/>
      <c r="BM19" s="1165"/>
      <c r="BO19" s="1019">
        <v>3823</v>
      </c>
      <c r="BP19" s="572" t="s">
        <v>700</v>
      </c>
      <c r="BQ19" s="811"/>
      <c r="BR19" s="1165"/>
      <c r="BT19" s="1019">
        <v>742</v>
      </c>
      <c r="BU19" s="572" t="s">
        <v>539</v>
      </c>
      <c r="BV19" s="812"/>
      <c r="BW19" s="1165"/>
      <c r="BY19" s="1019">
        <v>945</v>
      </c>
      <c r="BZ19" s="572" t="s">
        <v>68</v>
      </c>
      <c r="CA19" s="813"/>
      <c r="CB19" s="1165"/>
      <c r="CD19" s="1019">
        <v>3857</v>
      </c>
      <c r="CE19" s="572" t="s">
        <v>329</v>
      </c>
      <c r="CF19" s="814"/>
      <c r="CG19" s="1165"/>
      <c r="CI19" s="1019">
        <v>435</v>
      </c>
      <c r="CJ19" s="572" t="s">
        <v>634</v>
      </c>
      <c r="CK19" s="815"/>
      <c r="CL19" s="1165"/>
      <c r="CN19" s="1019">
        <v>3790</v>
      </c>
      <c r="CO19" s="572" t="s">
        <v>671</v>
      </c>
      <c r="CP19" s="816"/>
      <c r="CQ19" s="1165"/>
      <c r="CS19" s="1019">
        <v>415</v>
      </c>
      <c r="CT19" s="572" t="s">
        <v>60</v>
      </c>
      <c r="CU19" s="817"/>
      <c r="CV19" s="1165"/>
      <c r="CX19" s="9">
        <v>51</v>
      </c>
      <c r="CY19" s="6" t="s">
        <v>132</v>
      </c>
      <c r="CZ19" s="6"/>
      <c r="DA19" s="1165"/>
      <c r="DC19" s="9" t="s">
        <v>103</v>
      </c>
      <c r="DD19" s="6" t="s">
        <v>210</v>
      </c>
      <c r="DE19" s="67"/>
      <c r="DF19" s="1149"/>
      <c r="DH19" s="9" t="s">
        <v>99</v>
      </c>
      <c r="DI19" s="6" t="s">
        <v>212</v>
      </c>
      <c r="DJ19" s="533"/>
      <c r="DK19" s="1163"/>
      <c r="DM19" s="9">
        <v>4077</v>
      </c>
      <c r="DN19" s="2" t="s">
        <v>178</v>
      </c>
      <c r="DO19" s="6"/>
      <c r="DP19" s="1165"/>
      <c r="DR19" s="9">
        <v>4230</v>
      </c>
      <c r="DS19" s="2" t="s">
        <v>165</v>
      </c>
      <c r="DT19" s="6"/>
      <c r="DU19" s="1149"/>
      <c r="DW19" s="571"/>
      <c r="DX19" s="572"/>
      <c r="DY19" s="571"/>
      <c r="DZ19" s="571"/>
    </row>
    <row r="20" spans="2:130" ht="17" thickBot="1">
      <c r="B20" s="1019">
        <v>3833</v>
      </c>
      <c r="C20" s="572" t="s">
        <v>643</v>
      </c>
      <c r="D20" s="818"/>
      <c r="E20" s="1147"/>
      <c r="G20" s="1019">
        <v>961</v>
      </c>
      <c r="H20" s="572" t="s">
        <v>384</v>
      </c>
      <c r="I20" s="819"/>
      <c r="J20" s="1165"/>
      <c r="K20" s="571"/>
      <c r="L20" s="1019">
        <v>3805</v>
      </c>
      <c r="M20" s="572" t="s">
        <v>71</v>
      </c>
      <c r="N20" s="820"/>
      <c r="O20" s="1165"/>
      <c r="Q20" s="1019">
        <v>26</v>
      </c>
      <c r="R20" s="572" t="s">
        <v>710</v>
      </c>
      <c r="S20" s="821"/>
      <c r="T20" s="1165"/>
      <c r="V20" s="1019">
        <v>333</v>
      </c>
      <c r="W20" s="572" t="s">
        <v>419</v>
      </c>
      <c r="X20" s="822"/>
      <c r="Y20" s="1165"/>
      <c r="AA20" s="1019">
        <v>826</v>
      </c>
      <c r="AB20" s="572" t="s">
        <v>469</v>
      </c>
      <c r="AC20" s="823"/>
      <c r="AD20" s="1165"/>
      <c r="AF20" s="1019">
        <v>823</v>
      </c>
      <c r="AG20" s="572" t="s">
        <v>377</v>
      </c>
      <c r="AH20" s="824"/>
      <c r="AI20" s="1165"/>
      <c r="AK20" s="1019">
        <v>598</v>
      </c>
      <c r="AL20" s="572" t="s">
        <v>579</v>
      </c>
      <c r="AM20" s="825"/>
      <c r="AN20" s="1165"/>
      <c r="AP20" s="1019">
        <v>563</v>
      </c>
      <c r="AQ20" s="572" t="s">
        <v>568</v>
      </c>
      <c r="AR20" s="826"/>
      <c r="AS20" s="1165"/>
      <c r="AU20" s="1019">
        <v>319</v>
      </c>
      <c r="AV20" s="572" t="s">
        <v>413</v>
      </c>
      <c r="AW20" s="827"/>
      <c r="AX20" s="1165"/>
      <c r="AZ20" s="1019">
        <v>472</v>
      </c>
      <c r="BA20" s="572" t="s">
        <v>683</v>
      </c>
      <c r="BB20" s="828"/>
      <c r="BC20" s="1165"/>
      <c r="BE20" s="1019">
        <v>522</v>
      </c>
      <c r="BF20" s="572" t="s">
        <v>11</v>
      </c>
      <c r="BG20" s="829"/>
      <c r="BH20" s="1165"/>
      <c r="BJ20" s="1019">
        <v>869</v>
      </c>
      <c r="BK20" s="572" t="s">
        <v>451</v>
      </c>
      <c r="BL20" s="830"/>
      <c r="BM20" s="1165"/>
      <c r="BO20" s="1019">
        <v>3855</v>
      </c>
      <c r="BP20" s="572" t="s">
        <v>556</v>
      </c>
      <c r="BQ20" s="831"/>
      <c r="BR20" s="1165"/>
      <c r="BT20" s="1019">
        <v>741</v>
      </c>
      <c r="BU20" s="572" t="s">
        <v>464</v>
      </c>
      <c r="BV20" s="832"/>
      <c r="BW20" s="1165"/>
      <c r="BY20" s="1019">
        <v>402</v>
      </c>
      <c r="BZ20" s="572" t="s">
        <v>614</v>
      </c>
      <c r="CA20" s="833"/>
      <c r="CB20" s="1165"/>
      <c r="CD20" s="1019">
        <v>20</v>
      </c>
      <c r="CE20" s="572" t="s">
        <v>123</v>
      </c>
      <c r="CF20" s="834"/>
      <c r="CG20" s="1165"/>
      <c r="CI20" s="1019">
        <v>434</v>
      </c>
      <c r="CJ20" s="572" t="s">
        <v>631</v>
      </c>
      <c r="CK20" s="835"/>
      <c r="CL20" s="1165"/>
      <c r="CN20" s="1019">
        <v>3781</v>
      </c>
      <c r="CO20" s="572" t="s">
        <v>333</v>
      </c>
      <c r="CP20" s="836"/>
      <c r="CQ20" s="1165"/>
      <c r="CS20" s="1019">
        <v>318</v>
      </c>
      <c r="CT20" s="572" t="s">
        <v>557</v>
      </c>
      <c r="CU20" s="837"/>
      <c r="CV20" s="1165"/>
      <c r="CX20" s="9">
        <v>106</v>
      </c>
      <c r="CY20" s="6" t="s">
        <v>143</v>
      </c>
      <c r="CZ20" s="6"/>
      <c r="DA20" s="1165"/>
      <c r="DC20" s="9" t="s">
        <v>93</v>
      </c>
      <c r="DD20" s="6" t="s">
        <v>204</v>
      </c>
      <c r="DE20" s="61"/>
      <c r="DF20" s="1149"/>
      <c r="DH20" s="10" t="s">
        <v>100</v>
      </c>
      <c r="DI20" s="16" t="s">
        <v>216</v>
      </c>
      <c r="DJ20" s="1065"/>
      <c r="DK20" s="1167"/>
      <c r="DM20" s="9">
        <v>4080</v>
      </c>
      <c r="DN20" s="2" t="s">
        <v>179</v>
      </c>
      <c r="DO20" s="6"/>
      <c r="DP20" s="1165"/>
      <c r="DR20" s="9">
        <v>4235</v>
      </c>
      <c r="DS20" s="2" t="s">
        <v>166</v>
      </c>
      <c r="DT20" s="6"/>
      <c r="DU20" s="1149"/>
      <c r="DW20" s="571"/>
      <c r="DX20" s="572"/>
      <c r="DY20" s="571"/>
      <c r="DZ20" s="571"/>
    </row>
    <row r="21" spans="2:130" ht="17" thickBot="1">
      <c r="B21" s="1019">
        <v>3832</v>
      </c>
      <c r="C21" s="572" t="s">
        <v>524</v>
      </c>
      <c r="D21" s="838"/>
      <c r="E21" s="1147"/>
      <c r="G21" s="1019">
        <v>309</v>
      </c>
      <c r="H21" s="572" t="s">
        <v>320</v>
      </c>
      <c r="I21" s="839"/>
      <c r="J21" s="1165"/>
      <c r="L21" s="1019">
        <v>3804</v>
      </c>
      <c r="M21" s="572" t="s">
        <v>345</v>
      </c>
      <c r="N21" s="840"/>
      <c r="O21" s="1165"/>
      <c r="Q21" s="1019">
        <v>211</v>
      </c>
      <c r="R21" s="572" t="s">
        <v>653</v>
      </c>
      <c r="S21" s="841"/>
      <c r="T21" s="1165"/>
      <c r="V21" s="1019">
        <v>30</v>
      </c>
      <c r="W21" s="572" t="s">
        <v>708</v>
      </c>
      <c r="X21" s="842"/>
      <c r="Y21" s="1165"/>
      <c r="AA21" s="1019">
        <v>825</v>
      </c>
      <c r="AB21" s="572" t="s">
        <v>377</v>
      </c>
      <c r="AC21" s="843"/>
      <c r="AD21" s="1165"/>
      <c r="AF21" s="1019">
        <v>939</v>
      </c>
      <c r="AG21" s="572" t="s">
        <v>437</v>
      </c>
      <c r="AH21" s="844"/>
      <c r="AI21" s="1165"/>
      <c r="AK21" s="1019">
        <v>597</v>
      </c>
      <c r="AL21" s="572" t="s">
        <v>14</v>
      </c>
      <c r="AM21" s="845"/>
      <c r="AN21" s="1165"/>
      <c r="AP21" s="1019">
        <v>562</v>
      </c>
      <c r="AQ21" s="572" t="s">
        <v>482</v>
      </c>
      <c r="AR21" s="846"/>
      <c r="AS21" s="1165"/>
      <c r="AU21" s="1019">
        <v>890</v>
      </c>
      <c r="AV21" s="572" t="s">
        <v>665</v>
      </c>
      <c r="AW21" s="847"/>
      <c r="AX21" s="1165"/>
      <c r="AZ21" s="1019">
        <v>471</v>
      </c>
      <c r="BA21" s="572" t="s">
        <v>647</v>
      </c>
      <c r="BB21" s="848"/>
      <c r="BC21" s="1165"/>
      <c r="BE21" s="1019">
        <v>520</v>
      </c>
      <c r="BF21" s="572" t="s">
        <v>319</v>
      </c>
      <c r="BG21" s="849"/>
      <c r="BH21" s="1165"/>
      <c r="BJ21" s="1019">
        <v>613</v>
      </c>
      <c r="BK21" s="572" t="s">
        <v>603</v>
      </c>
      <c r="BL21" s="850"/>
      <c r="BM21" s="1165"/>
      <c r="BO21" s="1019">
        <v>19</v>
      </c>
      <c r="BP21" s="572" t="s">
        <v>713</v>
      </c>
      <c r="BQ21" s="851"/>
      <c r="BR21" s="1165"/>
      <c r="BT21" s="1019">
        <v>740</v>
      </c>
      <c r="BU21" s="572" t="s">
        <v>21</v>
      </c>
      <c r="BV21" s="852"/>
      <c r="BW21" s="1165"/>
      <c r="BY21" s="1019">
        <v>3776</v>
      </c>
      <c r="BZ21" s="572" t="s">
        <v>566</v>
      </c>
      <c r="CA21" s="853"/>
      <c r="CB21" s="1165"/>
      <c r="CD21" s="1019">
        <v>21</v>
      </c>
      <c r="CE21" s="572" t="s">
        <v>712</v>
      </c>
      <c r="CF21" s="854"/>
      <c r="CG21" s="1165"/>
      <c r="CI21" s="1019">
        <v>433</v>
      </c>
      <c r="CJ21" s="572" t="s">
        <v>515</v>
      </c>
      <c r="CK21" s="855"/>
      <c r="CL21" s="1165"/>
      <c r="CN21" s="1019">
        <v>5</v>
      </c>
      <c r="CO21" s="572" t="s">
        <v>718</v>
      </c>
      <c r="CP21" s="856"/>
      <c r="CQ21" s="1165"/>
      <c r="CS21" s="1019">
        <v>414</v>
      </c>
      <c r="CT21" s="572" t="s">
        <v>371</v>
      </c>
      <c r="CU21" s="857"/>
      <c r="CV21" s="1165"/>
      <c r="CX21" s="9">
        <v>111</v>
      </c>
      <c r="CY21" s="6" t="s">
        <v>145</v>
      </c>
      <c r="CZ21" s="6"/>
      <c r="DA21" s="1165"/>
      <c r="DC21" s="9" t="s">
        <v>84</v>
      </c>
      <c r="DD21" s="6" t="s">
        <v>194</v>
      </c>
      <c r="DE21" s="51"/>
      <c r="DF21" s="1147"/>
      <c r="DH21" s="571"/>
      <c r="DI21" s="572"/>
      <c r="DJ21" s="571"/>
      <c r="DK21" s="571"/>
      <c r="DM21" s="9">
        <v>4090</v>
      </c>
      <c r="DN21" s="2" t="s">
        <v>180</v>
      </c>
      <c r="DO21" s="6"/>
      <c r="DP21" s="1165"/>
      <c r="DR21" s="10">
        <v>4240</v>
      </c>
      <c r="DS21" s="4" t="s">
        <v>167</v>
      </c>
      <c r="DT21" s="16"/>
      <c r="DU21" s="1154"/>
      <c r="DW21" s="571"/>
      <c r="DX21" s="572"/>
      <c r="DY21" s="571"/>
      <c r="DZ21" s="571"/>
    </row>
    <row r="22" spans="2:130">
      <c r="B22" s="1019">
        <v>3831</v>
      </c>
      <c r="C22" s="572" t="s">
        <v>387</v>
      </c>
      <c r="D22" s="859"/>
      <c r="E22" s="1147"/>
      <c r="G22" s="1019">
        <v>819</v>
      </c>
      <c r="H22" s="572" t="s">
        <v>622</v>
      </c>
      <c r="I22" s="860"/>
      <c r="J22" s="1165"/>
      <c r="L22" s="1019">
        <v>3609</v>
      </c>
      <c r="M22" s="572" t="s">
        <v>679</v>
      </c>
      <c r="N22" s="861"/>
      <c r="O22" s="1165"/>
      <c r="Q22" s="1019">
        <v>210</v>
      </c>
      <c r="R22" s="572" t="s">
        <v>530</v>
      </c>
      <c r="S22" s="862"/>
      <c r="T22" s="1165"/>
      <c r="V22" s="1019">
        <v>31</v>
      </c>
      <c r="W22" s="572" t="s">
        <v>129</v>
      </c>
      <c r="X22" s="863"/>
      <c r="Y22" s="1165"/>
      <c r="AA22" s="1019">
        <v>824</v>
      </c>
      <c r="AB22" s="572" t="s">
        <v>437</v>
      </c>
      <c r="AC22" s="864"/>
      <c r="AD22" s="1165"/>
      <c r="AF22" s="1019">
        <v>3753</v>
      </c>
      <c r="AG22" s="572" t="s">
        <v>666</v>
      </c>
      <c r="AH22" s="865"/>
      <c r="AI22" s="1165"/>
      <c r="AK22" s="1019">
        <v>3810</v>
      </c>
      <c r="AL22" s="572" t="s">
        <v>355</v>
      </c>
      <c r="AM22" s="866"/>
      <c r="AN22" s="1165"/>
      <c r="AP22" s="1019">
        <v>505</v>
      </c>
      <c r="AQ22" s="572" t="s">
        <v>399</v>
      </c>
      <c r="AR22" s="867"/>
      <c r="AS22" s="1165"/>
      <c r="AU22" s="1019">
        <v>164</v>
      </c>
      <c r="AV22" s="572" t="s">
        <v>584</v>
      </c>
      <c r="AW22" s="736"/>
      <c r="AX22" s="1165"/>
      <c r="AZ22" s="1019">
        <v>470</v>
      </c>
      <c r="BA22" s="572" t="s">
        <v>644</v>
      </c>
      <c r="BB22" s="868"/>
      <c r="BC22" s="1165"/>
      <c r="BE22" s="1019">
        <v>734</v>
      </c>
      <c r="BF22" s="572" t="s">
        <v>661</v>
      </c>
      <c r="BG22" s="869"/>
      <c r="BH22" s="1165"/>
      <c r="BJ22" s="1019">
        <v>612</v>
      </c>
      <c r="BK22" s="572" t="s">
        <v>600</v>
      </c>
      <c r="BL22" s="870"/>
      <c r="BM22" s="1165"/>
      <c r="BO22" s="1019">
        <v>3854</v>
      </c>
      <c r="BP22" s="572" t="s">
        <v>475</v>
      </c>
      <c r="BQ22" s="871"/>
      <c r="BR22" s="1165"/>
      <c r="BT22" s="1019">
        <v>970</v>
      </c>
      <c r="BU22" s="572" t="s">
        <v>650</v>
      </c>
      <c r="BV22" s="872"/>
      <c r="BW22" s="1165"/>
      <c r="BY22" s="1019">
        <v>301</v>
      </c>
      <c r="BZ22" s="572" t="s">
        <v>462</v>
      </c>
      <c r="CA22" s="873"/>
      <c r="CB22" s="1165"/>
      <c r="CD22" s="1019">
        <v>22</v>
      </c>
      <c r="CE22" s="572" t="s">
        <v>124</v>
      </c>
      <c r="CF22" s="874"/>
      <c r="CG22" s="1165"/>
      <c r="CI22" s="1019">
        <v>801</v>
      </c>
      <c r="CJ22" s="572" t="s">
        <v>356</v>
      </c>
      <c r="CK22" s="875"/>
      <c r="CL22" s="1165"/>
      <c r="CN22" s="1019">
        <v>6</v>
      </c>
      <c r="CO22" s="572" t="s">
        <v>717</v>
      </c>
      <c r="CP22" s="876"/>
      <c r="CQ22" s="1165"/>
      <c r="CS22" s="1019">
        <v>1</v>
      </c>
      <c r="CT22" s="572" t="s">
        <v>118</v>
      </c>
      <c r="CU22" s="877"/>
      <c r="CV22" s="1165"/>
      <c r="CX22" s="9">
        <v>105</v>
      </c>
      <c r="CY22" s="6" t="s">
        <v>142</v>
      </c>
      <c r="CZ22" s="6"/>
      <c r="DA22" s="1165"/>
      <c r="DC22" s="9" t="s">
        <v>96</v>
      </c>
      <c r="DD22" s="6" t="s">
        <v>190</v>
      </c>
      <c r="DE22" s="47"/>
      <c r="DF22" s="1147"/>
      <c r="DH22" s="571"/>
      <c r="DI22" s="572"/>
      <c r="DJ22" s="571"/>
      <c r="DK22" s="571"/>
      <c r="DM22" s="9">
        <v>4100</v>
      </c>
      <c r="DN22" s="2" t="s">
        <v>181</v>
      </c>
      <c r="DO22" s="6"/>
      <c r="DP22" s="1165"/>
      <c r="DR22" s="571"/>
      <c r="DS22" s="572"/>
      <c r="DT22" s="571"/>
      <c r="DU22" s="571"/>
      <c r="DW22" s="571"/>
      <c r="DX22" s="572"/>
      <c r="DY22" s="571"/>
      <c r="DZ22" s="571"/>
    </row>
    <row r="23" spans="2:130">
      <c r="B23" s="1019">
        <v>777</v>
      </c>
      <c r="C23" s="572" t="s">
        <v>687</v>
      </c>
      <c r="D23" s="878"/>
      <c r="E23" s="1147"/>
      <c r="G23" s="1019">
        <v>3326</v>
      </c>
      <c r="H23" s="572" t="s">
        <v>599</v>
      </c>
      <c r="I23" s="879"/>
      <c r="J23" s="1165"/>
      <c r="L23" s="1019">
        <v>3608</v>
      </c>
      <c r="M23" s="572" t="s">
        <v>624</v>
      </c>
      <c r="N23" s="880"/>
      <c r="O23" s="1165"/>
      <c r="Q23" s="1019">
        <v>209</v>
      </c>
      <c r="R23" s="572" t="s">
        <v>392</v>
      </c>
      <c r="S23" s="881"/>
      <c r="T23" s="1165"/>
      <c r="V23" s="1019">
        <v>32</v>
      </c>
      <c r="W23" s="572" t="s">
        <v>707</v>
      </c>
      <c r="X23" s="882"/>
      <c r="Y23" s="1165"/>
      <c r="AA23" s="1019">
        <v>996</v>
      </c>
      <c r="AB23" s="572" t="s">
        <v>470</v>
      </c>
      <c r="AC23" s="883"/>
      <c r="AD23" s="1165"/>
      <c r="AF23" s="1019">
        <v>3752</v>
      </c>
      <c r="AG23" s="572" t="s">
        <v>536</v>
      </c>
      <c r="AH23" s="884"/>
      <c r="AI23" s="1165"/>
      <c r="AK23" s="1019">
        <v>3809</v>
      </c>
      <c r="AL23" s="572" t="s">
        <v>431</v>
      </c>
      <c r="AM23" s="885"/>
      <c r="AN23" s="1165"/>
      <c r="AP23" s="1019">
        <v>3817</v>
      </c>
      <c r="AQ23" s="572" t="s">
        <v>615</v>
      </c>
      <c r="AR23" s="886"/>
      <c r="AS23" s="1165"/>
      <c r="AU23" s="1019">
        <v>989</v>
      </c>
      <c r="AV23" s="572" t="s">
        <v>35</v>
      </c>
      <c r="AW23" s="887"/>
      <c r="AX23" s="1165"/>
      <c r="AZ23" s="1019">
        <v>469</v>
      </c>
      <c r="BA23" s="572" t="s">
        <v>8</v>
      </c>
      <c r="BB23" s="888"/>
      <c r="BC23" s="1165"/>
      <c r="BE23" s="1019">
        <v>733</v>
      </c>
      <c r="BF23" s="572" t="s">
        <v>535</v>
      </c>
      <c r="BG23" s="889"/>
      <c r="BH23" s="1165"/>
      <c r="BJ23" s="1019">
        <v>611</v>
      </c>
      <c r="BK23" s="572" t="s">
        <v>62</v>
      </c>
      <c r="BL23" s="890"/>
      <c r="BM23" s="1165"/>
      <c r="BO23" s="1019">
        <v>3853</v>
      </c>
      <c r="BP23" s="572" t="s">
        <v>326</v>
      </c>
      <c r="BQ23" s="891"/>
      <c r="BR23" s="1165"/>
      <c r="BT23" s="1019">
        <v>947</v>
      </c>
      <c r="BU23" s="572" t="s">
        <v>31</v>
      </c>
      <c r="BV23" s="892"/>
      <c r="BW23" s="1165"/>
      <c r="BY23" s="1019">
        <v>400</v>
      </c>
      <c r="BZ23" s="572" t="s">
        <v>363</v>
      </c>
      <c r="CA23" s="893"/>
      <c r="CB23" s="1165"/>
      <c r="CD23" s="1019">
        <v>3774</v>
      </c>
      <c r="CE23" s="572" t="s">
        <v>564</v>
      </c>
      <c r="CF23" s="894"/>
      <c r="CG23" s="1165"/>
      <c r="CI23" s="1019">
        <v>898</v>
      </c>
      <c r="CJ23" s="572" t="s">
        <v>404</v>
      </c>
      <c r="CK23" s="895"/>
      <c r="CL23" s="1165"/>
      <c r="CN23" s="1019">
        <v>7</v>
      </c>
      <c r="CO23" s="572" t="s">
        <v>691</v>
      </c>
      <c r="CP23" s="573"/>
      <c r="CQ23" s="1165"/>
      <c r="CS23" s="1019">
        <v>2</v>
      </c>
      <c r="CT23" s="572" t="s">
        <v>119</v>
      </c>
      <c r="CU23" s="896"/>
      <c r="CV23" s="1165"/>
      <c r="CX23" s="9">
        <v>69</v>
      </c>
      <c r="CY23" s="6" t="s">
        <v>136</v>
      </c>
      <c r="CZ23" s="6"/>
      <c r="DA23" s="1165"/>
      <c r="DC23" s="9" t="s">
        <v>102</v>
      </c>
      <c r="DD23" s="6" t="s">
        <v>197</v>
      </c>
      <c r="DE23" s="54"/>
      <c r="DF23" s="1149"/>
      <c r="DH23" s="571"/>
      <c r="DI23" s="572"/>
      <c r="DJ23" s="571"/>
      <c r="DK23" s="571"/>
      <c r="DM23" s="9">
        <v>4110</v>
      </c>
      <c r="DN23" s="2" t="s">
        <v>182</v>
      </c>
      <c r="DO23" s="6"/>
      <c r="DP23" s="1165"/>
      <c r="DR23" s="571"/>
      <c r="DS23" s="572"/>
      <c r="DT23" s="571"/>
      <c r="DU23" s="571"/>
      <c r="DW23" s="571"/>
      <c r="DX23" s="572"/>
      <c r="DY23" s="571"/>
      <c r="DZ23" s="571"/>
    </row>
    <row r="24" spans="2:130" ht="17" thickBot="1">
      <c r="B24" s="1019">
        <v>3801</v>
      </c>
      <c r="C24" s="572" t="s">
        <v>423</v>
      </c>
      <c r="D24" s="897"/>
      <c r="E24" s="1147"/>
      <c r="G24" s="1019">
        <v>899</v>
      </c>
      <c r="H24" s="572" t="s">
        <v>471</v>
      </c>
      <c r="I24" s="898"/>
      <c r="J24" s="1165"/>
      <c r="L24" s="1019">
        <v>3607</v>
      </c>
      <c r="M24" s="572" t="s">
        <v>621</v>
      </c>
      <c r="N24" s="899"/>
      <c r="O24" s="1165"/>
      <c r="Q24" s="1019">
        <v>208</v>
      </c>
      <c r="R24" s="572" t="s">
        <v>429</v>
      </c>
      <c r="S24" s="858"/>
      <c r="T24" s="1165"/>
      <c r="V24" s="1019">
        <v>157</v>
      </c>
      <c r="W24" s="572" t="s">
        <v>612</v>
      </c>
      <c r="X24" s="900"/>
      <c r="Y24" s="1165"/>
      <c r="AA24" s="1019">
        <v>3843</v>
      </c>
      <c r="AB24" s="572" t="s">
        <v>73</v>
      </c>
      <c r="AC24" s="901"/>
      <c r="AD24" s="1165"/>
      <c r="AF24" s="1019">
        <v>932</v>
      </c>
      <c r="AG24" s="572" t="s">
        <v>604</v>
      </c>
      <c r="AH24" s="902"/>
      <c r="AI24" s="1165"/>
      <c r="AK24" s="1019">
        <v>3808</v>
      </c>
      <c r="AL24" s="572" t="s">
        <v>673</v>
      </c>
      <c r="AM24" s="903"/>
      <c r="AN24" s="1165"/>
      <c r="AP24" s="1019">
        <v>3816</v>
      </c>
      <c r="AQ24" s="572" t="s">
        <v>74</v>
      </c>
      <c r="AR24" s="904"/>
      <c r="AS24" s="1165"/>
      <c r="AU24" s="1019">
        <v>988</v>
      </c>
      <c r="AV24" s="572" t="s">
        <v>460</v>
      </c>
      <c r="AW24" s="905"/>
      <c r="AX24" s="1165"/>
      <c r="AZ24" s="1019">
        <v>937</v>
      </c>
      <c r="BA24" s="572" t="s">
        <v>508</v>
      </c>
      <c r="BB24" s="906"/>
      <c r="BC24" s="1165"/>
      <c r="BE24" s="1019">
        <v>732</v>
      </c>
      <c r="BF24" s="572" t="s">
        <v>20</v>
      </c>
      <c r="BG24" s="907"/>
      <c r="BH24" s="1165"/>
      <c r="BJ24" s="1019">
        <v>610</v>
      </c>
      <c r="BK24" s="572" t="s">
        <v>348</v>
      </c>
      <c r="BL24" s="908"/>
      <c r="BM24" s="1165"/>
      <c r="BO24" s="1019">
        <v>3827</v>
      </c>
      <c r="BP24" s="572" t="s">
        <v>703</v>
      </c>
      <c r="BQ24" s="909"/>
      <c r="BR24" s="1165"/>
      <c r="BT24" s="1019">
        <v>946</v>
      </c>
      <c r="BU24" s="572" t="s">
        <v>513</v>
      </c>
      <c r="BV24" s="910"/>
      <c r="BW24" s="1165"/>
      <c r="BY24" s="1019">
        <v>300</v>
      </c>
      <c r="BZ24" s="572" t="s">
        <v>402</v>
      </c>
      <c r="CA24" s="911"/>
      <c r="CB24" s="1165"/>
      <c r="CD24" s="1019">
        <v>950</v>
      </c>
      <c r="CE24" s="572" t="s">
        <v>623</v>
      </c>
      <c r="CF24" s="912"/>
      <c r="CG24" s="1165"/>
      <c r="CI24" s="1019">
        <v>938</v>
      </c>
      <c r="CJ24" s="572" t="s">
        <v>675</v>
      </c>
      <c r="CK24" s="913"/>
      <c r="CL24" s="1165"/>
      <c r="CN24" s="1019">
        <v>8</v>
      </c>
      <c r="CO24" s="572" t="s">
        <v>716</v>
      </c>
      <c r="CP24" s="914"/>
      <c r="CQ24" s="1165"/>
      <c r="CS24" s="1019">
        <v>3</v>
      </c>
      <c r="CT24" s="572" t="s">
        <v>720</v>
      </c>
      <c r="CU24" s="915"/>
      <c r="CV24" s="1165"/>
      <c r="CX24" s="10">
        <v>53</v>
      </c>
      <c r="CY24" s="16" t="s">
        <v>134</v>
      </c>
      <c r="CZ24" s="16"/>
      <c r="DA24" s="1166"/>
      <c r="DC24" s="9" t="s">
        <v>101</v>
      </c>
      <c r="DD24" s="6" t="s">
        <v>207</v>
      </c>
      <c r="DE24" s="64"/>
      <c r="DF24" s="1149"/>
      <c r="DH24" s="571"/>
      <c r="DI24" s="572"/>
      <c r="DJ24" s="571"/>
      <c r="DK24" s="571"/>
      <c r="DM24" s="9">
        <v>4120</v>
      </c>
      <c r="DN24" s="2" t="s">
        <v>183</v>
      </c>
      <c r="DO24" s="6"/>
      <c r="DP24" s="1165"/>
      <c r="DR24" s="571"/>
      <c r="DS24" s="572"/>
      <c r="DT24" s="571"/>
      <c r="DU24" s="571"/>
      <c r="DW24" s="571"/>
      <c r="DX24" s="572"/>
      <c r="DY24" s="571"/>
      <c r="DZ24" s="571"/>
    </row>
    <row r="25" spans="2:130">
      <c r="B25" s="1019">
        <v>666</v>
      </c>
      <c r="C25" s="572" t="s">
        <v>456</v>
      </c>
      <c r="D25" s="916"/>
      <c r="E25" s="1147"/>
      <c r="G25" s="1019">
        <v>335</v>
      </c>
      <c r="H25" s="572" t="s">
        <v>4</v>
      </c>
      <c r="I25" s="917"/>
      <c r="J25" s="1165"/>
      <c r="L25" s="1019">
        <v>718</v>
      </c>
      <c r="M25" s="572" t="s">
        <v>18</v>
      </c>
      <c r="N25" s="918"/>
      <c r="O25" s="1165"/>
      <c r="Q25" s="1019">
        <v>3837</v>
      </c>
      <c r="R25" s="572" t="s">
        <v>684</v>
      </c>
      <c r="S25" s="919"/>
      <c r="T25" s="1165"/>
      <c r="V25" s="1019">
        <v>794</v>
      </c>
      <c r="W25" s="572" t="s">
        <v>591</v>
      </c>
      <c r="X25" s="920"/>
      <c r="Y25" s="1165"/>
      <c r="AA25" s="1019">
        <v>995</v>
      </c>
      <c r="AB25" s="572" t="s">
        <v>321</v>
      </c>
      <c r="AC25" s="921"/>
      <c r="AD25" s="1165"/>
      <c r="AF25" s="1019">
        <v>931</v>
      </c>
      <c r="AG25" s="572" t="s">
        <v>503</v>
      </c>
      <c r="AH25" s="922"/>
      <c r="AI25" s="1165"/>
      <c r="AK25" s="1019">
        <v>928</v>
      </c>
      <c r="AL25" s="572" t="s">
        <v>598</v>
      </c>
      <c r="AM25" s="923"/>
      <c r="AN25" s="1165"/>
      <c r="AP25" s="1019">
        <v>163</v>
      </c>
      <c r="AQ25" s="572" t="s">
        <v>55</v>
      </c>
      <c r="AR25" s="924"/>
      <c r="AS25" s="1165"/>
      <c r="AU25" s="1019">
        <v>987</v>
      </c>
      <c r="AV25" s="572" t="s">
        <v>400</v>
      </c>
      <c r="AW25" s="925"/>
      <c r="AX25" s="1165"/>
      <c r="AZ25" s="1019">
        <v>936</v>
      </c>
      <c r="BA25" s="572" t="s">
        <v>435</v>
      </c>
      <c r="BB25" s="926"/>
      <c r="BC25" s="1165"/>
      <c r="BE25" s="1019">
        <v>730</v>
      </c>
      <c r="BF25" s="572" t="s">
        <v>448</v>
      </c>
      <c r="BG25" s="927"/>
      <c r="BH25" s="1165"/>
      <c r="BJ25" s="1019">
        <v>3047</v>
      </c>
      <c r="BK25" s="572" t="s">
        <v>580</v>
      </c>
      <c r="BL25" s="928"/>
      <c r="BM25" s="1165"/>
      <c r="BO25" s="1019">
        <v>977</v>
      </c>
      <c r="BP25" s="572" t="s">
        <v>658</v>
      </c>
      <c r="BQ25" s="929"/>
      <c r="BR25" s="1165"/>
      <c r="BT25" s="1019">
        <v>900</v>
      </c>
      <c r="BU25" s="572" t="s">
        <v>324</v>
      </c>
      <c r="BV25" s="930"/>
      <c r="BW25" s="1165"/>
      <c r="BY25" s="1019">
        <v>225</v>
      </c>
      <c r="BZ25" s="572" t="s">
        <v>686</v>
      </c>
      <c r="CA25" s="931"/>
      <c r="CB25" s="1165"/>
      <c r="CD25" s="1019">
        <v>3064</v>
      </c>
      <c r="CE25" s="572" t="s">
        <v>70</v>
      </c>
      <c r="CF25" s="932"/>
      <c r="CG25" s="1165"/>
      <c r="CI25" s="1019">
        <v>3371</v>
      </c>
      <c r="CJ25" s="572" t="s">
        <v>40</v>
      </c>
      <c r="CK25" s="933"/>
      <c r="CL25" s="1165"/>
      <c r="CN25" s="1019">
        <v>3866</v>
      </c>
      <c r="CO25" s="572" t="s">
        <v>672</v>
      </c>
      <c r="CP25" s="934"/>
      <c r="CQ25" s="1165"/>
      <c r="CS25" s="1019">
        <v>4</v>
      </c>
      <c r="CT25" s="572" t="s">
        <v>719</v>
      </c>
      <c r="CU25" s="935"/>
      <c r="CV25" s="1165"/>
      <c r="CX25" s="571"/>
      <c r="CY25" s="572"/>
      <c r="CZ25" s="571"/>
      <c r="DA25" s="571"/>
      <c r="DC25" s="9" t="s">
        <v>104</v>
      </c>
      <c r="DD25" s="6" t="s">
        <v>191</v>
      </c>
      <c r="DE25" s="48"/>
      <c r="DF25" s="1147"/>
      <c r="DH25" s="571"/>
      <c r="DI25" s="572"/>
      <c r="DJ25" s="571"/>
      <c r="DK25" s="571"/>
      <c r="DM25" s="9">
        <v>4124</v>
      </c>
      <c r="DN25" s="2" t="s">
        <v>150</v>
      </c>
      <c r="DO25" s="6"/>
      <c r="DP25" s="1165"/>
      <c r="DR25" s="571"/>
      <c r="DS25" s="572"/>
      <c r="DT25" s="571"/>
      <c r="DU25" s="571"/>
      <c r="DW25" s="571"/>
      <c r="DX25" s="572"/>
      <c r="DY25" s="571"/>
      <c r="DZ25" s="571"/>
    </row>
    <row r="26" spans="2:130">
      <c r="B26" s="1019">
        <v>321</v>
      </c>
      <c r="C26" s="572" t="s">
        <v>51</v>
      </c>
      <c r="D26" s="936"/>
      <c r="E26" s="1147"/>
      <c r="G26" s="1019">
        <v>326</v>
      </c>
      <c r="H26" s="572" t="s">
        <v>418</v>
      </c>
      <c r="I26" s="937"/>
      <c r="J26" s="1165"/>
      <c r="L26" s="1019">
        <v>917</v>
      </c>
      <c r="M26" s="572" t="s">
        <v>490</v>
      </c>
      <c r="N26" s="938"/>
      <c r="O26" s="1165"/>
      <c r="Q26" s="1019">
        <v>327</v>
      </c>
      <c r="R26" s="572" t="s">
        <v>12</v>
      </c>
      <c r="S26" s="939"/>
      <c r="T26" s="1165"/>
      <c r="V26" s="1019">
        <v>793</v>
      </c>
      <c r="W26" s="572" t="s">
        <v>499</v>
      </c>
      <c r="X26" s="940"/>
      <c r="Y26" s="1165"/>
      <c r="AA26" s="1019">
        <v>3846</v>
      </c>
      <c r="AB26" s="572" t="s">
        <v>538</v>
      </c>
      <c r="AC26" s="941"/>
      <c r="AD26" s="1165"/>
      <c r="AF26" s="1019">
        <v>930</v>
      </c>
      <c r="AG26" s="572" t="s">
        <v>351</v>
      </c>
      <c r="AH26" s="942"/>
      <c r="AI26" s="1165"/>
      <c r="AK26" s="1019">
        <v>927</v>
      </c>
      <c r="AL26" s="572" t="s">
        <v>594</v>
      </c>
      <c r="AM26" s="943"/>
      <c r="AN26" s="1165"/>
      <c r="AP26" s="1019">
        <v>3815</v>
      </c>
      <c r="AQ26" s="572" t="s">
        <v>361</v>
      </c>
      <c r="AR26" s="944"/>
      <c r="AS26" s="1165"/>
      <c r="AU26" s="1019">
        <v>986</v>
      </c>
      <c r="AV26" s="572" t="s">
        <v>450</v>
      </c>
      <c r="AW26" s="945"/>
      <c r="AX26" s="1165"/>
      <c r="AZ26" s="1019">
        <v>935</v>
      </c>
      <c r="BA26" s="572" t="s">
        <v>358</v>
      </c>
      <c r="BB26" s="946"/>
      <c r="BC26" s="1165"/>
      <c r="BE26" s="1019">
        <v>3013</v>
      </c>
      <c r="BF26" s="572" t="s">
        <v>553</v>
      </c>
      <c r="BG26" s="947"/>
      <c r="BH26" s="1165"/>
      <c r="BJ26" s="1019">
        <v>3046</v>
      </c>
      <c r="BK26" s="572" t="s">
        <v>491</v>
      </c>
      <c r="BL26" s="948"/>
      <c r="BM26" s="1165"/>
      <c r="BO26" s="1019">
        <v>976</v>
      </c>
      <c r="BP26" s="572" t="s">
        <v>533</v>
      </c>
      <c r="BQ26" s="949"/>
      <c r="BR26" s="1165"/>
      <c r="BT26" s="1019">
        <v>967</v>
      </c>
      <c r="BU26" s="572" t="s">
        <v>552</v>
      </c>
      <c r="BV26" s="950"/>
      <c r="BW26" s="1165"/>
      <c r="BY26" s="1019">
        <v>224</v>
      </c>
      <c r="BZ26" s="572" t="s">
        <v>659</v>
      </c>
      <c r="CA26" s="951"/>
      <c r="CB26" s="1165"/>
      <c r="CD26" s="1019">
        <v>407</v>
      </c>
      <c r="CE26" s="572" t="s">
        <v>368</v>
      </c>
      <c r="CF26" s="952"/>
      <c r="CG26" s="1165"/>
      <c r="CI26" s="1019">
        <v>543</v>
      </c>
      <c r="CJ26" s="572" t="s">
        <v>667</v>
      </c>
      <c r="CK26" s="953"/>
      <c r="CL26" s="1165"/>
      <c r="CN26" s="1019">
        <v>842</v>
      </c>
      <c r="CO26" s="572" t="s">
        <v>656</v>
      </c>
      <c r="CP26" s="954"/>
      <c r="CQ26" s="1165"/>
      <c r="CS26" s="1019">
        <v>535</v>
      </c>
      <c r="CT26" s="572" t="s">
        <v>549</v>
      </c>
      <c r="CU26" s="797"/>
      <c r="CV26" s="1165"/>
      <c r="CX26" s="571"/>
      <c r="CY26" s="572"/>
      <c r="CZ26" s="571"/>
      <c r="DA26" s="571"/>
      <c r="DC26" s="9" t="s">
        <v>114</v>
      </c>
      <c r="DD26" s="6" t="s">
        <v>939</v>
      </c>
      <c r="DE26" s="556"/>
      <c r="DF26" s="1149"/>
      <c r="DH26" s="571"/>
      <c r="DI26" s="572"/>
      <c r="DJ26" s="571"/>
      <c r="DK26" s="571"/>
      <c r="DM26" s="9">
        <v>4126</v>
      </c>
      <c r="DN26" s="2" t="s">
        <v>151</v>
      </c>
      <c r="DP26" s="1165"/>
      <c r="DR26" s="571"/>
      <c r="DS26" s="572"/>
      <c r="DT26" s="571"/>
      <c r="DU26" s="571"/>
      <c r="DW26" s="571"/>
      <c r="DX26" s="572"/>
      <c r="DY26" s="571"/>
      <c r="DZ26" s="571"/>
    </row>
    <row r="27" spans="2:130" ht="17" thickBot="1">
      <c r="B27" s="1020">
        <v>498</v>
      </c>
      <c r="C27" s="567" t="s">
        <v>393</v>
      </c>
      <c r="D27" s="955"/>
      <c r="E27" s="1163"/>
      <c r="G27" s="1019">
        <v>151</v>
      </c>
      <c r="H27" s="572" t="s">
        <v>50</v>
      </c>
      <c r="I27" s="956"/>
      <c r="J27" s="1168"/>
      <c r="L27" s="1019">
        <v>915</v>
      </c>
      <c r="M27" s="572" t="s">
        <v>334</v>
      </c>
      <c r="N27" s="957"/>
      <c r="O27" s="1165"/>
      <c r="Q27" s="1019">
        <v>153</v>
      </c>
      <c r="R27" s="572" t="s">
        <v>52</v>
      </c>
      <c r="S27" s="958"/>
      <c r="T27" s="1165"/>
      <c r="V27" s="1019">
        <v>3807</v>
      </c>
      <c r="W27" s="572" t="s">
        <v>72</v>
      </c>
      <c r="X27" s="959"/>
      <c r="Y27" s="1165"/>
      <c r="AA27" s="1019">
        <v>3845</v>
      </c>
      <c r="AB27" s="572" t="s">
        <v>461</v>
      </c>
      <c r="AC27" s="960"/>
      <c r="AD27" s="1165"/>
      <c r="AF27" s="1021">
        <v>3750</v>
      </c>
      <c r="AG27" s="1022" t="s">
        <v>452</v>
      </c>
      <c r="AH27" s="1035"/>
      <c r="AI27" s="1166"/>
      <c r="AK27" s="1019">
        <v>926</v>
      </c>
      <c r="AL27" s="572" t="s">
        <v>500</v>
      </c>
      <c r="AM27" s="961"/>
      <c r="AN27" s="1165"/>
      <c r="AP27" s="1019">
        <v>561</v>
      </c>
      <c r="AQ27" s="572" t="s">
        <v>414</v>
      </c>
      <c r="AR27" s="962"/>
      <c r="AS27" s="1165"/>
      <c r="AU27" s="1019">
        <v>772</v>
      </c>
      <c r="AV27" s="572" t="s">
        <v>565</v>
      </c>
      <c r="AW27" s="963"/>
      <c r="AX27" s="1165"/>
      <c r="AZ27" s="1019">
        <v>934</v>
      </c>
      <c r="BA27" s="572" t="s">
        <v>67</v>
      </c>
      <c r="BB27" s="964"/>
      <c r="BC27" s="1165"/>
      <c r="BE27" s="1019">
        <v>3012</v>
      </c>
      <c r="BF27" s="572" t="s">
        <v>473</v>
      </c>
      <c r="BG27" s="965"/>
      <c r="BH27" s="1165"/>
      <c r="BJ27" s="1019">
        <v>3045</v>
      </c>
      <c r="BK27" s="572" t="s">
        <v>335</v>
      </c>
      <c r="BL27" s="966"/>
      <c r="BM27" s="1165"/>
      <c r="BO27" s="1019">
        <v>3826</v>
      </c>
      <c r="BP27" s="572" t="s">
        <v>76</v>
      </c>
      <c r="BQ27" s="967"/>
      <c r="BR27" s="1165"/>
      <c r="BT27" s="1019">
        <v>3824</v>
      </c>
      <c r="BU27" s="572" t="s">
        <v>629</v>
      </c>
      <c r="BV27" s="968"/>
      <c r="BW27" s="1165"/>
      <c r="BY27" s="1019">
        <v>152</v>
      </c>
      <c r="BZ27" s="572" t="s">
        <v>369</v>
      </c>
      <c r="CA27" s="969"/>
      <c r="CB27" s="1165"/>
      <c r="CD27" s="1019">
        <v>3772</v>
      </c>
      <c r="CE27" s="572" t="s">
        <v>412</v>
      </c>
      <c r="CF27" s="970"/>
      <c r="CG27" s="1165"/>
      <c r="CI27" s="1019">
        <v>3864</v>
      </c>
      <c r="CJ27" s="572" t="s">
        <v>578</v>
      </c>
      <c r="CK27" s="971"/>
      <c r="CL27" s="1165"/>
      <c r="CN27" s="1019">
        <v>841</v>
      </c>
      <c r="CO27" s="572" t="s">
        <v>654</v>
      </c>
      <c r="CP27" s="972"/>
      <c r="CQ27" s="1165"/>
      <c r="CS27" s="1019">
        <v>168</v>
      </c>
      <c r="CT27" s="572" t="s">
        <v>59</v>
      </c>
      <c r="CU27" s="973"/>
      <c r="CV27" s="1165"/>
      <c r="CX27" s="571"/>
      <c r="CY27" s="572"/>
      <c r="CZ27" s="571"/>
      <c r="DA27" s="571"/>
      <c r="DC27" s="9" t="s">
        <v>115</v>
      </c>
      <c r="DD27" s="6" t="s">
        <v>940</v>
      </c>
      <c r="DE27" s="528"/>
      <c r="DF27" s="1149"/>
      <c r="DH27" s="571"/>
      <c r="DI27" s="572"/>
      <c r="DJ27" s="571"/>
      <c r="DK27" s="571"/>
      <c r="DM27" s="10">
        <v>4128</v>
      </c>
      <c r="DN27" s="4" t="s">
        <v>152</v>
      </c>
      <c r="DO27" s="16"/>
      <c r="DP27" s="1166"/>
      <c r="DR27" s="571"/>
      <c r="DS27" s="572"/>
      <c r="DT27" s="571"/>
      <c r="DU27" s="571"/>
      <c r="DW27" s="571"/>
      <c r="DX27" s="572"/>
      <c r="DY27" s="571"/>
      <c r="DZ27" s="571"/>
    </row>
    <row r="28" spans="2:130" ht="17" thickBot="1">
      <c r="B28" s="1020">
        <v>816</v>
      </c>
      <c r="C28" s="567" t="s">
        <v>26</v>
      </c>
      <c r="D28" s="974"/>
      <c r="E28" s="1147"/>
      <c r="G28" s="1019">
        <v>3354</v>
      </c>
      <c r="H28" s="572" t="s">
        <v>613</v>
      </c>
      <c r="I28" s="975"/>
      <c r="J28" s="1165"/>
      <c r="L28" s="1019">
        <v>33</v>
      </c>
      <c r="M28" s="572" t="s">
        <v>130</v>
      </c>
      <c r="N28" s="976"/>
      <c r="O28" s="1165"/>
      <c r="Q28" s="1019">
        <v>554</v>
      </c>
      <c r="R28" s="572" t="s">
        <v>558</v>
      </c>
      <c r="S28" s="977"/>
      <c r="T28" s="1165"/>
      <c r="V28" s="1019">
        <v>792</v>
      </c>
      <c r="W28" s="572" t="s">
        <v>343</v>
      </c>
      <c r="X28" s="978"/>
      <c r="Y28" s="1165"/>
      <c r="AA28" s="1021">
        <v>3844</v>
      </c>
      <c r="AB28" s="1022" t="s">
        <v>401</v>
      </c>
      <c r="AC28" s="1033"/>
      <c r="AD28" s="1166"/>
      <c r="AH28" s="517" t="s">
        <v>290</v>
      </c>
      <c r="AI28" s="517"/>
      <c r="AK28" s="1019">
        <v>3768</v>
      </c>
      <c r="AL28" s="572" t="s">
        <v>325</v>
      </c>
      <c r="AM28" s="979"/>
      <c r="AN28" s="1165"/>
      <c r="AP28" s="1019">
        <v>3813</v>
      </c>
      <c r="AQ28" s="572" t="s">
        <v>608</v>
      </c>
      <c r="AR28" s="980"/>
      <c r="AS28" s="1165"/>
      <c r="AU28" s="1019">
        <v>3348</v>
      </c>
      <c r="AV28" s="572" t="s">
        <v>609</v>
      </c>
      <c r="AW28" s="981"/>
      <c r="AX28" s="1165"/>
      <c r="AZ28" s="1019">
        <v>3364</v>
      </c>
      <c r="BA28" s="572" t="s">
        <v>39</v>
      </c>
      <c r="BB28" s="982"/>
      <c r="BC28" s="1165"/>
      <c r="BE28" s="1019">
        <v>3011</v>
      </c>
      <c r="BF28" s="572" t="s">
        <v>323</v>
      </c>
      <c r="BG28" s="983"/>
      <c r="BH28" s="1165"/>
      <c r="BJ28" s="1021">
        <v>167</v>
      </c>
      <c r="BK28" s="1022" t="s">
        <v>57</v>
      </c>
      <c r="BL28" s="1047"/>
      <c r="BM28" s="1166"/>
      <c r="BO28" s="1021">
        <v>975</v>
      </c>
      <c r="BP28" s="1022" t="s">
        <v>397</v>
      </c>
      <c r="BQ28" s="1049"/>
      <c r="BR28" s="1166"/>
      <c r="BT28" s="1019">
        <v>3341</v>
      </c>
      <c r="BU28" s="572" t="s">
        <v>37</v>
      </c>
      <c r="BV28" s="984"/>
      <c r="BW28" s="1165"/>
      <c r="BY28" s="1019">
        <v>223</v>
      </c>
      <c r="BZ28" s="572" t="s">
        <v>581</v>
      </c>
      <c r="CA28" s="715"/>
      <c r="CB28" s="1165"/>
      <c r="CD28" s="1021">
        <v>632</v>
      </c>
      <c r="CE28" s="1022" t="s">
        <v>674</v>
      </c>
      <c r="CF28" s="1055"/>
      <c r="CG28" s="1166"/>
      <c r="CI28" s="1019">
        <v>3863</v>
      </c>
      <c r="CJ28" s="572" t="s">
        <v>488</v>
      </c>
      <c r="CK28" s="985"/>
      <c r="CL28" s="1165"/>
      <c r="CN28" s="1019">
        <v>840</v>
      </c>
      <c r="CO28" s="572" t="s">
        <v>531</v>
      </c>
      <c r="CP28" s="986"/>
      <c r="CQ28" s="1165"/>
      <c r="CS28" s="1019">
        <v>169</v>
      </c>
      <c r="CT28" s="572" t="s">
        <v>49</v>
      </c>
      <c r="CU28" s="987"/>
      <c r="CV28" s="1165"/>
      <c r="CX28" s="571"/>
      <c r="CY28" s="572"/>
      <c r="CZ28" s="571"/>
      <c r="DA28" s="571"/>
      <c r="DC28" s="10" t="s">
        <v>116</v>
      </c>
      <c r="DD28" s="16" t="s">
        <v>117</v>
      </c>
      <c r="DE28" s="1064"/>
      <c r="DF28" s="1152"/>
      <c r="DH28" s="571"/>
      <c r="DI28" s="572"/>
      <c r="DJ28" s="571"/>
      <c r="DK28" s="571"/>
      <c r="DM28" s="571"/>
      <c r="DN28" s="572"/>
      <c r="DO28" s="571"/>
      <c r="DP28" s="571"/>
      <c r="DR28" s="571"/>
      <c r="DS28" s="572"/>
      <c r="DT28" s="571"/>
      <c r="DU28" s="571"/>
      <c r="DW28" s="571"/>
      <c r="DX28" s="572"/>
      <c r="DY28" s="571"/>
      <c r="DZ28" s="571"/>
    </row>
    <row r="29" spans="2:130">
      <c r="B29" s="1019">
        <v>815</v>
      </c>
      <c r="C29" s="572" t="s">
        <v>511</v>
      </c>
      <c r="D29" s="988"/>
      <c r="E29" s="1147"/>
      <c r="G29" s="1019">
        <v>3733</v>
      </c>
      <c r="H29" s="572" t="s">
        <v>42</v>
      </c>
      <c r="I29" s="989"/>
      <c r="J29" s="1165"/>
      <c r="L29" s="1019">
        <v>34</v>
      </c>
      <c r="M29" s="572" t="s">
        <v>706</v>
      </c>
      <c r="N29" s="990"/>
      <c r="O29" s="1165"/>
      <c r="Q29" s="1019">
        <v>553</v>
      </c>
      <c r="R29" s="572" t="s">
        <v>12</v>
      </c>
      <c r="S29" s="991"/>
      <c r="T29" s="1165"/>
      <c r="V29" s="1019">
        <v>158</v>
      </c>
      <c r="W29" s="572" t="s">
        <v>377</v>
      </c>
      <c r="X29" s="992"/>
      <c r="Y29" s="1165"/>
      <c r="AK29" s="1019">
        <v>924</v>
      </c>
      <c r="AL29" s="596" t="s">
        <v>427</v>
      </c>
      <c r="AM29" s="993"/>
      <c r="AN29" s="1165"/>
      <c r="AP29" s="1019">
        <v>503</v>
      </c>
      <c r="AQ29" s="572" t="s">
        <v>534</v>
      </c>
      <c r="AR29" s="994"/>
      <c r="AS29" s="1165"/>
      <c r="AU29" s="1019">
        <v>3347</v>
      </c>
      <c r="AV29" s="572" t="s">
        <v>506</v>
      </c>
      <c r="AW29" s="995"/>
      <c r="AX29" s="1165"/>
      <c r="AZ29" s="1019">
        <v>3363</v>
      </c>
      <c r="BA29" s="572" t="s">
        <v>512</v>
      </c>
      <c r="BB29" s="996"/>
      <c r="BC29" s="1165"/>
      <c r="BE29" s="1019">
        <v>372</v>
      </c>
      <c r="BF29" s="572" t="s">
        <v>611</v>
      </c>
      <c r="BG29" s="997"/>
      <c r="BH29" s="1165"/>
      <c r="BT29" s="1019">
        <v>3340</v>
      </c>
      <c r="BU29" s="572" t="s">
        <v>504</v>
      </c>
      <c r="BV29" s="998"/>
      <c r="BW29" s="1165"/>
      <c r="BY29" s="1019">
        <v>3722</v>
      </c>
      <c r="BZ29" s="572" t="s">
        <v>527</v>
      </c>
      <c r="CA29" s="999"/>
      <c r="CB29" s="1165"/>
      <c r="CI29" s="1019">
        <v>3862</v>
      </c>
      <c r="CJ29" s="572" t="s">
        <v>332</v>
      </c>
      <c r="CK29" s="1000"/>
      <c r="CL29" s="1165"/>
      <c r="CN29" s="1019">
        <v>839</v>
      </c>
      <c r="CO29" s="572" t="s">
        <v>341</v>
      </c>
      <c r="CP29" s="757"/>
      <c r="CQ29" s="1165"/>
      <c r="CS29" s="1019">
        <v>317</v>
      </c>
      <c r="CT29" s="572" t="s">
        <v>49</v>
      </c>
      <c r="CU29" s="1001"/>
      <c r="CV29" s="1165"/>
      <c r="CX29" s="571"/>
      <c r="CY29" s="572"/>
      <c r="CZ29" s="571"/>
      <c r="DA29" s="571"/>
      <c r="DC29" s="571"/>
      <c r="DD29" s="572"/>
      <c r="DE29" s="571"/>
      <c r="DF29" s="571"/>
      <c r="DH29" s="571"/>
      <c r="DI29" s="572"/>
      <c r="DJ29" s="571"/>
      <c r="DK29" s="571"/>
      <c r="DM29" s="571"/>
      <c r="DN29" s="572"/>
      <c r="DO29" s="571"/>
      <c r="DP29" s="571"/>
      <c r="DR29" s="571"/>
      <c r="DS29" s="572"/>
      <c r="DT29" s="571"/>
      <c r="DU29" s="571"/>
      <c r="DW29" s="571"/>
      <c r="DX29" s="572"/>
      <c r="DY29" s="571"/>
      <c r="DZ29" s="571"/>
    </row>
    <row r="30" spans="2:130" ht="17" thickBot="1">
      <c r="B30" s="1021">
        <v>814</v>
      </c>
      <c r="C30" s="1022" t="s">
        <v>365</v>
      </c>
      <c r="D30" s="1023"/>
      <c r="E30" s="1148"/>
      <c r="G30" s="1019">
        <v>3731</v>
      </c>
      <c r="H30" s="572" t="s">
        <v>446</v>
      </c>
      <c r="I30" s="1002"/>
      <c r="J30" s="1165"/>
      <c r="L30" s="1021">
        <v>35</v>
      </c>
      <c r="M30" s="1022" t="s">
        <v>705</v>
      </c>
      <c r="N30" s="1027"/>
      <c r="O30" s="1166"/>
      <c r="Q30" s="1019">
        <v>552</v>
      </c>
      <c r="R30" s="572" t="s">
        <v>476</v>
      </c>
      <c r="S30" s="1003"/>
      <c r="T30" s="1165"/>
      <c r="V30" s="1021">
        <v>791</v>
      </c>
      <c r="W30" s="1022" t="s">
        <v>425</v>
      </c>
      <c r="X30" s="1031"/>
      <c r="Y30" s="1166"/>
      <c r="AK30" s="1019">
        <v>3849</v>
      </c>
      <c r="AL30" s="572" t="s">
        <v>544</v>
      </c>
      <c r="AM30" s="1004"/>
      <c r="AN30" s="1165"/>
      <c r="AP30" s="1019">
        <v>502</v>
      </c>
      <c r="AQ30" s="572" t="s">
        <v>9</v>
      </c>
      <c r="AR30" s="1005"/>
      <c r="AS30" s="1165"/>
      <c r="AU30" s="1019">
        <v>3346</v>
      </c>
      <c r="AV30" s="572" t="s">
        <v>38</v>
      </c>
      <c r="AW30" s="1006"/>
      <c r="AX30" s="1165"/>
      <c r="AZ30" s="1021">
        <v>3362</v>
      </c>
      <c r="BA30" s="1022" t="s">
        <v>366</v>
      </c>
      <c r="BB30" s="1043"/>
      <c r="BC30" s="1166"/>
      <c r="BE30" s="1019">
        <v>371</v>
      </c>
      <c r="BF30" s="572" t="s">
        <v>6</v>
      </c>
      <c r="BG30" s="1007"/>
      <c r="BH30" s="1165"/>
      <c r="BT30" s="1019">
        <v>608</v>
      </c>
      <c r="BU30" s="572" t="s">
        <v>454</v>
      </c>
      <c r="BV30" s="1008"/>
      <c r="BW30" s="1165"/>
      <c r="BY30" s="1019">
        <v>3721</v>
      </c>
      <c r="BZ30" s="572" t="s">
        <v>389</v>
      </c>
      <c r="CA30" s="1009"/>
      <c r="CB30" s="1165"/>
      <c r="CI30" s="1021">
        <v>3031</v>
      </c>
      <c r="CJ30" s="1022" t="s">
        <v>416</v>
      </c>
      <c r="CK30" s="1057"/>
      <c r="CL30" s="1166"/>
      <c r="CN30" s="1021">
        <v>838</v>
      </c>
      <c r="CO30" s="1022" t="s">
        <v>445</v>
      </c>
      <c r="CP30" s="1059"/>
      <c r="CQ30" s="1166"/>
      <c r="CS30" s="1019">
        <v>413</v>
      </c>
      <c r="CT30" s="572" t="s">
        <v>370</v>
      </c>
      <c r="CU30" s="1010"/>
      <c r="CV30" s="1165"/>
      <c r="CX30" s="571"/>
      <c r="CY30" s="572"/>
      <c r="CZ30" s="571"/>
      <c r="DA30" s="571"/>
      <c r="DC30" s="571"/>
      <c r="DD30" s="572"/>
      <c r="DE30" s="571"/>
      <c r="DF30" s="571"/>
      <c r="DH30" s="571"/>
      <c r="DI30" s="572"/>
      <c r="DJ30" s="571"/>
      <c r="DK30" s="571"/>
      <c r="DM30" s="571"/>
      <c r="DN30" s="572"/>
      <c r="DO30" s="571"/>
      <c r="DP30" s="571"/>
      <c r="DR30" s="571"/>
      <c r="DS30" s="572"/>
      <c r="DT30" s="571"/>
      <c r="DU30" s="571"/>
      <c r="DW30" s="571"/>
      <c r="DX30" s="572"/>
      <c r="DY30" s="571"/>
      <c r="DZ30" s="571"/>
    </row>
    <row r="31" spans="2:130" ht="17" thickBot="1">
      <c r="G31" s="1019">
        <v>3350</v>
      </c>
      <c r="H31" s="572" t="s">
        <v>676</v>
      </c>
      <c r="I31" s="1011"/>
      <c r="J31" s="1169"/>
      <c r="Q31" s="1021">
        <v>550</v>
      </c>
      <c r="R31" s="1022" t="s">
        <v>408</v>
      </c>
      <c r="S31" s="1029"/>
      <c r="T31" s="1166"/>
      <c r="AK31" s="1019">
        <v>3848</v>
      </c>
      <c r="AL31" s="572" t="s">
        <v>466</v>
      </c>
      <c r="AM31" s="1012"/>
      <c r="AN31" s="1165"/>
      <c r="AP31" s="1019">
        <v>501</v>
      </c>
      <c r="AQ31" s="572" t="s">
        <v>395</v>
      </c>
      <c r="AR31" s="1013"/>
      <c r="AS31" s="1165"/>
      <c r="AU31" s="1019">
        <v>3345</v>
      </c>
      <c r="AV31" s="572" t="s">
        <v>357</v>
      </c>
      <c r="AW31" s="1014"/>
      <c r="AX31" s="1165"/>
      <c r="BE31" s="1021">
        <v>370</v>
      </c>
      <c r="BF31" s="1022" t="s">
        <v>505</v>
      </c>
      <c r="BG31" s="1045"/>
      <c r="BH31" s="1166"/>
      <c r="BT31" s="1021">
        <v>606</v>
      </c>
      <c r="BU31" s="1022" t="s">
        <v>453</v>
      </c>
      <c r="BV31" s="1051"/>
      <c r="BW31" s="1166"/>
      <c r="BY31" s="1021">
        <v>221</v>
      </c>
      <c r="BZ31" s="1022" t="s">
        <v>449</v>
      </c>
      <c r="CA31" s="1053"/>
      <c r="CB31" s="1166"/>
      <c r="CS31" s="1019">
        <v>3799</v>
      </c>
      <c r="CT31" s="572" t="s">
        <v>422</v>
      </c>
      <c r="CU31" s="1015"/>
      <c r="CV31" s="1165"/>
      <c r="CX31" s="571"/>
      <c r="CY31" s="572"/>
      <c r="CZ31" s="571"/>
      <c r="DA31" s="571"/>
      <c r="DC31" s="12"/>
      <c r="DD31" s="6"/>
      <c r="DE31" s="6"/>
      <c r="DF31" s="6"/>
      <c r="DH31" s="571"/>
      <c r="DI31" s="572"/>
      <c r="DJ31" s="571"/>
      <c r="DK31" s="571"/>
      <c r="DM31" s="571"/>
      <c r="DN31" s="572"/>
      <c r="DO31" s="571"/>
      <c r="DP31" s="571"/>
      <c r="DR31" s="571"/>
      <c r="DS31" s="572"/>
      <c r="DT31" s="571"/>
      <c r="DU31" s="571"/>
      <c r="DW31" s="571"/>
      <c r="DX31" s="572"/>
      <c r="DY31" s="571"/>
      <c r="DZ31" s="571"/>
    </row>
    <row r="32" spans="2:130" ht="17" thickBot="1">
      <c r="G32" s="1021">
        <v>150</v>
      </c>
      <c r="H32" s="1022" t="s">
        <v>456</v>
      </c>
      <c r="I32" s="1025"/>
      <c r="J32" s="1170"/>
      <c r="L32" s="523" t="s">
        <v>1730</v>
      </c>
      <c r="AK32" s="1021">
        <v>3847</v>
      </c>
      <c r="AL32" s="1022" t="s">
        <v>318</v>
      </c>
      <c r="AM32" s="1037"/>
      <c r="AN32" s="1166"/>
      <c r="AP32" s="1021">
        <v>500</v>
      </c>
      <c r="AQ32" s="1022" t="s">
        <v>447</v>
      </c>
      <c r="AR32" s="1039"/>
      <c r="AS32" s="1166"/>
      <c r="AU32" s="1021">
        <v>895</v>
      </c>
      <c r="AV32" s="1022" t="s">
        <v>403</v>
      </c>
      <c r="AW32" s="1041"/>
      <c r="AX32" s="1166"/>
      <c r="CS32" s="1021">
        <v>310</v>
      </c>
      <c r="CT32" s="1022" t="s">
        <v>3</v>
      </c>
      <c r="CU32" s="1061"/>
      <c r="CV32" s="1166"/>
      <c r="CX32" s="571"/>
      <c r="CY32" s="572"/>
      <c r="CZ32" s="571"/>
      <c r="DA32" s="571"/>
      <c r="DC32" s="12"/>
      <c r="DD32" s="6"/>
      <c r="DE32" s="6"/>
      <c r="DF32" s="6"/>
      <c r="DH32" s="571"/>
      <c r="DI32" s="572"/>
      <c r="DJ32" s="571"/>
      <c r="DK32" s="571"/>
      <c r="DM32" s="571"/>
      <c r="DN32" s="572"/>
      <c r="DO32" s="571"/>
      <c r="DP32" s="571"/>
      <c r="DR32" s="571"/>
      <c r="DS32" s="572"/>
      <c r="DT32" s="571"/>
      <c r="DU32" s="571"/>
      <c r="DW32" s="571"/>
      <c r="DX32" s="572"/>
      <c r="DY32" s="571"/>
      <c r="DZ32" s="571"/>
    </row>
    <row r="33" spans="2:110">
      <c r="G33" s="571"/>
      <c r="H33" s="572"/>
      <c r="I33" s="571"/>
      <c r="CS33" s="567" t="s">
        <v>963</v>
      </c>
      <c r="CX33" s="567"/>
      <c r="DC33" s="12"/>
      <c r="DD33" s="6"/>
      <c r="DE33" s="7"/>
      <c r="DF33" s="2"/>
    </row>
    <row r="34" spans="2:110">
      <c r="B34" s="1062" t="s">
        <v>992</v>
      </c>
      <c r="CD34" s="569"/>
      <c r="CE34" s="570"/>
      <c r="CF34" s="569"/>
      <c r="CG34" s="569"/>
      <c r="CH34" s="567"/>
      <c r="CM34" s="567"/>
      <c r="CN34" s="569"/>
      <c r="CO34" s="570"/>
      <c r="CP34" s="569"/>
      <c r="CQ34" s="569"/>
      <c r="CR34" s="567"/>
      <c r="CS34" s="569"/>
      <c r="CT34" s="570"/>
      <c r="CU34" s="569"/>
      <c r="CV34" s="569"/>
      <c r="CW34" s="567"/>
      <c r="CX34" s="569"/>
      <c r="CY34" s="570"/>
      <c r="CZ34" s="569"/>
      <c r="DA34" s="569"/>
      <c r="DB34" s="567"/>
      <c r="DC34" s="567"/>
      <c r="DD34" s="567"/>
      <c r="DE34" s="567"/>
    </row>
    <row r="35" spans="2:110">
      <c r="B35" t="s">
        <v>993</v>
      </c>
      <c r="CH35" s="567"/>
      <c r="CM35" s="567"/>
      <c r="CR35" s="567"/>
      <c r="CW35" s="567"/>
      <c r="DB35" s="567"/>
      <c r="DC35" s="567"/>
      <c r="DD35" s="567"/>
      <c r="DE35" s="567"/>
    </row>
    <row r="36" spans="2:110">
      <c r="B36" t="s">
        <v>994</v>
      </c>
      <c r="CH36" s="567"/>
      <c r="CM36" s="567"/>
      <c r="CR36" s="567"/>
      <c r="CW36" s="567"/>
      <c r="DB36" s="567"/>
      <c r="DC36" s="567"/>
      <c r="DD36" s="567"/>
      <c r="DE36" s="567"/>
    </row>
    <row r="37" spans="2:110">
      <c r="B37" t="s">
        <v>995</v>
      </c>
      <c r="CH37" s="567"/>
      <c r="CM37" s="567"/>
      <c r="CR37" s="567"/>
      <c r="CW37" s="567"/>
      <c r="DB37" s="567"/>
      <c r="DC37" s="567"/>
      <c r="DD37" s="567"/>
      <c r="DE37" s="567"/>
    </row>
    <row r="38" spans="2:110">
      <c r="B38" t="s">
        <v>996</v>
      </c>
      <c r="CH38" s="567"/>
      <c r="CM38" s="567"/>
      <c r="CR38" s="567"/>
      <c r="CW38" s="567"/>
      <c r="DB38" s="567"/>
      <c r="DC38" s="567"/>
      <c r="DD38" s="567"/>
      <c r="DE38" s="567"/>
    </row>
    <row r="39" spans="2:110">
      <c r="B39" t="s">
        <v>997</v>
      </c>
      <c r="C39" s="1062"/>
      <c r="CH39" s="567"/>
      <c r="CM39" s="567"/>
      <c r="CR39" s="567"/>
      <c r="CW39" s="567"/>
      <c r="DB39" s="567"/>
      <c r="DC39" s="567"/>
      <c r="DD39" s="567"/>
      <c r="DE39" s="567"/>
    </row>
    <row r="40" spans="2:110">
      <c r="B40" t="s">
        <v>998</v>
      </c>
      <c r="CH40" s="567"/>
      <c r="CM40" s="567"/>
      <c r="CR40" s="567"/>
      <c r="CW40" s="567"/>
      <c r="DB40" s="567"/>
      <c r="DC40" s="567"/>
      <c r="DD40" s="567"/>
      <c r="DE40" s="567"/>
    </row>
    <row r="41" spans="2:110">
      <c r="CH41" s="567"/>
      <c r="CM41" s="567"/>
      <c r="CR41" s="567"/>
      <c r="CW41" s="567"/>
      <c r="DB41" s="567"/>
      <c r="DC41" s="567"/>
      <c r="DD41" s="567"/>
      <c r="DE41" s="567"/>
    </row>
    <row r="42" spans="2:110">
      <c r="CH42" s="567"/>
      <c r="CM42" s="567"/>
      <c r="CR42" s="567"/>
      <c r="CW42" s="567"/>
      <c r="DB42" s="567"/>
      <c r="DC42" s="567"/>
      <c r="DD42" s="567"/>
      <c r="DE42" s="567"/>
    </row>
    <row r="43" spans="2:110">
      <c r="CH43" s="567"/>
      <c r="CM43" s="567"/>
      <c r="CR43" s="567"/>
      <c r="CW43" s="567"/>
      <c r="DB43" s="567"/>
      <c r="DC43" s="567"/>
      <c r="DD43" s="567"/>
      <c r="DE43" s="567"/>
    </row>
    <row r="44" spans="2:110">
      <c r="CH44" s="567"/>
      <c r="CM44" s="567"/>
      <c r="CR44" s="567"/>
      <c r="CW44" s="567"/>
      <c r="DB44" s="567"/>
      <c r="DC44" s="567"/>
      <c r="DD44" s="567"/>
      <c r="DE44" s="567"/>
    </row>
    <row r="45" spans="2:110">
      <c r="CH45" s="567"/>
      <c r="CM45" s="567"/>
      <c r="CR45" s="567"/>
      <c r="CW45" s="567"/>
      <c r="DB45" s="567"/>
      <c r="DC45" s="567"/>
      <c r="DD45" s="567"/>
      <c r="DE45" s="567"/>
    </row>
    <row r="46" spans="2:110">
      <c r="CH46" s="567"/>
      <c r="CM46" s="567"/>
      <c r="CR46" s="567"/>
      <c r="CW46" s="567"/>
      <c r="DB46" s="567"/>
      <c r="DC46" s="567"/>
      <c r="DD46" s="567"/>
      <c r="DE46" s="567"/>
    </row>
    <row r="47" spans="2:110">
      <c r="CH47" s="567"/>
      <c r="CM47" s="567"/>
      <c r="CR47" s="567"/>
      <c r="CW47" s="567"/>
      <c r="DB47" s="567"/>
      <c r="DC47" s="567"/>
      <c r="DD47" s="567"/>
      <c r="DE47" s="567"/>
    </row>
    <row r="48" spans="2:110">
      <c r="CH48" s="567"/>
      <c r="CM48" s="567"/>
      <c r="CR48" s="567"/>
      <c r="CW48" s="567"/>
      <c r="DB48" s="567"/>
      <c r="DC48" s="567"/>
      <c r="DD48" s="567"/>
      <c r="DE48" s="567"/>
    </row>
    <row r="49" spans="81:109">
      <c r="CH49" s="567"/>
      <c r="CM49" s="567"/>
      <c r="CR49" s="567"/>
      <c r="CW49" s="567"/>
      <c r="DB49" s="567"/>
      <c r="DC49" s="567"/>
      <c r="DD49" s="567"/>
      <c r="DE49" s="567"/>
    </row>
    <row r="50" spans="81:109">
      <c r="CH50" s="567"/>
      <c r="CM50" s="567"/>
      <c r="CR50" s="567"/>
      <c r="CW50" s="567"/>
      <c r="DB50" s="567"/>
      <c r="DC50" s="567"/>
      <c r="DD50" s="567"/>
      <c r="DE50" s="567"/>
    </row>
    <row r="51" spans="81:109">
      <c r="CH51" s="567"/>
      <c r="CM51" s="567"/>
      <c r="CR51" s="567"/>
      <c r="CW51" s="567"/>
      <c r="DB51" s="567"/>
      <c r="DC51" s="567"/>
      <c r="DD51" s="567"/>
      <c r="DE51" s="567"/>
    </row>
    <row r="52" spans="81:109">
      <c r="CH52" s="567"/>
      <c r="CM52" s="567"/>
      <c r="CR52" s="567"/>
      <c r="CW52" s="567"/>
      <c r="DB52" s="567"/>
      <c r="DC52" s="567"/>
      <c r="DD52" s="567"/>
      <c r="DE52" s="567"/>
    </row>
    <row r="53" spans="81:109">
      <c r="CH53" s="567"/>
      <c r="CM53" s="567"/>
      <c r="CR53" s="567"/>
      <c r="CW53" s="567"/>
      <c r="DB53" s="567"/>
      <c r="DC53" s="567"/>
      <c r="DD53" s="567"/>
      <c r="DE53" s="567"/>
    </row>
    <row r="54" spans="81:109">
      <c r="CH54" s="567"/>
      <c r="CM54" s="567"/>
      <c r="CR54" s="567"/>
      <c r="CW54" s="567"/>
      <c r="DB54" s="567"/>
      <c r="DC54" s="567"/>
      <c r="DD54" s="567"/>
      <c r="DE54" s="567"/>
    </row>
    <row r="55" spans="81:109">
      <c r="CH55" s="567"/>
      <c r="CM55" s="567"/>
      <c r="CR55" s="567"/>
      <c r="CW55" s="567"/>
      <c r="DB55" s="567"/>
      <c r="DC55" s="567"/>
      <c r="DD55" s="567"/>
      <c r="DE55" s="567"/>
    </row>
    <row r="56" spans="81:109">
      <c r="CH56" s="567"/>
      <c r="CM56" s="567"/>
      <c r="CR56" s="567"/>
      <c r="CW56" s="567"/>
      <c r="DB56" s="567"/>
      <c r="DC56" s="567"/>
      <c r="DD56" s="567"/>
      <c r="DE56" s="567"/>
    </row>
    <row r="57" spans="81:109">
      <c r="CH57" s="567"/>
      <c r="CM57" s="567"/>
      <c r="CR57" s="567"/>
      <c r="CW57" s="567"/>
      <c r="DB57" s="567"/>
      <c r="DC57" s="567"/>
      <c r="DD57" s="567"/>
      <c r="DE57" s="567"/>
    </row>
    <row r="58" spans="81:109">
      <c r="CH58" s="567"/>
      <c r="CM58" s="567"/>
      <c r="CR58" s="567"/>
      <c r="CW58" s="567"/>
      <c r="DB58" s="567"/>
      <c r="DC58" s="567"/>
      <c r="DD58" s="567"/>
      <c r="DE58" s="567"/>
    </row>
    <row r="59" spans="81:109">
      <c r="CC59" s="567"/>
      <c r="CH59" s="567"/>
      <c r="CM59" s="567"/>
    </row>
  </sheetData>
  <sheetProtection algorithmName="SHA-512" hashValue="DTm7gN4+cpo/8p1zkZqfW+As0X3meq2MT5lgEj39T2AjLSZL/pZQh0kZe6C/wIKB6FM5Q7IWnFIExTh0PvhiOw==" saltValue="dA1Ms2qnep+GGgPEi5OnIg==" spinCount="100000" sheet="1" objects="1" scenarios="1"/>
  <mergeCells count="26">
    <mergeCell ref="DR5:DU5"/>
    <mergeCell ref="DW5:DZ5"/>
    <mergeCell ref="CN5:CQ5"/>
    <mergeCell ref="CS5:CV5"/>
    <mergeCell ref="CX5:DA5"/>
    <mergeCell ref="DC5:DF5"/>
    <mergeCell ref="DH5:DK5"/>
    <mergeCell ref="DM5:DP5"/>
    <mergeCell ref="CI5:CL5"/>
    <mergeCell ref="AF5:AI5"/>
    <mergeCell ref="AK5:AN5"/>
    <mergeCell ref="AP5:AS5"/>
    <mergeCell ref="AU5:AX5"/>
    <mergeCell ref="AZ5:BC5"/>
    <mergeCell ref="BE5:BH5"/>
    <mergeCell ref="BJ5:BM5"/>
    <mergeCell ref="BO5:BR5"/>
    <mergeCell ref="BT5:BW5"/>
    <mergeCell ref="BY5:CB5"/>
    <mergeCell ref="CD5:CG5"/>
    <mergeCell ref="AA5:AD5"/>
    <mergeCell ref="B5:E5"/>
    <mergeCell ref="G5:J5"/>
    <mergeCell ref="L5:O5"/>
    <mergeCell ref="Q5:T5"/>
    <mergeCell ref="V5:Y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19B6-00D0-B24B-8EAF-A60D13D20C2E}">
  <sheetPr>
    <tabColor theme="4"/>
  </sheetPr>
  <dimension ref="A1:D575"/>
  <sheetViews>
    <sheetView topLeftCell="A449" workbookViewId="0">
      <selection activeCell="D483" sqref="D483"/>
    </sheetView>
  </sheetViews>
  <sheetFormatPr baseColWidth="10" defaultColWidth="11" defaultRowHeight="16"/>
  <sheetData>
    <row r="1" spans="1:4">
      <c r="A1" s="1016">
        <v>3713</v>
      </c>
      <c r="B1" s="1017" t="s">
        <v>639</v>
      </c>
      <c r="C1">
        <f>'DMC Threads - By Color'!E7</f>
        <v>0</v>
      </c>
      <c r="D1">
        <v>1</v>
      </c>
    </row>
    <row r="2" spans="1:4">
      <c r="A2" s="1019">
        <v>761</v>
      </c>
      <c r="B2" s="572" t="s">
        <v>559</v>
      </c>
      <c r="C2">
        <f>'DMC Threads - By Color'!E8</f>
        <v>0</v>
      </c>
      <c r="D2">
        <v>1</v>
      </c>
    </row>
    <row r="3" spans="1:4">
      <c r="A3" s="1019">
        <v>760</v>
      </c>
      <c r="B3" s="572" t="s">
        <v>23</v>
      </c>
      <c r="C3">
        <f>'DMC Threads - By Color'!E9</f>
        <v>0</v>
      </c>
      <c r="D3">
        <v>1</v>
      </c>
    </row>
    <row r="4" spans="1:4">
      <c r="A4" s="1019">
        <v>3712</v>
      </c>
      <c r="B4" s="596" t="s">
        <v>521</v>
      </c>
      <c r="C4">
        <f>'DMC Threads - By Color'!E10</f>
        <v>0</v>
      </c>
      <c r="D4">
        <v>1</v>
      </c>
    </row>
    <row r="5" spans="1:4">
      <c r="A5" s="1019">
        <v>3328</v>
      </c>
      <c r="B5" s="572" t="s">
        <v>352</v>
      </c>
      <c r="C5">
        <f>'DMC Threads - By Color'!E11</f>
        <v>0</v>
      </c>
      <c r="D5">
        <v>1</v>
      </c>
    </row>
    <row r="6" spans="1:4">
      <c r="A6" s="1019">
        <v>347</v>
      </c>
      <c r="B6" s="572" t="s">
        <v>424</v>
      </c>
      <c r="C6">
        <f>'DMC Threads - By Color'!E12</f>
        <v>0</v>
      </c>
      <c r="D6">
        <v>1</v>
      </c>
    </row>
    <row r="7" spans="1:4">
      <c r="A7" s="1019">
        <v>353</v>
      </c>
      <c r="B7" s="572" t="s">
        <v>58</v>
      </c>
      <c r="C7">
        <f>'DMC Threads - By Color'!E13</f>
        <v>0</v>
      </c>
      <c r="D7">
        <v>1</v>
      </c>
    </row>
    <row r="8" spans="1:4">
      <c r="A8" s="1019">
        <v>352</v>
      </c>
      <c r="B8" s="572" t="s">
        <v>593</v>
      </c>
      <c r="C8">
        <f>'DMC Threads - By Color'!E14</f>
        <v>0</v>
      </c>
      <c r="D8">
        <v>1</v>
      </c>
    </row>
    <row r="9" spans="1:4">
      <c r="A9" s="1019">
        <v>351</v>
      </c>
      <c r="B9" s="572" t="s">
        <v>5</v>
      </c>
      <c r="C9">
        <f>'DMC Threads - By Color'!E15</f>
        <v>0</v>
      </c>
      <c r="D9">
        <v>1</v>
      </c>
    </row>
    <row r="10" spans="1:4">
      <c r="A10" s="1019">
        <v>350</v>
      </c>
      <c r="B10" s="572" t="s">
        <v>498</v>
      </c>
      <c r="C10">
        <f>'DMC Threads - By Color'!E16</f>
        <v>0</v>
      </c>
      <c r="D10">
        <v>1</v>
      </c>
    </row>
    <row r="11" spans="1:4">
      <c r="A11" s="1019">
        <v>349</v>
      </c>
      <c r="B11" s="572" t="s">
        <v>342</v>
      </c>
      <c r="C11">
        <f>'DMC Threads - By Color'!E17</f>
        <v>0</v>
      </c>
      <c r="D11">
        <v>1</v>
      </c>
    </row>
    <row r="12" spans="1:4">
      <c r="A12" s="1019">
        <v>817</v>
      </c>
      <c r="B12" s="572" t="s">
        <v>439</v>
      </c>
      <c r="C12">
        <f>'DMC Threads - By Color'!E18</f>
        <v>0</v>
      </c>
      <c r="D12">
        <v>1</v>
      </c>
    </row>
    <row r="13" spans="1:4">
      <c r="A13" s="1019">
        <v>304</v>
      </c>
      <c r="B13" s="572" t="s">
        <v>463</v>
      </c>
      <c r="C13">
        <f>'DMC Threads - By Color'!E19</f>
        <v>0</v>
      </c>
      <c r="D13">
        <v>1</v>
      </c>
    </row>
    <row r="14" spans="1:4">
      <c r="A14" s="1019">
        <v>3833</v>
      </c>
      <c r="B14" s="572" t="s">
        <v>643</v>
      </c>
      <c r="C14">
        <f>'DMC Threads - By Color'!E20</f>
        <v>0</v>
      </c>
      <c r="D14">
        <v>1</v>
      </c>
    </row>
    <row r="15" spans="1:4">
      <c r="A15" s="1019">
        <v>3832</v>
      </c>
      <c r="B15" s="572" t="s">
        <v>524</v>
      </c>
      <c r="C15">
        <f>'DMC Threads - By Color'!E21</f>
        <v>0</v>
      </c>
      <c r="D15">
        <v>1</v>
      </c>
    </row>
    <row r="16" spans="1:4">
      <c r="A16" s="1019">
        <v>3831</v>
      </c>
      <c r="B16" s="572" t="s">
        <v>387</v>
      </c>
      <c r="C16">
        <f>'DMC Threads - By Color'!E22</f>
        <v>0</v>
      </c>
      <c r="D16">
        <v>1</v>
      </c>
    </row>
    <row r="17" spans="1:4">
      <c r="A17" s="1019">
        <v>777</v>
      </c>
      <c r="B17" s="572" t="s">
        <v>687</v>
      </c>
      <c r="C17">
        <f>'DMC Threads - By Color'!E23</f>
        <v>0</v>
      </c>
      <c r="D17">
        <v>1</v>
      </c>
    </row>
    <row r="18" spans="1:4">
      <c r="A18" s="1019">
        <v>3801</v>
      </c>
      <c r="B18" s="572" t="s">
        <v>423</v>
      </c>
      <c r="C18">
        <f>'DMC Threads - By Color'!E24</f>
        <v>0</v>
      </c>
      <c r="D18">
        <v>1</v>
      </c>
    </row>
    <row r="19" spans="1:4">
      <c r="A19" s="1019">
        <v>666</v>
      </c>
      <c r="B19" s="572" t="s">
        <v>456</v>
      </c>
      <c r="C19">
        <f>'DMC Threads - By Color'!E25</f>
        <v>0</v>
      </c>
      <c r="D19">
        <v>1</v>
      </c>
    </row>
    <row r="20" spans="1:4">
      <c r="A20" s="1019">
        <v>321</v>
      </c>
      <c r="B20" s="572" t="s">
        <v>51</v>
      </c>
      <c r="C20">
        <f>'DMC Threads - By Color'!E26</f>
        <v>0</v>
      </c>
      <c r="D20">
        <v>1</v>
      </c>
    </row>
    <row r="21" spans="1:4">
      <c r="A21" s="1020">
        <v>498</v>
      </c>
      <c r="B21" s="567" t="s">
        <v>393</v>
      </c>
      <c r="C21">
        <f>'DMC Threads - By Color'!E27</f>
        <v>0</v>
      </c>
      <c r="D21">
        <v>1</v>
      </c>
    </row>
    <row r="22" spans="1:4">
      <c r="A22" s="1020">
        <v>816</v>
      </c>
      <c r="B22" s="567" t="s">
        <v>26</v>
      </c>
      <c r="C22">
        <f>'DMC Threads - By Color'!E28</f>
        <v>0</v>
      </c>
      <c r="D22">
        <v>1</v>
      </c>
    </row>
    <row r="23" spans="1:4">
      <c r="A23" s="1019">
        <v>815</v>
      </c>
      <c r="B23" s="572" t="s">
        <v>511</v>
      </c>
      <c r="C23">
        <f>'DMC Threads - By Color'!E29</f>
        <v>0</v>
      </c>
      <c r="D23">
        <v>1</v>
      </c>
    </row>
    <row r="24" spans="1:4" ht="17" thickBot="1">
      <c r="A24" s="1021">
        <v>814</v>
      </c>
      <c r="B24" s="1022" t="s">
        <v>365</v>
      </c>
      <c r="C24">
        <f>'DMC Threads - By Color'!E30</f>
        <v>0</v>
      </c>
      <c r="D24">
        <v>1</v>
      </c>
    </row>
    <row r="25" spans="1:4">
      <c r="A25" s="1016">
        <v>894</v>
      </c>
      <c r="B25" s="1017" t="s">
        <v>542</v>
      </c>
      <c r="C25">
        <f>'DMC Threads - By Color'!J7</f>
        <v>0</v>
      </c>
      <c r="D25">
        <v>2</v>
      </c>
    </row>
    <row r="26" spans="1:4">
      <c r="A26" s="1019">
        <v>893</v>
      </c>
      <c r="B26" s="572" t="s">
        <v>540</v>
      </c>
      <c r="C26">
        <f>'DMC Threads - By Color'!J8</f>
        <v>0</v>
      </c>
      <c r="D26">
        <v>2</v>
      </c>
    </row>
    <row r="27" spans="1:4">
      <c r="A27" s="1019">
        <v>892</v>
      </c>
      <c r="B27" s="572" t="s">
        <v>465</v>
      </c>
      <c r="C27">
        <f>'DMC Threads - By Color'!J9</f>
        <v>0</v>
      </c>
      <c r="D27">
        <v>2</v>
      </c>
    </row>
    <row r="28" spans="1:4">
      <c r="A28" s="1019">
        <v>891</v>
      </c>
      <c r="B28" s="572" t="s">
        <v>316</v>
      </c>
      <c r="C28">
        <f>'DMC Threads - By Color'!J10</f>
        <v>0</v>
      </c>
      <c r="D28">
        <v>2</v>
      </c>
    </row>
    <row r="29" spans="1:4">
      <c r="A29" s="1019">
        <v>818</v>
      </c>
      <c r="B29" s="572" t="s">
        <v>27</v>
      </c>
      <c r="C29">
        <f>'DMC Threads - By Color'!J11</f>
        <v>0</v>
      </c>
      <c r="D29">
        <v>2</v>
      </c>
    </row>
    <row r="30" spans="1:4">
      <c r="A30" s="1019">
        <v>957</v>
      </c>
      <c r="B30" s="572" t="s">
        <v>702</v>
      </c>
      <c r="C30">
        <f>'DMC Threads - By Color'!J12</f>
        <v>0</v>
      </c>
      <c r="D30">
        <v>2</v>
      </c>
    </row>
    <row r="31" spans="1:4">
      <c r="A31" s="1019">
        <v>956</v>
      </c>
      <c r="B31" s="572" t="s">
        <v>33</v>
      </c>
      <c r="C31">
        <f>'DMC Threads - By Color'!J13</f>
        <v>0</v>
      </c>
      <c r="D31">
        <v>2</v>
      </c>
    </row>
    <row r="32" spans="1:4">
      <c r="A32" s="1019">
        <v>3708</v>
      </c>
      <c r="B32" s="572" t="s">
        <v>638</v>
      </c>
      <c r="C32">
        <f>'DMC Threads - By Color'!J14</f>
        <v>0</v>
      </c>
      <c r="D32">
        <v>2</v>
      </c>
    </row>
    <row r="33" spans="1:4">
      <c r="A33" s="1019">
        <v>3706</v>
      </c>
      <c r="B33" s="572" t="s">
        <v>519</v>
      </c>
      <c r="C33">
        <f>'DMC Threads - By Color'!J15</f>
        <v>0</v>
      </c>
      <c r="D33">
        <v>2</v>
      </c>
    </row>
    <row r="34" spans="1:4">
      <c r="A34" s="1019">
        <v>3705</v>
      </c>
      <c r="B34" s="572" t="s">
        <v>381</v>
      </c>
      <c r="C34">
        <f>'DMC Threads - By Color'!J16</f>
        <v>0</v>
      </c>
      <c r="D34">
        <v>2</v>
      </c>
    </row>
    <row r="35" spans="1:4">
      <c r="A35" s="1019">
        <v>963</v>
      </c>
      <c r="B35" s="572" t="s">
        <v>682</v>
      </c>
      <c r="C35">
        <f>'DMC Threads - By Color'!J17</f>
        <v>0</v>
      </c>
      <c r="D35">
        <v>2</v>
      </c>
    </row>
    <row r="36" spans="1:4">
      <c r="A36" s="1019">
        <v>3716</v>
      </c>
      <c r="B36" s="572" t="s">
        <v>642</v>
      </c>
      <c r="C36">
        <f>'DMC Threads - By Color'!J18</f>
        <v>0</v>
      </c>
      <c r="D36">
        <v>2</v>
      </c>
    </row>
    <row r="37" spans="1:4">
      <c r="A37" s="1019">
        <v>962</v>
      </c>
      <c r="B37" s="572" t="s">
        <v>520</v>
      </c>
      <c r="C37">
        <f>'DMC Threads - By Color'!J19</f>
        <v>0</v>
      </c>
      <c r="D37">
        <v>2</v>
      </c>
    </row>
    <row r="38" spans="1:4">
      <c r="A38" s="1019">
        <v>961</v>
      </c>
      <c r="B38" s="572" t="s">
        <v>384</v>
      </c>
      <c r="C38">
        <f>'DMC Threads - By Color'!J20</f>
        <v>0</v>
      </c>
      <c r="D38">
        <v>2</v>
      </c>
    </row>
    <row r="39" spans="1:4">
      <c r="A39" s="1019">
        <v>309</v>
      </c>
      <c r="B39" s="572" t="s">
        <v>320</v>
      </c>
      <c r="C39">
        <f>'DMC Threads - By Color'!J21</f>
        <v>0</v>
      </c>
      <c r="D39">
        <v>2</v>
      </c>
    </row>
    <row r="40" spans="1:4">
      <c r="A40" s="1019">
        <v>819</v>
      </c>
      <c r="B40" s="572" t="s">
        <v>622</v>
      </c>
      <c r="C40">
        <f>'DMC Threads - By Color'!J22</f>
        <v>0</v>
      </c>
      <c r="D40">
        <v>2</v>
      </c>
    </row>
    <row r="41" spans="1:4">
      <c r="A41" s="1019">
        <v>3326</v>
      </c>
      <c r="B41" s="572" t="s">
        <v>599</v>
      </c>
      <c r="C41">
        <f>'DMC Threads - By Color'!J23</f>
        <v>0</v>
      </c>
      <c r="D41">
        <v>2</v>
      </c>
    </row>
    <row r="42" spans="1:4">
      <c r="A42" s="1019">
        <v>899</v>
      </c>
      <c r="B42" s="572" t="s">
        <v>471</v>
      </c>
      <c r="C42">
        <f>'DMC Threads - By Color'!J24</f>
        <v>0</v>
      </c>
      <c r="D42">
        <v>2</v>
      </c>
    </row>
    <row r="43" spans="1:4">
      <c r="A43" s="1019">
        <v>335</v>
      </c>
      <c r="B43" s="572" t="s">
        <v>4</v>
      </c>
      <c r="C43">
        <f>'DMC Threads - By Color'!J25</f>
        <v>0</v>
      </c>
      <c r="D43">
        <v>2</v>
      </c>
    </row>
    <row r="44" spans="1:4">
      <c r="A44" s="1019">
        <v>326</v>
      </c>
      <c r="B44" s="572" t="s">
        <v>418</v>
      </c>
      <c r="C44">
        <f>'DMC Threads - By Color'!J26</f>
        <v>0</v>
      </c>
      <c r="D44">
        <v>2</v>
      </c>
    </row>
    <row r="45" spans="1:4">
      <c r="A45" s="1019">
        <v>151</v>
      </c>
      <c r="B45" s="572" t="s">
        <v>50</v>
      </c>
      <c r="C45">
        <f>'DMC Threads - By Color'!J27</f>
        <v>0</v>
      </c>
      <c r="D45">
        <v>2</v>
      </c>
    </row>
    <row r="46" spans="1:4">
      <c r="A46" s="1019">
        <v>3354</v>
      </c>
      <c r="B46" s="572" t="s">
        <v>613</v>
      </c>
      <c r="C46">
        <f>'DMC Threads - By Color'!J28</f>
        <v>0</v>
      </c>
      <c r="D46">
        <v>2</v>
      </c>
    </row>
    <row r="47" spans="1:4">
      <c r="A47" s="1019">
        <v>3733</v>
      </c>
      <c r="B47" s="572" t="s">
        <v>42</v>
      </c>
      <c r="C47">
        <f>'DMC Threads - By Color'!J29</f>
        <v>0</v>
      </c>
      <c r="D47">
        <v>2</v>
      </c>
    </row>
    <row r="48" spans="1:4">
      <c r="A48" s="1019">
        <v>3731</v>
      </c>
      <c r="B48" s="572" t="s">
        <v>446</v>
      </c>
      <c r="C48">
        <f>'DMC Threads - By Color'!J30</f>
        <v>0</v>
      </c>
      <c r="D48">
        <v>2</v>
      </c>
    </row>
    <row r="49" spans="1:4">
      <c r="A49" s="1019">
        <v>3350</v>
      </c>
      <c r="B49" s="572" t="s">
        <v>676</v>
      </c>
      <c r="C49">
        <f>'DMC Threads - By Color'!J31</f>
        <v>0</v>
      </c>
      <c r="D49">
        <v>2</v>
      </c>
    </row>
    <row r="50" spans="1:4" ht="17" thickBot="1">
      <c r="A50" s="1021">
        <v>150</v>
      </c>
      <c r="B50" s="1022" t="s">
        <v>456</v>
      </c>
      <c r="C50">
        <f>'DMC Threads - By Color'!J32</f>
        <v>0</v>
      </c>
      <c r="D50">
        <v>2</v>
      </c>
    </row>
    <row r="51" spans="1:4">
      <c r="A51" s="1016">
        <v>23</v>
      </c>
      <c r="B51" s="1017" t="s">
        <v>125</v>
      </c>
      <c r="C51">
        <f>'DMC Threads - By Color'!O7</f>
        <v>0</v>
      </c>
      <c r="D51">
        <v>3</v>
      </c>
    </row>
    <row r="52" spans="1:4">
      <c r="A52" s="1019">
        <v>3689</v>
      </c>
      <c r="B52" s="572" t="s">
        <v>635</v>
      </c>
      <c r="C52">
        <f>'DMC Threads - By Color'!O8</f>
        <v>0</v>
      </c>
      <c r="D52">
        <v>3</v>
      </c>
    </row>
    <row r="53" spans="1:4">
      <c r="A53" s="1019">
        <v>3688</v>
      </c>
      <c r="B53" s="596" t="s">
        <v>516</v>
      </c>
      <c r="C53">
        <f>'DMC Threads - By Color'!O9</f>
        <v>0</v>
      </c>
      <c r="D53">
        <v>3</v>
      </c>
    </row>
    <row r="54" spans="1:4">
      <c r="A54" s="1019">
        <v>3687</v>
      </c>
      <c r="B54" s="572" t="s">
        <v>41</v>
      </c>
      <c r="C54">
        <f>'DMC Threads - By Color'!O10</f>
        <v>0</v>
      </c>
      <c r="D54">
        <v>3</v>
      </c>
    </row>
    <row r="55" spans="1:4">
      <c r="A55" s="1019">
        <v>3803</v>
      </c>
      <c r="B55" s="572" t="s">
        <v>344</v>
      </c>
      <c r="C55">
        <f>'DMC Threads - By Color'!O11</f>
        <v>0</v>
      </c>
      <c r="D55">
        <v>3</v>
      </c>
    </row>
    <row r="56" spans="1:4">
      <c r="A56" s="1019">
        <v>3685</v>
      </c>
      <c r="B56" s="572" t="s">
        <v>428</v>
      </c>
      <c r="C56">
        <f>'DMC Threads - By Color'!O12</f>
        <v>0</v>
      </c>
      <c r="D56">
        <v>3</v>
      </c>
    </row>
    <row r="57" spans="1:4">
      <c r="A57" s="1019">
        <v>605</v>
      </c>
      <c r="B57" s="572" t="s">
        <v>589</v>
      </c>
      <c r="C57">
        <f>'DMC Threads - By Color'!O13</f>
        <v>0</v>
      </c>
      <c r="D57">
        <v>3</v>
      </c>
    </row>
    <row r="58" spans="1:4">
      <c r="A58" s="1019">
        <v>604</v>
      </c>
      <c r="B58" s="572" t="s">
        <v>586</v>
      </c>
      <c r="C58">
        <f>'DMC Threads - By Color'!O14</f>
        <v>0</v>
      </c>
      <c r="D58">
        <v>3</v>
      </c>
    </row>
    <row r="59" spans="1:4">
      <c r="A59" s="1019">
        <v>603</v>
      </c>
      <c r="B59" s="572" t="s">
        <v>585</v>
      </c>
      <c r="C59">
        <f>'DMC Threads - By Color'!O15</f>
        <v>0</v>
      </c>
      <c r="D59">
        <v>3</v>
      </c>
    </row>
    <row r="60" spans="1:4">
      <c r="A60" s="1019">
        <v>602</v>
      </c>
      <c r="B60" s="572" t="s">
        <v>493</v>
      </c>
      <c r="C60">
        <f>'DMC Threads - By Color'!O16</f>
        <v>0</v>
      </c>
      <c r="D60">
        <v>3</v>
      </c>
    </row>
    <row r="61" spans="1:4">
      <c r="A61" s="1019">
        <v>601</v>
      </c>
      <c r="B61" s="572" t="s">
        <v>338</v>
      </c>
      <c r="C61">
        <f>'DMC Threads - By Color'!O17</f>
        <v>0</v>
      </c>
      <c r="D61">
        <v>3</v>
      </c>
    </row>
    <row r="62" spans="1:4">
      <c r="A62" s="1019">
        <v>600</v>
      </c>
      <c r="B62" s="572" t="s">
        <v>420</v>
      </c>
      <c r="C62">
        <f>'DMC Threads - By Color'!O18</f>
        <v>0</v>
      </c>
      <c r="D62">
        <v>3</v>
      </c>
    </row>
    <row r="63" spans="1:4">
      <c r="A63" s="1019">
        <v>3806</v>
      </c>
      <c r="B63" s="572" t="s">
        <v>596</v>
      </c>
      <c r="C63">
        <f>'DMC Threads - By Color'!O19</f>
        <v>0</v>
      </c>
      <c r="D63">
        <v>3</v>
      </c>
    </row>
    <row r="64" spans="1:4">
      <c r="A64" s="1019">
        <v>3805</v>
      </c>
      <c r="B64" s="572" t="s">
        <v>71</v>
      </c>
      <c r="C64">
        <f>'DMC Threads - By Color'!O20</f>
        <v>0</v>
      </c>
      <c r="D64">
        <v>3</v>
      </c>
    </row>
    <row r="65" spans="1:4">
      <c r="A65" s="1019">
        <v>3804</v>
      </c>
      <c r="B65" s="572" t="s">
        <v>345</v>
      </c>
      <c r="C65">
        <f>'DMC Threads - By Color'!O21</f>
        <v>0</v>
      </c>
      <c r="D65">
        <v>33</v>
      </c>
    </row>
    <row r="66" spans="1:4">
      <c r="A66" s="1019">
        <v>3609</v>
      </c>
      <c r="B66" s="572" t="s">
        <v>679</v>
      </c>
      <c r="C66">
        <f>'DMC Threads - By Color'!O22</f>
        <v>0</v>
      </c>
      <c r="D66">
        <v>3</v>
      </c>
    </row>
    <row r="67" spans="1:4">
      <c r="A67" s="1019">
        <v>3608</v>
      </c>
      <c r="B67" s="572" t="s">
        <v>624</v>
      </c>
      <c r="C67">
        <f>'DMC Threads - By Color'!O23</f>
        <v>0</v>
      </c>
      <c r="D67">
        <v>3</v>
      </c>
    </row>
    <row r="68" spans="1:4">
      <c r="A68" s="1019">
        <v>3607</v>
      </c>
      <c r="B68" s="572" t="s">
        <v>621</v>
      </c>
      <c r="C68">
        <f>'DMC Threads - By Color'!O24</f>
        <v>0</v>
      </c>
      <c r="D68">
        <v>3</v>
      </c>
    </row>
    <row r="69" spans="1:4">
      <c r="A69" s="1019">
        <v>718</v>
      </c>
      <c r="B69" s="572" t="s">
        <v>18</v>
      </c>
      <c r="C69">
        <f>'DMC Threads - By Color'!O25</f>
        <v>0</v>
      </c>
      <c r="D69">
        <v>3</v>
      </c>
    </row>
    <row r="70" spans="1:4">
      <c r="A70" s="1019">
        <v>917</v>
      </c>
      <c r="B70" s="572" t="s">
        <v>490</v>
      </c>
      <c r="C70">
        <f>'DMC Threads - By Color'!O26</f>
        <v>0</v>
      </c>
      <c r="D70">
        <v>3</v>
      </c>
    </row>
    <row r="71" spans="1:4">
      <c r="A71" s="1019">
        <v>915</v>
      </c>
      <c r="B71" s="572" t="s">
        <v>334</v>
      </c>
      <c r="C71">
        <f>'DMC Threads - By Color'!O27</f>
        <v>0</v>
      </c>
      <c r="D71">
        <v>3</v>
      </c>
    </row>
    <row r="72" spans="1:4">
      <c r="A72" s="1019">
        <v>33</v>
      </c>
      <c r="B72" s="572" t="s">
        <v>130</v>
      </c>
      <c r="C72">
        <f>'DMC Threads - By Color'!O28</f>
        <v>0</v>
      </c>
      <c r="D72">
        <v>3</v>
      </c>
    </row>
    <row r="73" spans="1:4">
      <c r="A73" s="1019">
        <v>34</v>
      </c>
      <c r="B73" s="572" t="s">
        <v>706</v>
      </c>
      <c r="C73">
        <f>'DMC Threads - By Color'!O29</f>
        <v>0</v>
      </c>
      <c r="D73">
        <v>3</v>
      </c>
    </row>
    <row r="74" spans="1:4" ht="17" thickBot="1">
      <c r="A74" s="1021">
        <v>35</v>
      </c>
      <c r="B74" s="1022" t="s">
        <v>705</v>
      </c>
      <c r="C74">
        <f>'DMC Threads - By Color'!O30</f>
        <v>0</v>
      </c>
      <c r="D74">
        <v>3</v>
      </c>
    </row>
    <row r="75" spans="1:4">
      <c r="A75" s="1016">
        <v>778</v>
      </c>
      <c r="B75" s="1017" t="s">
        <v>575</v>
      </c>
      <c r="C75">
        <f>'DMC Threads - By Color'!T7</f>
        <v>0</v>
      </c>
      <c r="D75">
        <v>4</v>
      </c>
    </row>
    <row r="76" spans="1:4">
      <c r="A76" s="1019">
        <v>3727</v>
      </c>
      <c r="B76" s="572" t="s">
        <v>652</v>
      </c>
      <c r="C76">
        <f>'DMC Threads - By Color'!T8</f>
        <v>0</v>
      </c>
      <c r="D76">
        <v>4</v>
      </c>
    </row>
    <row r="77" spans="1:4">
      <c r="A77" s="1019">
        <v>316</v>
      </c>
      <c r="B77" s="572" t="s">
        <v>474</v>
      </c>
      <c r="C77">
        <f>'DMC Threads - By Color'!T9</f>
        <v>0</v>
      </c>
      <c r="D77">
        <v>4</v>
      </c>
    </row>
    <row r="78" spans="1:4">
      <c r="A78" s="1019">
        <v>3726</v>
      </c>
      <c r="B78" s="572" t="s">
        <v>391</v>
      </c>
      <c r="C78">
        <f>'DMC Threads - By Color'!T10</f>
        <v>0</v>
      </c>
      <c r="D78">
        <v>4</v>
      </c>
    </row>
    <row r="79" spans="1:4">
      <c r="A79" s="1019">
        <v>315</v>
      </c>
      <c r="B79" s="572" t="s">
        <v>472</v>
      </c>
      <c r="C79">
        <f>'DMC Threads - By Color'!T11</f>
        <v>0</v>
      </c>
      <c r="D79">
        <v>4</v>
      </c>
    </row>
    <row r="80" spans="1:4">
      <c r="A80" s="1019">
        <v>3802</v>
      </c>
      <c r="B80" s="572" t="s">
        <v>426</v>
      </c>
      <c r="C80">
        <f>'DMC Threads - By Color'!T12</f>
        <v>0</v>
      </c>
      <c r="D80">
        <v>4</v>
      </c>
    </row>
    <row r="81" spans="1:4">
      <c r="A81" s="1019">
        <v>902</v>
      </c>
      <c r="B81" s="572" t="s">
        <v>409</v>
      </c>
      <c r="C81">
        <f>'DMC Threads - By Color'!T13</f>
        <v>0</v>
      </c>
      <c r="D81">
        <v>4</v>
      </c>
    </row>
    <row r="82" spans="1:4">
      <c r="A82" s="1019">
        <v>3836</v>
      </c>
      <c r="B82" s="572" t="s">
        <v>651</v>
      </c>
      <c r="C82">
        <f>'DMC Threads - By Color'!T14</f>
        <v>0</v>
      </c>
      <c r="D82">
        <v>4</v>
      </c>
    </row>
    <row r="83" spans="1:4">
      <c r="A83" s="1019">
        <v>3835</v>
      </c>
      <c r="B83" s="572" t="s">
        <v>528</v>
      </c>
      <c r="C83">
        <f>'DMC Threads - By Color'!T15</f>
        <v>0</v>
      </c>
      <c r="D83">
        <v>4</v>
      </c>
    </row>
    <row r="84" spans="1:4">
      <c r="A84" s="1019">
        <v>3834</v>
      </c>
      <c r="B84" s="572" t="s">
        <v>390</v>
      </c>
      <c r="C84">
        <f>'DMC Threads - By Color'!T16</f>
        <v>0</v>
      </c>
      <c r="D84">
        <v>4</v>
      </c>
    </row>
    <row r="85" spans="1:4">
      <c r="A85" s="1019">
        <v>154</v>
      </c>
      <c r="B85" s="572" t="s">
        <v>440</v>
      </c>
      <c r="C85">
        <f>'DMC Threads - By Color'!T17</f>
        <v>0</v>
      </c>
      <c r="D85">
        <v>4</v>
      </c>
    </row>
    <row r="86" spans="1:4">
      <c r="A86" s="1019">
        <v>24</v>
      </c>
      <c r="B86" s="572" t="s">
        <v>126</v>
      </c>
      <c r="C86">
        <f>'DMC Threads - By Color'!T18</f>
        <v>0</v>
      </c>
      <c r="D86">
        <v>4</v>
      </c>
    </row>
    <row r="87" spans="1:4">
      <c r="A87" s="1019">
        <v>25</v>
      </c>
      <c r="B87" s="572" t="s">
        <v>711</v>
      </c>
      <c r="C87">
        <f>'DMC Threads - By Color'!T19</f>
        <v>0</v>
      </c>
      <c r="D87">
        <v>4</v>
      </c>
    </row>
    <row r="88" spans="1:4">
      <c r="A88" s="1019">
        <v>26</v>
      </c>
      <c r="B88" s="572" t="s">
        <v>710</v>
      </c>
      <c r="C88">
        <f>'DMC Threads - By Color'!T20</f>
        <v>0</v>
      </c>
      <c r="D88">
        <v>4</v>
      </c>
    </row>
    <row r="89" spans="1:4">
      <c r="A89" s="1019">
        <v>211</v>
      </c>
      <c r="B89" s="572" t="s">
        <v>653</v>
      </c>
      <c r="C89">
        <f>'DMC Threads - By Color'!T21</f>
        <v>0</v>
      </c>
      <c r="D89">
        <v>4</v>
      </c>
    </row>
    <row r="90" spans="1:4">
      <c r="A90" s="1019">
        <v>210</v>
      </c>
      <c r="B90" s="572" t="s">
        <v>530</v>
      </c>
      <c r="C90">
        <f>'DMC Threads - By Color'!T22</f>
        <v>0</v>
      </c>
      <c r="D90">
        <v>4</v>
      </c>
    </row>
    <row r="91" spans="1:4">
      <c r="A91" s="1019">
        <v>209</v>
      </c>
      <c r="B91" s="572" t="s">
        <v>392</v>
      </c>
      <c r="C91">
        <f>'DMC Threads - By Color'!T23</f>
        <v>0</v>
      </c>
      <c r="D91">
        <v>4</v>
      </c>
    </row>
    <row r="92" spans="1:4">
      <c r="A92" s="1019">
        <v>208</v>
      </c>
      <c r="B92" s="572" t="s">
        <v>429</v>
      </c>
      <c r="C92">
        <f>'DMC Threads - By Color'!T24</f>
        <v>0</v>
      </c>
      <c r="D92">
        <v>4</v>
      </c>
    </row>
    <row r="93" spans="1:4">
      <c r="A93" s="1019">
        <v>3837</v>
      </c>
      <c r="B93" s="572" t="s">
        <v>684</v>
      </c>
      <c r="C93">
        <f>'DMC Threads - By Color'!T25</f>
        <v>0</v>
      </c>
      <c r="D93">
        <v>4</v>
      </c>
    </row>
    <row r="94" spans="1:4">
      <c r="A94" s="1019">
        <v>327</v>
      </c>
      <c r="B94" s="572" t="s">
        <v>12</v>
      </c>
      <c r="C94">
        <f>'DMC Threads - By Color'!T26</f>
        <v>0</v>
      </c>
      <c r="D94">
        <v>4</v>
      </c>
    </row>
    <row r="95" spans="1:4">
      <c r="A95" s="1019">
        <v>153</v>
      </c>
      <c r="B95" s="572" t="s">
        <v>52</v>
      </c>
      <c r="C95">
        <f>'DMC Threads - By Color'!T27</f>
        <v>0</v>
      </c>
      <c r="D95">
        <v>4</v>
      </c>
    </row>
    <row r="96" spans="1:4">
      <c r="A96" s="1019">
        <v>554</v>
      </c>
      <c r="B96" s="572" t="s">
        <v>558</v>
      </c>
      <c r="C96">
        <f>'DMC Threads - By Color'!T28</f>
        <v>0</v>
      </c>
      <c r="D96">
        <v>4</v>
      </c>
    </row>
    <row r="97" spans="1:4">
      <c r="A97" s="1019">
        <v>553</v>
      </c>
      <c r="B97" s="572" t="s">
        <v>12</v>
      </c>
      <c r="C97">
        <f>'DMC Threads - By Color'!T29</f>
        <v>0</v>
      </c>
      <c r="D97">
        <v>4</v>
      </c>
    </row>
    <row r="98" spans="1:4">
      <c r="A98" s="1019">
        <v>552</v>
      </c>
      <c r="B98" s="572" t="s">
        <v>476</v>
      </c>
      <c r="C98">
        <f>'DMC Threads - By Color'!T30</f>
        <v>0</v>
      </c>
      <c r="D98">
        <v>4</v>
      </c>
    </row>
    <row r="99" spans="1:4" ht="17" thickBot="1">
      <c r="A99" s="1021">
        <v>550</v>
      </c>
      <c r="B99" s="1022" t="s">
        <v>408</v>
      </c>
      <c r="C99">
        <f>'DMC Threads - By Color'!T31</f>
        <v>0</v>
      </c>
      <c r="D99">
        <v>4</v>
      </c>
    </row>
    <row r="100" spans="1:4">
      <c r="A100" s="1016">
        <v>3743</v>
      </c>
      <c r="B100" s="1017" t="s">
        <v>657</v>
      </c>
      <c r="C100">
        <f>'DMC Threads - By Color'!Y7</f>
        <v>0</v>
      </c>
      <c r="D100">
        <v>5</v>
      </c>
    </row>
    <row r="101" spans="1:4">
      <c r="A101" s="1019">
        <v>3042</v>
      </c>
      <c r="B101" s="572" t="s">
        <v>576</v>
      </c>
      <c r="C101">
        <f>'DMC Threads - By Color'!Y8</f>
        <v>0</v>
      </c>
      <c r="D101">
        <v>5</v>
      </c>
    </row>
    <row r="102" spans="1:4">
      <c r="A102" s="1019">
        <v>3041</v>
      </c>
      <c r="B102" s="572" t="s">
        <v>486</v>
      </c>
      <c r="C102">
        <f>'DMC Threads - By Color'!Y9</f>
        <v>0</v>
      </c>
      <c r="D102">
        <v>5</v>
      </c>
    </row>
    <row r="103" spans="1:4">
      <c r="A103" s="1019">
        <v>3740</v>
      </c>
      <c r="B103" s="572" t="s">
        <v>353</v>
      </c>
      <c r="C103">
        <f>'DMC Threads - By Color'!Y10</f>
        <v>0</v>
      </c>
      <c r="D103">
        <v>5</v>
      </c>
    </row>
    <row r="104" spans="1:4">
      <c r="A104" s="1019">
        <v>27</v>
      </c>
      <c r="B104" s="572" t="s">
        <v>127</v>
      </c>
      <c r="C104">
        <f>'DMC Threads - By Color'!Y11</f>
        <v>0</v>
      </c>
      <c r="D104">
        <v>5</v>
      </c>
    </row>
    <row r="105" spans="1:4">
      <c r="A105" s="1019">
        <v>28</v>
      </c>
      <c r="B105" s="572" t="s">
        <v>709</v>
      </c>
      <c r="C105">
        <f>'DMC Threads - By Color'!Y12</f>
        <v>0</v>
      </c>
      <c r="D105">
        <v>5</v>
      </c>
    </row>
    <row r="106" spans="1:4">
      <c r="A106" s="1019">
        <v>29</v>
      </c>
      <c r="B106" s="572" t="s">
        <v>128</v>
      </c>
      <c r="C106">
        <f>'DMC Threads - By Color'!Y13</f>
        <v>0</v>
      </c>
      <c r="D106">
        <v>5</v>
      </c>
    </row>
    <row r="107" spans="1:4">
      <c r="A107" s="1019">
        <v>3747</v>
      </c>
      <c r="B107" s="572" t="s">
        <v>662</v>
      </c>
      <c r="C107">
        <f>'DMC Threads - By Color'!Y14</f>
        <v>0</v>
      </c>
      <c r="D107">
        <v>5</v>
      </c>
    </row>
    <row r="108" spans="1:4">
      <c r="A108" s="1019">
        <v>341</v>
      </c>
      <c r="B108" s="572" t="s">
        <v>583</v>
      </c>
      <c r="C108">
        <f>'DMC Threads - By Color'!Y15</f>
        <v>0</v>
      </c>
      <c r="D108">
        <v>5</v>
      </c>
    </row>
    <row r="109" spans="1:4">
      <c r="A109" s="1019">
        <v>156</v>
      </c>
      <c r="B109" s="572" t="s">
        <v>469</v>
      </c>
      <c r="C109">
        <f>'DMC Threads - By Color'!Y16</f>
        <v>0</v>
      </c>
      <c r="D109">
        <v>5</v>
      </c>
    </row>
    <row r="110" spans="1:4">
      <c r="A110" s="1019">
        <v>340</v>
      </c>
      <c r="B110" s="572" t="s">
        <v>492</v>
      </c>
      <c r="C110">
        <f>'DMC Threads - By Color'!Y17</f>
        <v>0</v>
      </c>
      <c r="D110">
        <v>5</v>
      </c>
    </row>
    <row r="111" spans="1:4">
      <c r="A111" s="1019">
        <v>155</v>
      </c>
      <c r="B111" s="572" t="s">
        <v>53</v>
      </c>
      <c r="C111">
        <f>'DMC Threads - By Color'!Y18</f>
        <v>0</v>
      </c>
      <c r="D111">
        <v>5</v>
      </c>
    </row>
    <row r="112" spans="1:4">
      <c r="A112" s="1019">
        <v>3746</v>
      </c>
      <c r="B112" s="572" t="s">
        <v>398</v>
      </c>
      <c r="C112">
        <f>'DMC Threads - By Color'!Y19</f>
        <v>0</v>
      </c>
      <c r="D112">
        <v>5</v>
      </c>
    </row>
    <row r="113" spans="1:4">
      <c r="A113" s="1019">
        <v>333</v>
      </c>
      <c r="B113" s="572" t="s">
        <v>419</v>
      </c>
      <c r="C113">
        <f>'DMC Threads - By Color'!Y20</f>
        <v>0</v>
      </c>
      <c r="D113">
        <v>5</v>
      </c>
    </row>
    <row r="114" spans="1:4">
      <c r="A114" s="1019">
        <v>30</v>
      </c>
      <c r="B114" s="572" t="s">
        <v>708</v>
      </c>
      <c r="C114">
        <f>'DMC Threads - By Color'!Y21</f>
        <v>0</v>
      </c>
      <c r="D114">
        <v>5</v>
      </c>
    </row>
    <row r="115" spans="1:4">
      <c r="A115" s="1019">
        <v>31</v>
      </c>
      <c r="B115" s="572" t="s">
        <v>129</v>
      </c>
      <c r="C115">
        <f>'DMC Threads - By Color'!Y22</f>
        <v>0</v>
      </c>
      <c r="D115">
        <v>5</v>
      </c>
    </row>
    <row r="116" spans="1:4">
      <c r="A116" s="1019">
        <v>32</v>
      </c>
      <c r="B116" s="572" t="s">
        <v>707</v>
      </c>
      <c r="C116">
        <f>'DMC Threads - By Color'!Y23</f>
        <v>0</v>
      </c>
      <c r="D116">
        <v>5</v>
      </c>
    </row>
    <row r="117" spans="1:4">
      <c r="A117" s="1019">
        <v>157</v>
      </c>
      <c r="B117" s="572" t="s">
        <v>612</v>
      </c>
      <c r="C117">
        <f>'DMC Threads - By Color'!Y24</f>
        <v>0</v>
      </c>
      <c r="D117">
        <v>5</v>
      </c>
    </row>
    <row r="118" spans="1:4">
      <c r="A118" s="1019">
        <v>794</v>
      </c>
      <c r="B118" s="572" t="s">
        <v>591</v>
      </c>
      <c r="C118">
        <f>'DMC Threads - By Color'!Y25</f>
        <v>0</v>
      </c>
      <c r="D118">
        <v>5</v>
      </c>
    </row>
    <row r="119" spans="1:4">
      <c r="A119" s="1019">
        <v>793</v>
      </c>
      <c r="B119" s="572" t="s">
        <v>499</v>
      </c>
      <c r="C119">
        <f>'DMC Threads - By Color'!Y26</f>
        <v>0</v>
      </c>
      <c r="D119">
        <v>5</v>
      </c>
    </row>
    <row r="120" spans="1:4">
      <c r="A120" s="1019">
        <v>3807</v>
      </c>
      <c r="B120" s="572" t="s">
        <v>72</v>
      </c>
      <c r="C120">
        <f>'DMC Threads - By Color'!Y27</f>
        <v>0</v>
      </c>
      <c r="D120">
        <v>5</v>
      </c>
    </row>
    <row r="121" spans="1:4">
      <c r="A121" s="1019">
        <v>792</v>
      </c>
      <c r="B121" s="572" t="s">
        <v>343</v>
      </c>
      <c r="C121">
        <f>'DMC Threads - By Color'!Y28</f>
        <v>0</v>
      </c>
      <c r="D121">
        <v>5</v>
      </c>
    </row>
    <row r="122" spans="1:4">
      <c r="A122" s="1019">
        <v>158</v>
      </c>
      <c r="B122" s="572" t="s">
        <v>377</v>
      </c>
      <c r="C122">
        <f>'DMC Threads - By Color'!Y29</f>
        <v>0</v>
      </c>
      <c r="D122">
        <v>5</v>
      </c>
    </row>
    <row r="123" spans="1:4" ht="17" thickBot="1">
      <c r="A123" s="1021">
        <v>791</v>
      </c>
      <c r="B123" s="1022" t="s">
        <v>425</v>
      </c>
      <c r="C123">
        <f>'DMC Threads - By Color'!Y30</f>
        <v>0</v>
      </c>
      <c r="D123">
        <v>5</v>
      </c>
    </row>
    <row r="124" spans="1:4">
      <c r="A124" s="1016">
        <v>3840</v>
      </c>
      <c r="B124" s="1017" t="s">
        <v>655</v>
      </c>
      <c r="C124">
        <f>'DMC Threads - By Color'!AD7</f>
        <v>0</v>
      </c>
      <c r="D124">
        <v>6</v>
      </c>
    </row>
    <row r="125" spans="1:4">
      <c r="A125" s="1019">
        <v>3839</v>
      </c>
      <c r="B125" s="572" t="s">
        <v>532</v>
      </c>
      <c r="C125">
        <f>'DMC Threads - By Color'!AD8</f>
        <v>0</v>
      </c>
      <c r="D125">
        <v>6</v>
      </c>
    </row>
    <row r="126" spans="1:4">
      <c r="A126" s="1019">
        <v>3838</v>
      </c>
      <c r="B126" s="572" t="s">
        <v>394</v>
      </c>
      <c r="C126">
        <f>'DMC Threads - By Color'!AD9</f>
        <v>0</v>
      </c>
      <c r="D126">
        <v>6</v>
      </c>
    </row>
    <row r="127" spans="1:4">
      <c r="A127" s="1019">
        <v>800</v>
      </c>
      <c r="B127" s="572" t="s">
        <v>699</v>
      </c>
      <c r="C127">
        <f>'DMC Threads - By Color'!AD10</f>
        <v>0</v>
      </c>
      <c r="D127">
        <v>6</v>
      </c>
    </row>
    <row r="128" spans="1:4">
      <c r="A128" s="1019">
        <v>809</v>
      </c>
      <c r="B128" s="572" t="s">
        <v>64</v>
      </c>
      <c r="C128">
        <f>'DMC Threads - By Color'!AD11</f>
        <v>0</v>
      </c>
      <c r="D128">
        <v>6</v>
      </c>
    </row>
    <row r="129" spans="1:4">
      <c r="A129" s="1019">
        <v>799</v>
      </c>
      <c r="B129" s="572" t="s">
        <v>502</v>
      </c>
      <c r="C129">
        <f>'DMC Threads - By Color'!AD12</f>
        <v>0</v>
      </c>
      <c r="D129">
        <v>6</v>
      </c>
    </row>
    <row r="130" spans="1:4">
      <c r="A130" s="1019">
        <v>798</v>
      </c>
      <c r="B130" s="572" t="s">
        <v>350</v>
      </c>
      <c r="C130">
        <f>'DMC Threads - By Color'!AD13</f>
        <v>0</v>
      </c>
      <c r="D130">
        <v>6</v>
      </c>
    </row>
    <row r="131" spans="1:4">
      <c r="A131" s="1019">
        <v>797</v>
      </c>
      <c r="B131" s="572" t="s">
        <v>24</v>
      </c>
      <c r="C131">
        <f>'DMC Threads - By Color'!AD14</f>
        <v>0</v>
      </c>
      <c r="D131">
        <v>6</v>
      </c>
    </row>
    <row r="132" spans="1:4">
      <c r="A132" s="1019">
        <v>796</v>
      </c>
      <c r="B132" s="572" t="s">
        <v>347</v>
      </c>
      <c r="C132">
        <f>'DMC Threads - By Color'!AD15</f>
        <v>0</v>
      </c>
      <c r="D132">
        <v>6</v>
      </c>
    </row>
    <row r="133" spans="1:4">
      <c r="A133" s="1019">
        <v>820</v>
      </c>
      <c r="B133" s="572" t="s">
        <v>441</v>
      </c>
      <c r="C133">
        <f>'DMC Threads - By Color'!AD16</f>
        <v>0</v>
      </c>
      <c r="D133">
        <v>6</v>
      </c>
    </row>
    <row r="134" spans="1:4">
      <c r="A134" s="1019">
        <v>162</v>
      </c>
      <c r="B134" s="572" t="s">
        <v>595</v>
      </c>
      <c r="C134">
        <f>'DMC Threads - By Color'!AD17</f>
        <v>0</v>
      </c>
      <c r="D134">
        <v>6</v>
      </c>
    </row>
    <row r="135" spans="1:4">
      <c r="A135" s="1019">
        <v>827</v>
      </c>
      <c r="B135" s="572" t="s">
        <v>637</v>
      </c>
      <c r="C135">
        <f>'DMC Threads - By Color'!AD18</f>
        <v>0</v>
      </c>
      <c r="D135">
        <v>6</v>
      </c>
    </row>
    <row r="136" spans="1:4">
      <c r="A136" s="1019">
        <v>813</v>
      </c>
      <c r="B136" s="572" t="s">
        <v>612</v>
      </c>
      <c r="C136">
        <f>'DMC Threads - By Color'!AD19</f>
        <v>0</v>
      </c>
      <c r="D136">
        <v>6</v>
      </c>
    </row>
    <row r="137" spans="1:4">
      <c r="A137" s="1019">
        <v>826</v>
      </c>
      <c r="B137" s="572" t="s">
        <v>469</v>
      </c>
      <c r="C137">
        <f>'DMC Threads - By Color'!AD20</f>
        <v>0</v>
      </c>
      <c r="D137">
        <v>6</v>
      </c>
    </row>
    <row r="138" spans="1:4">
      <c r="A138" s="1019">
        <v>825</v>
      </c>
      <c r="B138" s="572" t="s">
        <v>377</v>
      </c>
      <c r="C138">
        <f>'DMC Threads - By Color'!AD21</f>
        <v>0</v>
      </c>
      <c r="D138">
        <v>6</v>
      </c>
    </row>
    <row r="139" spans="1:4">
      <c r="A139" s="1019">
        <v>824</v>
      </c>
      <c r="B139" s="572" t="s">
        <v>437</v>
      </c>
      <c r="C139">
        <f>'DMC Threads - By Color'!AD22</f>
        <v>0</v>
      </c>
      <c r="D139">
        <v>6</v>
      </c>
    </row>
    <row r="140" spans="1:4">
      <c r="A140" s="1019">
        <v>996</v>
      </c>
      <c r="B140" s="572" t="s">
        <v>470</v>
      </c>
      <c r="C140">
        <f>'DMC Threads - By Color'!AD23</f>
        <v>0</v>
      </c>
      <c r="D140">
        <v>6</v>
      </c>
    </row>
    <row r="141" spans="1:4">
      <c r="A141" s="1019">
        <v>3843</v>
      </c>
      <c r="B141" s="572" t="s">
        <v>73</v>
      </c>
      <c r="C141">
        <f>'DMC Threads - By Color'!AD24</f>
        <v>0</v>
      </c>
      <c r="D141">
        <v>6</v>
      </c>
    </row>
    <row r="142" spans="1:4">
      <c r="A142" s="1019">
        <v>995</v>
      </c>
      <c r="B142" s="572" t="s">
        <v>321</v>
      </c>
      <c r="C142">
        <f>'DMC Threads - By Color'!AD25</f>
        <v>0</v>
      </c>
      <c r="D142">
        <v>6</v>
      </c>
    </row>
    <row r="143" spans="1:4">
      <c r="A143" s="1019">
        <v>3846</v>
      </c>
      <c r="B143" s="572" t="s">
        <v>538</v>
      </c>
      <c r="C143">
        <f>'DMC Threads - By Color'!AD26</f>
        <v>0</v>
      </c>
      <c r="D143">
        <v>6</v>
      </c>
    </row>
    <row r="144" spans="1:4">
      <c r="A144" s="1019">
        <v>3845</v>
      </c>
      <c r="B144" s="572" t="s">
        <v>461</v>
      </c>
      <c r="C144">
        <f>'DMC Threads - By Color'!AD27</f>
        <v>0</v>
      </c>
      <c r="D144">
        <v>6</v>
      </c>
    </row>
    <row r="145" spans="1:4" ht="17" thickBot="1">
      <c r="A145" s="1021">
        <v>3844</v>
      </c>
      <c r="B145" s="1022" t="s">
        <v>401</v>
      </c>
      <c r="C145">
        <f>'DMC Threads - By Color'!AD28</f>
        <v>0</v>
      </c>
      <c r="D145">
        <v>6</v>
      </c>
    </row>
    <row r="146" spans="1:4">
      <c r="A146" s="1016">
        <v>159</v>
      </c>
      <c r="B146" s="1017" t="s">
        <v>633</v>
      </c>
      <c r="C146">
        <f>'DMC Threads - By Color'!AI7</f>
        <v>0</v>
      </c>
      <c r="D146">
        <v>7</v>
      </c>
    </row>
    <row r="147" spans="1:4">
      <c r="A147" s="1019">
        <v>160</v>
      </c>
      <c r="B147" s="572" t="s">
        <v>517</v>
      </c>
      <c r="C147">
        <f>'DMC Threads - By Color'!AI8</f>
        <v>0</v>
      </c>
      <c r="D147">
        <v>7</v>
      </c>
    </row>
    <row r="148" spans="1:4">
      <c r="A148" s="1019">
        <v>161</v>
      </c>
      <c r="B148" s="572" t="s">
        <v>379</v>
      </c>
      <c r="C148">
        <f>'DMC Threads - By Color'!AI9</f>
        <v>0</v>
      </c>
      <c r="D148">
        <v>7</v>
      </c>
    </row>
    <row r="149" spans="1:4">
      <c r="A149" s="1019">
        <v>3756</v>
      </c>
      <c r="B149" s="572" t="s">
        <v>595</v>
      </c>
      <c r="C149">
        <f>'DMC Threads - By Color'!AI10</f>
        <v>0</v>
      </c>
      <c r="D149">
        <v>7</v>
      </c>
    </row>
    <row r="150" spans="1:4">
      <c r="A150" s="1019">
        <v>775</v>
      </c>
      <c r="B150" s="572" t="s">
        <v>569</v>
      </c>
      <c r="C150">
        <f>'DMC Threads - By Color'!AI11</f>
        <v>0</v>
      </c>
      <c r="D150">
        <v>7</v>
      </c>
    </row>
    <row r="151" spans="1:4">
      <c r="A151" s="1019">
        <v>3841</v>
      </c>
      <c r="B151" s="572" t="s">
        <v>704</v>
      </c>
      <c r="C151">
        <f>'DMC Threads - By Color'!AI12</f>
        <v>0</v>
      </c>
      <c r="D151">
        <v>7</v>
      </c>
    </row>
    <row r="152" spans="1:4">
      <c r="A152" s="1019">
        <v>3325</v>
      </c>
      <c r="B152" s="572" t="s">
        <v>595</v>
      </c>
      <c r="C152">
        <f>'DMC Threads - By Color'!AI13</f>
        <v>0</v>
      </c>
      <c r="D152">
        <v>7</v>
      </c>
    </row>
    <row r="153" spans="1:4">
      <c r="A153" s="1019">
        <v>3755</v>
      </c>
      <c r="B153" s="572" t="s">
        <v>43</v>
      </c>
      <c r="C153">
        <f>'DMC Threads - By Color'!AI14</f>
        <v>0</v>
      </c>
      <c r="D153">
        <v>7</v>
      </c>
    </row>
    <row r="154" spans="1:4">
      <c r="A154" s="1019">
        <v>334</v>
      </c>
      <c r="B154" s="572" t="s">
        <v>489</v>
      </c>
      <c r="C154">
        <f>'DMC Threads - By Color'!AI15</f>
        <v>0</v>
      </c>
      <c r="D154">
        <v>7</v>
      </c>
    </row>
    <row r="155" spans="1:4">
      <c r="A155" s="1019">
        <v>322</v>
      </c>
      <c r="B155" s="572" t="s">
        <v>43</v>
      </c>
      <c r="C155">
        <f>'DMC Threads - By Color'!AI16</f>
        <v>0</v>
      </c>
      <c r="D155">
        <v>7</v>
      </c>
    </row>
    <row r="156" spans="1:4">
      <c r="A156" s="1019">
        <v>312</v>
      </c>
      <c r="B156" s="572" t="s">
        <v>406</v>
      </c>
      <c r="C156">
        <f>'DMC Threads - By Color'!AI17</f>
        <v>0</v>
      </c>
      <c r="D156">
        <v>7</v>
      </c>
    </row>
    <row r="157" spans="1:4">
      <c r="A157" s="1019">
        <v>803</v>
      </c>
      <c r="B157" s="572" t="s">
        <v>688</v>
      </c>
      <c r="C157">
        <f>'DMC Threads - By Color'!AI18</f>
        <v>0</v>
      </c>
      <c r="D157">
        <v>7</v>
      </c>
    </row>
    <row r="158" spans="1:4">
      <c r="A158" s="1019">
        <v>336</v>
      </c>
      <c r="B158" s="572" t="s">
        <v>54</v>
      </c>
      <c r="C158">
        <f>'DMC Threads - By Color'!AI19</f>
        <v>0</v>
      </c>
      <c r="D158">
        <v>7</v>
      </c>
    </row>
    <row r="159" spans="1:4">
      <c r="A159" s="1019">
        <v>823</v>
      </c>
      <c r="B159" s="572" t="s">
        <v>377</v>
      </c>
      <c r="C159">
        <f>'DMC Threads - By Color'!AI20</f>
        <v>0</v>
      </c>
      <c r="D159">
        <v>7</v>
      </c>
    </row>
    <row r="160" spans="1:4">
      <c r="A160" s="1019">
        <v>939</v>
      </c>
      <c r="B160" s="572" t="s">
        <v>437</v>
      </c>
      <c r="C160">
        <f>'DMC Threads - By Color'!AI21</f>
        <v>0</v>
      </c>
      <c r="D160">
        <v>7</v>
      </c>
    </row>
    <row r="161" spans="1:4">
      <c r="A161" s="1019">
        <v>3753</v>
      </c>
      <c r="B161" s="572" t="s">
        <v>666</v>
      </c>
      <c r="C161">
        <f>'DMC Threads - By Color'!AI22</f>
        <v>0</v>
      </c>
      <c r="D161">
        <v>7</v>
      </c>
    </row>
    <row r="162" spans="1:4">
      <c r="A162" s="1019">
        <v>3752</v>
      </c>
      <c r="B162" s="572" t="s">
        <v>536</v>
      </c>
      <c r="C162">
        <f>'DMC Threads - By Color'!AI23</f>
        <v>0</v>
      </c>
      <c r="D162">
        <v>7</v>
      </c>
    </row>
    <row r="163" spans="1:4">
      <c r="A163" s="1019">
        <v>932</v>
      </c>
      <c r="B163" s="572" t="s">
        <v>604</v>
      </c>
      <c r="C163">
        <f>'DMC Threads - By Color'!AI24</f>
        <v>0</v>
      </c>
      <c r="D163">
        <v>7</v>
      </c>
    </row>
    <row r="164" spans="1:4">
      <c r="A164" s="1019">
        <v>931</v>
      </c>
      <c r="B164" s="572" t="s">
        <v>503</v>
      </c>
      <c r="C164">
        <f>'DMC Threads - By Color'!AI25</f>
        <v>0</v>
      </c>
      <c r="D164">
        <v>7</v>
      </c>
    </row>
    <row r="165" spans="1:4">
      <c r="A165" s="1019">
        <v>930</v>
      </c>
      <c r="B165" s="572" t="s">
        <v>351</v>
      </c>
      <c r="C165">
        <f>'DMC Threads - By Color'!AI26</f>
        <v>0</v>
      </c>
      <c r="D165">
        <v>7</v>
      </c>
    </row>
    <row r="166" spans="1:4" ht="17" thickBot="1">
      <c r="A166" s="1021">
        <v>3750</v>
      </c>
      <c r="B166" s="1022" t="s">
        <v>452</v>
      </c>
      <c r="C166">
        <f>'DMC Threads - By Color'!AI27</f>
        <v>0</v>
      </c>
      <c r="D166">
        <v>7</v>
      </c>
    </row>
    <row r="167" spans="1:4">
      <c r="A167" s="1016">
        <v>828</v>
      </c>
      <c r="B167" s="1017" t="s">
        <v>681</v>
      </c>
      <c r="C167">
        <f>'DMC Threads - By Color'!AN7</f>
        <v>0</v>
      </c>
      <c r="D167">
        <v>8</v>
      </c>
    </row>
    <row r="168" spans="1:4">
      <c r="A168" s="1019">
        <v>3761</v>
      </c>
      <c r="B168" s="572" t="s">
        <v>546</v>
      </c>
      <c r="C168">
        <f>'DMC Threads - By Color'!AN8</f>
        <v>0</v>
      </c>
      <c r="D168">
        <v>8</v>
      </c>
    </row>
    <row r="169" spans="1:4">
      <c r="A169" s="1019">
        <v>519</v>
      </c>
      <c r="B169" s="572" t="s">
        <v>10</v>
      </c>
      <c r="C169">
        <f>'DMC Threads - By Color'!AN9</f>
        <v>0</v>
      </c>
      <c r="D169">
        <v>8</v>
      </c>
    </row>
    <row r="170" spans="1:4">
      <c r="A170" s="1019">
        <v>518</v>
      </c>
      <c r="B170" s="572" t="s">
        <v>537</v>
      </c>
      <c r="C170">
        <f>'DMC Threads - By Color'!AN10</f>
        <v>0</v>
      </c>
      <c r="D170">
        <v>8</v>
      </c>
    </row>
    <row r="171" spans="1:4">
      <c r="A171" s="1019">
        <v>3760</v>
      </c>
      <c r="B171" s="572" t="s">
        <v>468</v>
      </c>
      <c r="C171">
        <f>'DMC Threads - By Color'!AN11</f>
        <v>0</v>
      </c>
      <c r="D171">
        <v>8</v>
      </c>
    </row>
    <row r="172" spans="1:4">
      <c r="A172" s="1019">
        <v>517</v>
      </c>
      <c r="B172" s="572" t="s">
        <v>315</v>
      </c>
      <c r="C172">
        <f>'DMC Threads - By Color'!AN12</f>
        <v>0</v>
      </c>
      <c r="D172">
        <v>8</v>
      </c>
    </row>
    <row r="173" spans="1:4">
      <c r="A173" s="1019">
        <v>3842</v>
      </c>
      <c r="B173" s="572" t="s">
        <v>315</v>
      </c>
      <c r="C173">
        <f>'DMC Threads - By Color'!AN13</f>
        <v>0</v>
      </c>
      <c r="D173">
        <v>8</v>
      </c>
    </row>
    <row r="174" spans="1:4">
      <c r="A174" s="1019">
        <v>311</v>
      </c>
      <c r="B174" s="572" t="s">
        <v>469</v>
      </c>
      <c r="C174">
        <f>'DMC Threads - By Color'!AN14</f>
        <v>0</v>
      </c>
      <c r="D174">
        <v>8</v>
      </c>
    </row>
    <row r="175" spans="1:4">
      <c r="A175" s="1019">
        <v>747</v>
      </c>
      <c r="B175" s="572" t="s">
        <v>551</v>
      </c>
      <c r="C175">
        <f>'DMC Threads - By Color'!AN15</f>
        <v>0</v>
      </c>
      <c r="D175">
        <v>8</v>
      </c>
    </row>
    <row r="176" spans="1:4">
      <c r="A176" s="1019">
        <v>3766</v>
      </c>
      <c r="B176" s="572" t="s">
        <v>550</v>
      </c>
      <c r="C176">
        <f>'DMC Threads - By Color'!AN16</f>
        <v>0</v>
      </c>
      <c r="D176">
        <v>8</v>
      </c>
    </row>
    <row r="177" spans="1:4">
      <c r="A177" s="1019">
        <v>807</v>
      </c>
      <c r="B177" s="572" t="s">
        <v>25</v>
      </c>
      <c r="C177">
        <f>'DMC Threads - By Color'!AN17</f>
        <v>0</v>
      </c>
      <c r="D177">
        <v>8</v>
      </c>
    </row>
    <row r="178" spans="1:4">
      <c r="A178" s="1019">
        <v>3765</v>
      </c>
      <c r="B178" s="572" t="s">
        <v>405</v>
      </c>
      <c r="C178">
        <f>'DMC Threads - By Color'!AN18</f>
        <v>0</v>
      </c>
      <c r="D178">
        <v>8</v>
      </c>
    </row>
    <row r="179" spans="1:4">
      <c r="A179" s="1019">
        <v>3811</v>
      </c>
      <c r="B179" s="572" t="s">
        <v>606</v>
      </c>
      <c r="C179">
        <f>'DMC Threads - By Color'!AN19</f>
        <v>0</v>
      </c>
      <c r="D179">
        <v>8</v>
      </c>
    </row>
    <row r="180" spans="1:4">
      <c r="A180" s="1019">
        <v>598</v>
      </c>
      <c r="B180" s="572" t="s">
        <v>579</v>
      </c>
      <c r="C180">
        <f>'DMC Threads - By Color'!AN20</f>
        <v>0</v>
      </c>
      <c r="D180">
        <v>8</v>
      </c>
    </row>
    <row r="181" spans="1:4">
      <c r="A181" s="1019">
        <v>597</v>
      </c>
      <c r="B181" s="572" t="s">
        <v>14</v>
      </c>
      <c r="C181">
        <f>'DMC Threads - By Color'!AN21</f>
        <v>0</v>
      </c>
      <c r="D181">
        <v>8</v>
      </c>
    </row>
    <row r="182" spans="1:4">
      <c r="A182" s="1019">
        <v>3810</v>
      </c>
      <c r="B182" s="572" t="s">
        <v>355</v>
      </c>
      <c r="C182">
        <f>'DMC Threads - By Color'!AN22</f>
        <v>0</v>
      </c>
      <c r="D182">
        <v>8</v>
      </c>
    </row>
    <row r="183" spans="1:4">
      <c r="A183" s="1019">
        <v>3809</v>
      </c>
      <c r="B183" s="572" t="s">
        <v>431</v>
      </c>
      <c r="C183">
        <f>'DMC Threads - By Color'!AN23</f>
        <v>0</v>
      </c>
      <c r="D183">
        <v>8</v>
      </c>
    </row>
    <row r="184" spans="1:4">
      <c r="A184" s="1019">
        <v>3808</v>
      </c>
      <c r="B184" s="572" t="s">
        <v>673</v>
      </c>
      <c r="C184">
        <f>'DMC Threads - By Color'!AN24</f>
        <v>0</v>
      </c>
      <c r="D184">
        <v>8</v>
      </c>
    </row>
    <row r="185" spans="1:4">
      <c r="A185" s="1019">
        <v>928</v>
      </c>
      <c r="B185" s="572" t="s">
        <v>598</v>
      </c>
      <c r="C185">
        <f>'DMC Threads - By Color'!AN25</f>
        <v>0</v>
      </c>
      <c r="D185">
        <v>8</v>
      </c>
    </row>
    <row r="186" spans="1:4">
      <c r="A186" s="1019">
        <v>927</v>
      </c>
      <c r="B186" s="572" t="s">
        <v>594</v>
      </c>
      <c r="C186">
        <f>'DMC Threads - By Color'!AN26</f>
        <v>0</v>
      </c>
      <c r="D186">
        <v>8</v>
      </c>
    </row>
    <row r="187" spans="1:4">
      <c r="A187" s="1019">
        <v>926</v>
      </c>
      <c r="B187" s="572" t="s">
        <v>500</v>
      </c>
      <c r="C187">
        <f>'DMC Threads - By Color'!AN27</f>
        <v>0</v>
      </c>
      <c r="D187">
        <v>8</v>
      </c>
    </row>
    <row r="188" spans="1:4">
      <c r="A188" s="1019">
        <v>3768</v>
      </c>
      <c r="B188" s="572" t="s">
        <v>325</v>
      </c>
      <c r="C188">
        <f>'DMC Threads - By Color'!AN28</f>
        <v>0</v>
      </c>
      <c r="D188">
        <v>8</v>
      </c>
    </row>
    <row r="189" spans="1:4">
      <c r="A189" s="1019">
        <v>924</v>
      </c>
      <c r="B189" s="596" t="s">
        <v>427</v>
      </c>
      <c r="C189">
        <f>'DMC Threads - By Color'!AN29</f>
        <v>0</v>
      </c>
      <c r="D189">
        <v>8</v>
      </c>
    </row>
    <row r="190" spans="1:4">
      <c r="A190" s="1019">
        <v>3849</v>
      </c>
      <c r="B190" s="572" t="s">
        <v>544</v>
      </c>
      <c r="C190">
        <f>'DMC Threads - By Color'!AN30</f>
        <v>0</v>
      </c>
      <c r="D190">
        <v>8</v>
      </c>
    </row>
    <row r="191" spans="1:4">
      <c r="A191" s="1019">
        <v>3848</v>
      </c>
      <c r="B191" s="572" t="s">
        <v>466</v>
      </c>
      <c r="C191">
        <f>'DMC Threads - By Color'!AN31</f>
        <v>0</v>
      </c>
      <c r="D191">
        <v>8</v>
      </c>
    </row>
    <row r="192" spans="1:4" ht="17" thickBot="1">
      <c r="A192" s="1021">
        <v>3847</v>
      </c>
      <c r="B192" s="1022" t="s">
        <v>318</v>
      </c>
      <c r="C192">
        <f>'DMC Threads - By Color'!AN32</f>
        <v>0</v>
      </c>
      <c r="D192">
        <v>8</v>
      </c>
    </row>
    <row r="193" spans="1:4">
      <c r="A193" s="1016">
        <v>964</v>
      </c>
      <c r="B193" s="1017" t="s">
        <v>641</v>
      </c>
      <c r="C193">
        <f>'DMC Threads - By Color'!AS7</f>
        <v>0</v>
      </c>
      <c r="D193">
        <v>9</v>
      </c>
    </row>
    <row r="194" spans="1:4">
      <c r="A194" s="1019">
        <v>959</v>
      </c>
      <c r="B194" s="572" t="s">
        <v>518</v>
      </c>
      <c r="C194">
        <f>'DMC Threads - By Color'!AS8</f>
        <v>0</v>
      </c>
      <c r="D194">
        <v>9</v>
      </c>
    </row>
    <row r="195" spans="1:4">
      <c r="A195" s="1019">
        <v>958</v>
      </c>
      <c r="B195" s="572" t="s">
        <v>380</v>
      </c>
      <c r="C195">
        <f>'DMC Threads - By Color'!AS9</f>
        <v>0</v>
      </c>
      <c r="D195">
        <v>9</v>
      </c>
    </row>
    <row r="196" spans="1:4">
      <c r="A196" s="1019">
        <v>3812</v>
      </c>
      <c r="B196" s="572" t="s">
        <v>434</v>
      </c>
      <c r="C196">
        <f>'DMC Threads - By Color'!AS10</f>
        <v>0</v>
      </c>
      <c r="D196">
        <v>9</v>
      </c>
    </row>
    <row r="197" spans="1:4">
      <c r="A197" s="1019">
        <v>3851</v>
      </c>
      <c r="B197" s="572" t="s">
        <v>548</v>
      </c>
      <c r="C197">
        <f>'DMC Threads - By Color'!AS11</f>
        <v>0</v>
      </c>
      <c r="D197">
        <v>9</v>
      </c>
    </row>
    <row r="198" spans="1:4">
      <c r="A198" s="1019">
        <v>943</v>
      </c>
      <c r="B198" s="572" t="s">
        <v>510</v>
      </c>
      <c r="C198">
        <f>'DMC Threads - By Color'!AS12</f>
        <v>0</v>
      </c>
      <c r="D198">
        <v>9</v>
      </c>
    </row>
    <row r="199" spans="1:4">
      <c r="A199" s="1019">
        <v>3850</v>
      </c>
      <c r="B199" s="572" t="s">
        <v>322</v>
      </c>
      <c r="C199">
        <f>'DMC Threads - By Color'!AS13</f>
        <v>0</v>
      </c>
      <c r="D199">
        <v>9</v>
      </c>
    </row>
    <row r="200" spans="1:4">
      <c r="A200" s="1019">
        <v>993</v>
      </c>
      <c r="B200" s="572" t="s">
        <v>543</v>
      </c>
      <c r="C200">
        <f>'DMC Threads - By Color'!AS14</f>
        <v>0</v>
      </c>
      <c r="D200">
        <v>9</v>
      </c>
    </row>
    <row r="201" spans="1:4">
      <c r="A201" s="1019">
        <v>992</v>
      </c>
      <c r="B201" s="572" t="s">
        <v>541</v>
      </c>
      <c r="C201">
        <f>'DMC Threads - By Color'!AS15</f>
        <v>0</v>
      </c>
      <c r="D201">
        <v>9</v>
      </c>
    </row>
    <row r="202" spans="1:4">
      <c r="A202" s="1019">
        <v>3814</v>
      </c>
      <c r="B202" s="572" t="s">
        <v>36</v>
      </c>
      <c r="C202">
        <f>'DMC Threads - By Color'!AS16</f>
        <v>0</v>
      </c>
      <c r="D202">
        <v>9</v>
      </c>
    </row>
    <row r="203" spans="1:4">
      <c r="A203" s="1019">
        <v>991</v>
      </c>
      <c r="B203" s="572" t="s">
        <v>317</v>
      </c>
      <c r="C203">
        <f>'DMC Threads - By Color'!AS17</f>
        <v>0</v>
      </c>
      <c r="D203">
        <v>9</v>
      </c>
    </row>
    <row r="204" spans="1:4">
      <c r="A204" s="1019">
        <v>966</v>
      </c>
      <c r="B204" s="572" t="s">
        <v>526</v>
      </c>
      <c r="C204">
        <f>'DMC Threads - By Color'!AS18</f>
        <v>0</v>
      </c>
      <c r="D204">
        <v>9</v>
      </c>
    </row>
    <row r="205" spans="1:4">
      <c r="A205" s="1019">
        <v>564</v>
      </c>
      <c r="B205" s="572" t="s">
        <v>570</v>
      </c>
      <c r="C205">
        <f>'DMC Threads - By Color'!AS19</f>
        <v>0</v>
      </c>
      <c r="D205">
        <v>9</v>
      </c>
    </row>
    <row r="206" spans="1:4">
      <c r="A206" s="1019">
        <v>563</v>
      </c>
      <c r="B206" s="572" t="s">
        <v>568</v>
      </c>
      <c r="C206">
        <f>'DMC Threads - By Color'!AS20</f>
        <v>0</v>
      </c>
      <c r="D206">
        <v>9</v>
      </c>
    </row>
    <row r="207" spans="1:4">
      <c r="A207" s="1019">
        <v>562</v>
      </c>
      <c r="B207" s="572" t="s">
        <v>482</v>
      </c>
      <c r="C207">
        <f>'DMC Threads - By Color'!AS21</f>
        <v>0</v>
      </c>
      <c r="D207">
        <v>9</v>
      </c>
    </row>
    <row r="208" spans="1:4">
      <c r="A208" s="1019">
        <v>505</v>
      </c>
      <c r="B208" s="572" t="s">
        <v>399</v>
      </c>
      <c r="C208">
        <f>'DMC Threads - By Color'!AS22</f>
        <v>0</v>
      </c>
      <c r="D208">
        <v>9</v>
      </c>
    </row>
    <row r="209" spans="1:4">
      <c r="A209" s="1019">
        <v>3817</v>
      </c>
      <c r="B209" s="572" t="s">
        <v>615</v>
      </c>
      <c r="C209">
        <f>'DMC Threads - By Color'!AS23</f>
        <v>0</v>
      </c>
      <c r="D209">
        <v>9</v>
      </c>
    </row>
    <row r="210" spans="1:4">
      <c r="A210" s="1019">
        <v>3816</v>
      </c>
      <c r="B210" s="572" t="s">
        <v>74</v>
      </c>
      <c r="C210">
        <f>'DMC Threads - By Color'!AS24</f>
        <v>0</v>
      </c>
      <c r="D210">
        <v>9</v>
      </c>
    </row>
    <row r="211" spans="1:4">
      <c r="A211" s="1019">
        <v>163</v>
      </c>
      <c r="B211" s="572" t="s">
        <v>55</v>
      </c>
      <c r="C211">
        <f>'DMC Threads - By Color'!AS25</f>
        <v>0</v>
      </c>
      <c r="D211">
        <v>9</v>
      </c>
    </row>
    <row r="212" spans="1:4">
      <c r="A212" s="1019">
        <v>3815</v>
      </c>
      <c r="B212" s="572" t="s">
        <v>361</v>
      </c>
      <c r="C212">
        <f>'DMC Threads - By Color'!AS26</f>
        <v>0</v>
      </c>
      <c r="D212">
        <v>9</v>
      </c>
    </row>
    <row r="213" spans="1:4">
      <c r="A213" s="1019">
        <v>561</v>
      </c>
      <c r="B213" s="572" t="s">
        <v>414</v>
      </c>
      <c r="C213">
        <f>'DMC Threads - By Color'!AS27</f>
        <v>0</v>
      </c>
      <c r="D213">
        <v>9</v>
      </c>
    </row>
    <row r="214" spans="1:4">
      <c r="A214" s="1019">
        <v>3813</v>
      </c>
      <c r="B214" s="572" t="s">
        <v>608</v>
      </c>
      <c r="C214">
        <f>'DMC Threads - By Color'!AS28</f>
        <v>0</v>
      </c>
      <c r="D214">
        <v>9</v>
      </c>
    </row>
    <row r="215" spans="1:4">
      <c r="A215" s="1019">
        <v>503</v>
      </c>
      <c r="B215" s="572" t="s">
        <v>534</v>
      </c>
      <c r="C215">
        <f>'DMC Threads - By Color'!AS29</f>
        <v>0</v>
      </c>
      <c r="D215">
        <v>9</v>
      </c>
    </row>
    <row r="216" spans="1:4">
      <c r="A216" s="1019">
        <v>502</v>
      </c>
      <c r="B216" s="572" t="s">
        <v>9</v>
      </c>
      <c r="C216">
        <f>'DMC Threads - By Color'!AS30</f>
        <v>0</v>
      </c>
      <c r="D216">
        <v>9</v>
      </c>
    </row>
    <row r="217" spans="1:4">
      <c r="A217" s="1019">
        <v>501</v>
      </c>
      <c r="B217" s="572" t="s">
        <v>395</v>
      </c>
      <c r="C217">
        <f>'DMC Threads - By Color'!AS31</f>
        <v>0</v>
      </c>
      <c r="D217">
        <v>9</v>
      </c>
    </row>
    <row r="218" spans="1:4" ht="17" thickBot="1">
      <c r="A218" s="1021">
        <v>500</v>
      </c>
      <c r="B218" s="1022" t="s">
        <v>447</v>
      </c>
      <c r="C218">
        <f>'DMC Threads - By Color'!AS32</f>
        <v>0</v>
      </c>
      <c r="D218">
        <v>9</v>
      </c>
    </row>
    <row r="219" spans="1:4">
      <c r="A219" s="1016">
        <v>955</v>
      </c>
      <c r="B219" s="1017" t="s">
        <v>632</v>
      </c>
      <c r="C219">
        <f>'DMC Threads - By Color'!AX7</f>
        <v>0</v>
      </c>
      <c r="D219">
        <v>10</v>
      </c>
    </row>
    <row r="220" spans="1:4">
      <c r="A220" s="1019">
        <v>13</v>
      </c>
      <c r="B220" s="572" t="s">
        <v>694</v>
      </c>
      <c r="C220">
        <f>'DMC Threads - By Color'!AX8</f>
        <v>0</v>
      </c>
      <c r="D220">
        <v>10</v>
      </c>
    </row>
    <row r="221" spans="1:4">
      <c r="A221" s="1019">
        <v>954</v>
      </c>
      <c r="B221" s="572" t="s">
        <v>32</v>
      </c>
      <c r="C221">
        <f>'DMC Threads - By Color'!AX9</f>
        <v>0</v>
      </c>
      <c r="D221">
        <v>10</v>
      </c>
    </row>
    <row r="222" spans="1:4">
      <c r="A222" s="1019">
        <v>913</v>
      </c>
      <c r="B222" s="572" t="s">
        <v>487</v>
      </c>
      <c r="C222">
        <f>'DMC Threads - By Color'!AX10</f>
        <v>0</v>
      </c>
      <c r="D222">
        <v>10</v>
      </c>
    </row>
    <row r="223" spans="1:4">
      <c r="A223" s="1019">
        <v>912</v>
      </c>
      <c r="B223" s="572" t="s">
        <v>574</v>
      </c>
      <c r="C223">
        <f>'DMC Threads - By Color'!AX11</f>
        <v>0</v>
      </c>
      <c r="D223">
        <v>10</v>
      </c>
    </row>
    <row r="224" spans="1:4">
      <c r="A224" s="1019">
        <v>911</v>
      </c>
      <c r="B224" s="572" t="s">
        <v>485</v>
      </c>
      <c r="C224">
        <f>'DMC Threads - By Color'!AX12</f>
        <v>0</v>
      </c>
      <c r="D224">
        <v>10</v>
      </c>
    </row>
    <row r="225" spans="1:4">
      <c r="A225" s="1019">
        <v>910</v>
      </c>
      <c r="B225" s="572" t="s">
        <v>330</v>
      </c>
      <c r="C225">
        <f>'DMC Threads - By Color'!AX13</f>
        <v>0</v>
      </c>
      <c r="D225">
        <v>10</v>
      </c>
    </row>
    <row r="226" spans="1:4">
      <c r="A226" s="1019">
        <v>909</v>
      </c>
      <c r="B226" s="572" t="s">
        <v>415</v>
      </c>
      <c r="C226">
        <f>'DMC Threads - By Color'!AX14</f>
        <v>0</v>
      </c>
      <c r="D226">
        <v>10</v>
      </c>
    </row>
    <row r="227" spans="1:4">
      <c r="A227" s="1019">
        <v>3818</v>
      </c>
      <c r="B227" s="572" t="s">
        <v>677</v>
      </c>
      <c r="C227">
        <f>'DMC Threads - By Color'!AX15</f>
        <v>0</v>
      </c>
      <c r="D227">
        <v>10</v>
      </c>
    </row>
    <row r="228" spans="1:4">
      <c r="A228" s="1019">
        <v>369</v>
      </c>
      <c r="B228" s="572" t="s">
        <v>607</v>
      </c>
      <c r="C228">
        <f>'DMC Threads - By Color'!AX16</f>
        <v>0</v>
      </c>
      <c r="D228">
        <v>10</v>
      </c>
    </row>
    <row r="229" spans="1:4">
      <c r="A229" s="1019">
        <v>368</v>
      </c>
      <c r="B229" s="572" t="s">
        <v>605</v>
      </c>
      <c r="C229">
        <f>'DMC Threads - By Color'!AX17</f>
        <v>0</v>
      </c>
      <c r="D229">
        <v>10</v>
      </c>
    </row>
    <row r="230" spans="1:4">
      <c r="A230" s="1019">
        <v>320</v>
      </c>
      <c r="B230" s="572" t="s">
        <v>480</v>
      </c>
      <c r="C230">
        <f>'DMC Threads - By Color'!AX18</f>
        <v>0</v>
      </c>
      <c r="D230">
        <v>10</v>
      </c>
    </row>
    <row r="231" spans="1:4">
      <c r="A231" s="1019">
        <v>367</v>
      </c>
      <c r="B231" s="572" t="s">
        <v>354</v>
      </c>
      <c r="C231">
        <f>'DMC Threads - By Color'!AX19</f>
        <v>0</v>
      </c>
      <c r="D231">
        <v>10</v>
      </c>
    </row>
    <row r="232" spans="1:4">
      <c r="A232" s="1019">
        <v>319</v>
      </c>
      <c r="B232" s="572" t="s">
        <v>413</v>
      </c>
      <c r="C232">
        <f>'DMC Threads - By Color'!AX20</f>
        <v>0</v>
      </c>
      <c r="D232">
        <v>10</v>
      </c>
    </row>
    <row r="233" spans="1:4">
      <c r="A233" s="1019">
        <v>890</v>
      </c>
      <c r="B233" s="572" t="s">
        <v>665</v>
      </c>
      <c r="C233">
        <f>'DMC Threads - By Color'!AX21</f>
        <v>0</v>
      </c>
      <c r="D233">
        <v>10</v>
      </c>
    </row>
    <row r="234" spans="1:4">
      <c r="A234" s="1019">
        <v>164</v>
      </c>
      <c r="B234" s="572" t="s">
        <v>584</v>
      </c>
      <c r="C234">
        <f>'DMC Threads - By Color'!AX22</f>
        <v>0</v>
      </c>
      <c r="D234">
        <v>10</v>
      </c>
    </row>
    <row r="235" spans="1:4">
      <c r="A235" s="1019">
        <v>989</v>
      </c>
      <c r="B235" s="572" t="s">
        <v>35</v>
      </c>
      <c r="C235">
        <f>'DMC Threads - By Color'!AX23</f>
        <v>0</v>
      </c>
      <c r="D235">
        <v>10</v>
      </c>
    </row>
    <row r="236" spans="1:4">
      <c r="A236" s="1019">
        <v>988</v>
      </c>
      <c r="B236" s="572" t="s">
        <v>460</v>
      </c>
      <c r="C236">
        <f>'DMC Threads - By Color'!AX24</f>
        <v>0</v>
      </c>
      <c r="D236">
        <v>10</v>
      </c>
    </row>
    <row r="237" spans="1:4">
      <c r="A237" s="1019">
        <v>987</v>
      </c>
      <c r="B237" s="572" t="s">
        <v>400</v>
      </c>
      <c r="C237">
        <f>'DMC Threads - By Color'!AX25</f>
        <v>0</v>
      </c>
      <c r="D237">
        <v>10</v>
      </c>
    </row>
    <row r="238" spans="1:4">
      <c r="A238" s="1019">
        <v>986</v>
      </c>
      <c r="B238" s="572" t="s">
        <v>450</v>
      </c>
      <c r="C238">
        <f>'DMC Threads - By Color'!AX26</f>
        <v>0</v>
      </c>
      <c r="D238">
        <v>10</v>
      </c>
    </row>
    <row r="239" spans="1:4">
      <c r="A239" s="1019">
        <v>772</v>
      </c>
      <c r="B239" s="572" t="s">
        <v>565</v>
      </c>
      <c r="C239">
        <f>'DMC Threads - By Color'!AX27</f>
        <v>0</v>
      </c>
      <c r="D239">
        <v>10</v>
      </c>
    </row>
    <row r="240" spans="1:4">
      <c r="A240" s="1019">
        <v>3348</v>
      </c>
      <c r="B240" s="572" t="s">
        <v>609</v>
      </c>
      <c r="C240">
        <f>'DMC Threads - By Color'!AX28</f>
        <v>0</v>
      </c>
      <c r="D240">
        <v>10</v>
      </c>
    </row>
    <row r="241" spans="1:4">
      <c r="A241" s="1019">
        <v>3347</v>
      </c>
      <c r="B241" s="572" t="s">
        <v>506</v>
      </c>
      <c r="C241">
        <f>'DMC Threads - By Color'!AX29</f>
        <v>0</v>
      </c>
      <c r="D241">
        <v>10</v>
      </c>
    </row>
    <row r="242" spans="1:4">
      <c r="A242" s="1019">
        <v>3346</v>
      </c>
      <c r="B242" s="572" t="s">
        <v>38</v>
      </c>
      <c r="C242">
        <f>'DMC Threads - By Color'!AX30</f>
        <v>0</v>
      </c>
      <c r="D242">
        <v>10</v>
      </c>
    </row>
    <row r="243" spans="1:4">
      <c r="A243" s="1019">
        <v>3345</v>
      </c>
      <c r="B243" s="572" t="s">
        <v>357</v>
      </c>
      <c r="C243">
        <f>'DMC Threads - By Color'!AX31</f>
        <v>0</v>
      </c>
      <c r="D243">
        <v>10</v>
      </c>
    </row>
    <row r="244" spans="1:4" ht="17" thickBot="1">
      <c r="A244" s="1021">
        <v>895</v>
      </c>
      <c r="B244" s="1022" t="s">
        <v>403</v>
      </c>
      <c r="C244">
        <f>'DMC Threads - By Color'!AX32</f>
        <v>0</v>
      </c>
      <c r="D244">
        <v>10</v>
      </c>
    </row>
    <row r="245" spans="1:4">
      <c r="A245" s="1016">
        <v>14</v>
      </c>
      <c r="B245" s="1017" t="s">
        <v>696</v>
      </c>
      <c r="C245">
        <f>'DMC Threads - By Color'!BC7</f>
        <v>0</v>
      </c>
      <c r="D245">
        <v>11</v>
      </c>
    </row>
    <row r="246" spans="1:4">
      <c r="A246" s="1019">
        <v>15</v>
      </c>
      <c r="B246" s="572" t="s">
        <v>121</v>
      </c>
      <c r="C246">
        <f>'DMC Threads - By Color'!BC8</f>
        <v>0</v>
      </c>
      <c r="D246">
        <v>11</v>
      </c>
    </row>
    <row r="247" spans="1:4">
      <c r="A247" s="1019">
        <v>16</v>
      </c>
      <c r="B247" s="572" t="s">
        <v>693</v>
      </c>
      <c r="C247">
        <f>'DMC Threads - By Color'!BC9</f>
        <v>0</v>
      </c>
      <c r="D247">
        <v>11</v>
      </c>
    </row>
    <row r="248" spans="1:4">
      <c r="A248" s="1019">
        <v>704</v>
      </c>
      <c r="B248" s="572" t="s">
        <v>458</v>
      </c>
      <c r="C248">
        <f>'DMC Threads - By Color'!BC10</f>
        <v>0</v>
      </c>
      <c r="D248">
        <v>11</v>
      </c>
    </row>
    <row r="249" spans="1:4">
      <c r="A249" s="1019">
        <v>703</v>
      </c>
      <c r="B249" s="572" t="s">
        <v>16</v>
      </c>
      <c r="C249">
        <f>'DMC Threads - By Color'!BC11</f>
        <v>0</v>
      </c>
      <c r="D249">
        <v>11</v>
      </c>
    </row>
    <row r="250" spans="1:4">
      <c r="A250" s="1019">
        <v>702</v>
      </c>
      <c r="B250" s="572" t="s">
        <v>15</v>
      </c>
      <c r="C250">
        <f>'DMC Threads - By Color'!BC12</f>
        <v>0</v>
      </c>
      <c r="D250">
        <v>11</v>
      </c>
    </row>
    <row r="251" spans="1:4">
      <c r="A251" s="1019">
        <v>701</v>
      </c>
      <c r="B251" s="572" t="s">
        <v>584</v>
      </c>
      <c r="C251">
        <f>'DMC Threads - By Color'!BC13</f>
        <v>0</v>
      </c>
      <c r="D251">
        <v>11</v>
      </c>
    </row>
    <row r="252" spans="1:4">
      <c r="A252" s="1019">
        <v>700</v>
      </c>
      <c r="B252" s="572" t="s">
        <v>457</v>
      </c>
      <c r="C252">
        <f>'DMC Threads - By Color'!BC14</f>
        <v>0</v>
      </c>
      <c r="D252">
        <v>11</v>
      </c>
    </row>
    <row r="253" spans="1:4">
      <c r="A253" s="1019">
        <v>699</v>
      </c>
      <c r="B253" s="572" t="s">
        <v>55</v>
      </c>
      <c r="C253">
        <f>'DMC Threads - By Color'!BC15</f>
        <v>0</v>
      </c>
      <c r="D253">
        <v>11</v>
      </c>
    </row>
    <row r="254" spans="1:4">
      <c r="A254" s="1019">
        <v>907</v>
      </c>
      <c r="B254" s="572" t="s">
        <v>562</v>
      </c>
      <c r="C254">
        <f>'DMC Threads - By Color'!BC16</f>
        <v>0</v>
      </c>
      <c r="D254">
        <v>11</v>
      </c>
    </row>
    <row r="255" spans="1:4">
      <c r="A255" s="1019">
        <v>906</v>
      </c>
      <c r="B255" s="572" t="s">
        <v>478</v>
      </c>
      <c r="C255">
        <f>'DMC Threads - By Color'!BC17</f>
        <v>0</v>
      </c>
      <c r="D255">
        <v>11</v>
      </c>
    </row>
    <row r="256" spans="1:4">
      <c r="A256" s="1019">
        <v>905</v>
      </c>
      <c r="B256" s="572" t="s">
        <v>328</v>
      </c>
      <c r="C256">
        <f>'DMC Threads - By Color'!BC18</f>
        <v>0</v>
      </c>
      <c r="D256">
        <v>11</v>
      </c>
    </row>
    <row r="257" spans="1:4">
      <c r="A257" s="1019">
        <v>904</v>
      </c>
      <c r="B257" s="572" t="s">
        <v>410</v>
      </c>
      <c r="C257">
        <f>'DMC Threads - By Color'!BC19</f>
        <v>0</v>
      </c>
      <c r="D257">
        <v>11</v>
      </c>
    </row>
    <row r="258" spans="1:4">
      <c r="A258" s="1019">
        <v>472</v>
      </c>
      <c r="B258" s="572" t="s">
        <v>683</v>
      </c>
      <c r="C258">
        <f>'DMC Threads - By Color'!BC20</f>
        <v>0</v>
      </c>
      <c r="D258">
        <v>11</v>
      </c>
    </row>
    <row r="259" spans="1:4">
      <c r="A259" s="1019">
        <v>471</v>
      </c>
      <c r="B259" s="572" t="s">
        <v>647</v>
      </c>
      <c r="C259">
        <f>'DMC Threads - By Color'!BC21</f>
        <v>0</v>
      </c>
      <c r="D259">
        <v>11</v>
      </c>
    </row>
    <row r="260" spans="1:4">
      <c r="A260" s="1019">
        <v>470</v>
      </c>
      <c r="B260" s="572" t="s">
        <v>644</v>
      </c>
      <c r="C260">
        <f>'DMC Threads - By Color'!BC22</f>
        <v>0</v>
      </c>
      <c r="D260">
        <v>11</v>
      </c>
    </row>
    <row r="261" spans="1:4">
      <c r="A261" s="1019">
        <v>469</v>
      </c>
      <c r="B261" s="572" t="s">
        <v>8</v>
      </c>
      <c r="C261">
        <f>'DMC Threads - By Color'!BC23</f>
        <v>0</v>
      </c>
      <c r="D261">
        <v>11</v>
      </c>
    </row>
    <row r="262" spans="1:4">
      <c r="A262" s="1019">
        <v>937</v>
      </c>
      <c r="B262" s="572" t="s">
        <v>508</v>
      </c>
      <c r="C262">
        <f>'DMC Threads - By Color'!BC24</f>
        <v>0</v>
      </c>
      <c r="D262">
        <v>11</v>
      </c>
    </row>
    <row r="263" spans="1:4">
      <c r="A263" s="1019">
        <v>936</v>
      </c>
      <c r="B263" s="572" t="s">
        <v>435</v>
      </c>
      <c r="C263">
        <f>'DMC Threads - By Color'!BC25</f>
        <v>0</v>
      </c>
      <c r="D263">
        <v>11</v>
      </c>
    </row>
    <row r="264" spans="1:4">
      <c r="A264" s="1019">
        <v>935</v>
      </c>
      <c r="B264" s="572" t="s">
        <v>358</v>
      </c>
      <c r="C264">
        <f>'DMC Threads - By Color'!BC26</f>
        <v>0</v>
      </c>
      <c r="D264">
        <v>11</v>
      </c>
    </row>
    <row r="265" spans="1:4">
      <c r="A265" s="1019">
        <v>934</v>
      </c>
      <c r="B265" s="572" t="s">
        <v>67</v>
      </c>
      <c r="C265">
        <f>'DMC Threads - By Color'!BC27</f>
        <v>0</v>
      </c>
      <c r="D265">
        <v>11</v>
      </c>
    </row>
    <row r="266" spans="1:4">
      <c r="A266" s="1019">
        <v>3364</v>
      </c>
      <c r="B266" s="572" t="s">
        <v>39</v>
      </c>
      <c r="C266">
        <f>'DMC Threads - By Color'!BC28</f>
        <v>0</v>
      </c>
      <c r="D266">
        <v>11</v>
      </c>
    </row>
    <row r="267" spans="1:4">
      <c r="A267" s="1019">
        <v>3363</v>
      </c>
      <c r="B267" s="572" t="s">
        <v>512</v>
      </c>
      <c r="C267">
        <f>'DMC Threads - By Color'!BC29</f>
        <v>0</v>
      </c>
      <c r="D267">
        <v>11</v>
      </c>
    </row>
    <row r="268" spans="1:4" ht="17" thickBot="1">
      <c r="A268" s="1021">
        <v>3362</v>
      </c>
      <c r="B268" s="1022" t="s">
        <v>366</v>
      </c>
      <c r="C268">
        <f>'DMC Threads - By Color'!BC30</f>
        <v>0</v>
      </c>
      <c r="D268">
        <v>11</v>
      </c>
    </row>
    <row r="269" spans="1:4">
      <c r="A269" s="1016">
        <v>10</v>
      </c>
      <c r="B269" s="1017" t="s">
        <v>714</v>
      </c>
      <c r="C269">
        <f>'DMC Threads - By Color'!BH7</f>
        <v>0</v>
      </c>
      <c r="D269">
        <v>12</v>
      </c>
    </row>
    <row r="270" spans="1:4">
      <c r="A270" s="1019">
        <v>11</v>
      </c>
      <c r="B270" s="572" t="s">
        <v>695</v>
      </c>
      <c r="C270">
        <f>'DMC Threads - By Color'!BH8</f>
        <v>0</v>
      </c>
      <c r="D270">
        <v>12</v>
      </c>
    </row>
    <row r="271" spans="1:4">
      <c r="A271" s="1019">
        <v>12</v>
      </c>
      <c r="B271" s="572" t="s">
        <v>120</v>
      </c>
      <c r="C271">
        <f>'DMC Threads - By Color'!BH9</f>
        <v>0</v>
      </c>
      <c r="D271">
        <v>12</v>
      </c>
    </row>
    <row r="272" spans="1:4">
      <c r="A272" s="1019">
        <v>165</v>
      </c>
      <c r="B272" s="572" t="s">
        <v>457</v>
      </c>
      <c r="C272">
        <f>'DMC Threads - By Color'!BH10</f>
        <v>0</v>
      </c>
      <c r="D272">
        <v>12</v>
      </c>
    </row>
    <row r="273" spans="1:4">
      <c r="A273" s="1019">
        <v>3819</v>
      </c>
      <c r="B273" s="572" t="s">
        <v>617</v>
      </c>
      <c r="C273">
        <f>'DMC Threads - By Color'!BH11</f>
        <v>0</v>
      </c>
      <c r="D273">
        <v>12</v>
      </c>
    </row>
    <row r="274" spans="1:4">
      <c r="A274" s="1019">
        <v>166</v>
      </c>
      <c r="B274" s="572" t="s">
        <v>56</v>
      </c>
      <c r="C274">
        <f>'DMC Threads - By Color'!BH12</f>
        <v>0</v>
      </c>
      <c r="D274">
        <v>12</v>
      </c>
    </row>
    <row r="275" spans="1:4">
      <c r="A275" s="1019">
        <v>581</v>
      </c>
      <c r="B275" s="572" t="s">
        <v>13</v>
      </c>
      <c r="C275">
        <f>'DMC Threads - By Color'!BH13</f>
        <v>0</v>
      </c>
      <c r="D275">
        <v>12</v>
      </c>
    </row>
    <row r="276" spans="1:4">
      <c r="A276" s="1019">
        <v>580</v>
      </c>
      <c r="B276" s="572" t="s">
        <v>331</v>
      </c>
      <c r="C276">
        <f>'DMC Threads - By Color'!BH14</f>
        <v>0</v>
      </c>
      <c r="D276">
        <v>12</v>
      </c>
    </row>
    <row r="277" spans="1:4">
      <c r="A277" s="1019">
        <v>523</v>
      </c>
      <c r="B277" s="572" t="s">
        <v>545</v>
      </c>
      <c r="C277">
        <f>'DMC Threads - By Color'!BH15</f>
        <v>0</v>
      </c>
      <c r="D277">
        <v>12</v>
      </c>
    </row>
    <row r="278" spans="1:4">
      <c r="A278" s="1019">
        <v>3053</v>
      </c>
      <c r="B278" s="572" t="s">
        <v>69</v>
      </c>
      <c r="C278">
        <f>'DMC Threads - By Color'!BH16</f>
        <v>0</v>
      </c>
      <c r="D278">
        <v>12</v>
      </c>
    </row>
    <row r="279" spans="1:4">
      <c r="A279" s="1019">
        <v>3052</v>
      </c>
      <c r="B279" s="572" t="s">
        <v>496</v>
      </c>
      <c r="C279">
        <f>'DMC Threads - By Color'!BH17</f>
        <v>0</v>
      </c>
      <c r="D279">
        <v>12</v>
      </c>
    </row>
    <row r="280" spans="1:4">
      <c r="A280" s="1019">
        <v>3051</v>
      </c>
      <c r="B280" s="572" t="s">
        <v>340</v>
      </c>
      <c r="C280">
        <f>'DMC Threads - By Color'!BH18</f>
        <v>0</v>
      </c>
      <c r="D280">
        <v>12</v>
      </c>
    </row>
    <row r="281" spans="1:4">
      <c r="A281" s="1019">
        <v>524</v>
      </c>
      <c r="B281" s="572" t="s">
        <v>547</v>
      </c>
      <c r="C281">
        <f>'DMC Threads - By Color'!BH19</f>
        <v>0</v>
      </c>
      <c r="D281">
        <v>12</v>
      </c>
    </row>
    <row r="282" spans="1:4">
      <c r="A282" s="1019">
        <v>522</v>
      </c>
      <c r="B282" s="572" t="s">
        <v>11</v>
      </c>
      <c r="C282">
        <f>'DMC Threads - By Color'!BH20</f>
        <v>0</v>
      </c>
      <c r="D282">
        <v>12</v>
      </c>
    </row>
    <row r="283" spans="1:4">
      <c r="A283" s="1019">
        <v>520</v>
      </c>
      <c r="B283" s="572" t="s">
        <v>319</v>
      </c>
      <c r="C283">
        <f>'DMC Threads - By Color'!BH21</f>
        <v>0</v>
      </c>
      <c r="D283">
        <v>12</v>
      </c>
    </row>
    <row r="284" spans="1:4">
      <c r="A284" s="1019">
        <v>734</v>
      </c>
      <c r="B284" s="572" t="s">
        <v>661</v>
      </c>
      <c r="C284">
        <f>'DMC Threads - By Color'!BH22</f>
        <v>0</v>
      </c>
      <c r="D284">
        <v>12</v>
      </c>
    </row>
    <row r="285" spans="1:4">
      <c r="A285" s="1019">
        <v>733</v>
      </c>
      <c r="B285" s="572" t="s">
        <v>535</v>
      </c>
      <c r="C285">
        <f>'DMC Threads - By Color'!BH23</f>
        <v>0</v>
      </c>
      <c r="D285">
        <v>12</v>
      </c>
    </row>
    <row r="286" spans="1:4">
      <c r="A286" s="1019">
        <v>732</v>
      </c>
      <c r="B286" s="572" t="s">
        <v>20</v>
      </c>
      <c r="C286">
        <f>'DMC Threads - By Color'!BH24</f>
        <v>0</v>
      </c>
      <c r="D286">
        <v>12</v>
      </c>
    </row>
    <row r="287" spans="1:4">
      <c r="A287" s="1019">
        <v>730</v>
      </c>
      <c r="B287" s="572" t="s">
        <v>448</v>
      </c>
      <c r="C287">
        <f>'DMC Threads - By Color'!BH25</f>
        <v>0</v>
      </c>
      <c r="D287">
        <v>12</v>
      </c>
    </row>
    <row r="288" spans="1:4">
      <c r="A288" s="1019">
        <v>3013</v>
      </c>
      <c r="B288" s="572" t="s">
        <v>553</v>
      </c>
      <c r="C288">
        <f>'DMC Threads - By Color'!BH26</f>
        <v>0</v>
      </c>
      <c r="D288">
        <v>12</v>
      </c>
    </row>
    <row r="289" spans="1:4">
      <c r="A289" s="1019">
        <v>3012</v>
      </c>
      <c r="B289" s="572" t="s">
        <v>473</v>
      </c>
      <c r="C289">
        <f>'DMC Threads - By Color'!BH27</f>
        <v>0</v>
      </c>
      <c r="D289">
        <v>12</v>
      </c>
    </row>
    <row r="290" spans="1:4">
      <c r="A290" s="1019">
        <v>3011</v>
      </c>
      <c r="B290" s="572" t="s">
        <v>323</v>
      </c>
      <c r="C290">
        <f>'DMC Threads - By Color'!BH28</f>
        <v>0</v>
      </c>
      <c r="D290">
        <v>12</v>
      </c>
    </row>
    <row r="291" spans="1:4">
      <c r="A291" s="1019">
        <v>372</v>
      </c>
      <c r="B291" s="572" t="s">
        <v>611</v>
      </c>
      <c r="C291">
        <f>'DMC Threads - By Color'!BH29</f>
        <v>0</v>
      </c>
      <c r="D291">
        <v>12</v>
      </c>
    </row>
    <row r="292" spans="1:4">
      <c r="A292" s="1019">
        <v>371</v>
      </c>
      <c r="B292" s="572" t="s">
        <v>6</v>
      </c>
      <c r="C292">
        <f>'DMC Threads - By Color'!BH30</f>
        <v>0</v>
      </c>
      <c r="D292">
        <v>12</v>
      </c>
    </row>
    <row r="293" spans="1:4" ht="17" thickBot="1">
      <c r="A293" s="1021">
        <v>370</v>
      </c>
      <c r="B293" s="1022" t="s">
        <v>505</v>
      </c>
      <c r="C293">
        <f>'DMC Threads - By Color'!BH31</f>
        <v>0</v>
      </c>
      <c r="D293">
        <v>12</v>
      </c>
    </row>
    <row r="294" spans="1:4">
      <c r="A294" s="1016">
        <v>17</v>
      </c>
      <c r="B294" s="1017" t="s">
        <v>692</v>
      </c>
      <c r="C294">
        <f>'DMC Threads - By Color'!BM7</f>
        <v>0</v>
      </c>
      <c r="D294">
        <v>13</v>
      </c>
    </row>
    <row r="295" spans="1:4">
      <c r="A295" s="1019">
        <v>18</v>
      </c>
      <c r="B295" s="572" t="s">
        <v>122</v>
      </c>
      <c r="C295">
        <f>'DMC Threads - By Color'!BM8</f>
        <v>0</v>
      </c>
      <c r="D295">
        <v>13</v>
      </c>
    </row>
    <row r="296" spans="1:4">
      <c r="A296" s="1019">
        <v>834</v>
      </c>
      <c r="B296" s="572" t="s">
        <v>649</v>
      </c>
      <c r="C296">
        <f>'DMC Threads - By Color'!BM9</f>
        <v>0</v>
      </c>
      <c r="D296">
        <v>13</v>
      </c>
    </row>
    <row r="297" spans="1:4">
      <c r="A297" s="1019">
        <v>833</v>
      </c>
      <c r="B297" s="572" t="s">
        <v>646</v>
      </c>
      <c r="C297">
        <f>'DMC Threads - By Color'!BM10</f>
        <v>0</v>
      </c>
      <c r="D297">
        <v>13</v>
      </c>
    </row>
    <row r="298" spans="1:4">
      <c r="A298" s="1019">
        <v>832</v>
      </c>
      <c r="B298" s="572" t="s">
        <v>28</v>
      </c>
      <c r="C298">
        <f>'DMC Threads - By Color'!BM11</f>
        <v>0</v>
      </c>
      <c r="D298">
        <v>13</v>
      </c>
    </row>
    <row r="299" spans="1:4">
      <c r="A299" s="1019">
        <v>831</v>
      </c>
      <c r="B299" s="572" t="s">
        <v>525</v>
      </c>
      <c r="C299">
        <f>'DMC Threads - By Color'!BM12</f>
        <v>0</v>
      </c>
      <c r="D299">
        <v>13</v>
      </c>
    </row>
    <row r="300" spans="1:4">
      <c r="A300" s="1019">
        <v>830</v>
      </c>
      <c r="B300" s="572" t="s">
        <v>388</v>
      </c>
      <c r="C300">
        <f>'DMC Threads - By Color'!BM13</f>
        <v>0</v>
      </c>
      <c r="D300">
        <v>13</v>
      </c>
    </row>
    <row r="301" spans="1:4">
      <c r="A301" s="1019">
        <v>829</v>
      </c>
      <c r="B301" s="572" t="s">
        <v>444</v>
      </c>
      <c r="C301">
        <f>'DMC Threads - By Color'!BM14</f>
        <v>0</v>
      </c>
      <c r="D301">
        <v>13</v>
      </c>
    </row>
    <row r="302" spans="1:4">
      <c r="A302" s="1019">
        <v>746</v>
      </c>
      <c r="B302" s="572" t="s">
        <v>22</v>
      </c>
      <c r="C302">
        <f>'DMC Threads - By Color'!BM15</f>
        <v>0</v>
      </c>
      <c r="D302">
        <v>13</v>
      </c>
    </row>
    <row r="303" spans="1:4">
      <c r="A303" s="1019">
        <v>677</v>
      </c>
      <c r="B303" s="572" t="s">
        <v>619</v>
      </c>
      <c r="C303">
        <f>'DMC Threads - By Color'!BM16</f>
        <v>0</v>
      </c>
      <c r="D303">
        <v>13</v>
      </c>
    </row>
    <row r="304" spans="1:4">
      <c r="A304" s="1019">
        <v>422</v>
      </c>
      <c r="B304" s="572" t="s">
        <v>626</v>
      </c>
      <c r="C304">
        <f>'DMC Threads - By Color'!BM17</f>
        <v>0</v>
      </c>
      <c r="D304">
        <v>13</v>
      </c>
    </row>
    <row r="305" spans="1:4">
      <c r="A305" s="1019">
        <v>3828</v>
      </c>
      <c r="B305" s="572" t="s">
        <v>77</v>
      </c>
      <c r="C305">
        <f>'DMC Threads - By Color'!BM18</f>
        <v>0</v>
      </c>
      <c r="D305">
        <v>13</v>
      </c>
    </row>
    <row r="306" spans="1:4">
      <c r="A306" s="1019">
        <v>420</v>
      </c>
      <c r="B306" s="572" t="s">
        <v>374</v>
      </c>
      <c r="C306">
        <f>'DMC Threads - By Color'!BM19</f>
        <v>0</v>
      </c>
      <c r="D306">
        <v>13</v>
      </c>
    </row>
    <row r="307" spans="1:4">
      <c r="A307" s="1019">
        <v>869</v>
      </c>
      <c r="B307" s="572" t="s">
        <v>451</v>
      </c>
      <c r="C307">
        <f>'DMC Threads - By Color'!BM20</f>
        <v>0</v>
      </c>
      <c r="D307">
        <v>13</v>
      </c>
    </row>
    <row r="308" spans="1:4">
      <c r="A308" s="1019">
        <v>613</v>
      </c>
      <c r="B308" s="572" t="s">
        <v>603</v>
      </c>
      <c r="C308">
        <f>'DMC Threads - By Color'!BM21</f>
        <v>0</v>
      </c>
      <c r="D308">
        <v>13</v>
      </c>
    </row>
    <row r="309" spans="1:4">
      <c r="A309" s="1019">
        <v>612</v>
      </c>
      <c r="B309" s="572" t="s">
        <v>600</v>
      </c>
      <c r="C309">
        <f>'DMC Threads - By Color'!BM22</f>
        <v>0</v>
      </c>
      <c r="D309">
        <v>13</v>
      </c>
    </row>
    <row r="310" spans="1:4">
      <c r="A310" s="1019">
        <v>611</v>
      </c>
      <c r="B310" s="572" t="s">
        <v>62</v>
      </c>
      <c r="C310">
        <f>'DMC Threads - By Color'!BM23</f>
        <v>0</v>
      </c>
      <c r="D310">
        <v>13</v>
      </c>
    </row>
    <row r="311" spans="1:4">
      <c r="A311" s="1019">
        <v>610</v>
      </c>
      <c r="B311" s="572" t="s">
        <v>348</v>
      </c>
      <c r="C311">
        <f>'DMC Threads - By Color'!BM24</f>
        <v>0</v>
      </c>
      <c r="D311">
        <v>13</v>
      </c>
    </row>
    <row r="312" spans="1:4">
      <c r="A312" s="1019">
        <v>3047</v>
      </c>
      <c r="B312" s="572" t="s">
        <v>580</v>
      </c>
      <c r="C312">
        <f>'DMC Threads - By Color'!BM25</f>
        <v>0</v>
      </c>
      <c r="D312">
        <v>13</v>
      </c>
    </row>
    <row r="313" spans="1:4">
      <c r="A313" s="1019">
        <v>3046</v>
      </c>
      <c r="B313" s="572" t="s">
        <v>491</v>
      </c>
      <c r="C313">
        <f>'DMC Threads - By Color'!BM26</f>
        <v>0</v>
      </c>
      <c r="D313">
        <v>13</v>
      </c>
    </row>
    <row r="314" spans="1:4">
      <c r="A314" s="1019">
        <v>3045</v>
      </c>
      <c r="B314" s="572" t="s">
        <v>335</v>
      </c>
      <c r="C314">
        <f>'DMC Threads - By Color'!BM27</f>
        <v>0</v>
      </c>
      <c r="D314">
        <v>13</v>
      </c>
    </row>
    <row r="315" spans="1:4" ht="17" thickBot="1">
      <c r="A315" s="1021">
        <v>167</v>
      </c>
      <c r="B315" s="1022" t="s">
        <v>57</v>
      </c>
      <c r="C315">
        <f>'DMC Threads - By Color'!BM28</f>
        <v>0</v>
      </c>
      <c r="D315">
        <v>13</v>
      </c>
    </row>
    <row r="316" spans="1:4">
      <c r="A316" s="1016">
        <v>676</v>
      </c>
      <c r="B316" s="1017" t="s">
        <v>618</v>
      </c>
      <c r="C316">
        <f>'DMC Threads - By Color'!BR7</f>
        <v>0</v>
      </c>
      <c r="D316">
        <v>14</v>
      </c>
    </row>
    <row r="317" spans="1:4">
      <c r="A317" s="1019">
        <v>729</v>
      </c>
      <c r="B317" s="572" t="s">
        <v>529</v>
      </c>
      <c r="C317">
        <f>'DMC Threads - By Color'!BR8</f>
        <v>0</v>
      </c>
      <c r="D317">
        <v>14</v>
      </c>
    </row>
    <row r="318" spans="1:4">
      <c r="A318" s="1019">
        <v>680</v>
      </c>
      <c r="B318" s="572" t="s">
        <v>375</v>
      </c>
      <c r="C318">
        <f>'DMC Threads - By Color'!BR9</f>
        <v>0</v>
      </c>
      <c r="D318">
        <v>14</v>
      </c>
    </row>
    <row r="319" spans="1:4">
      <c r="A319" s="1019">
        <v>3829</v>
      </c>
      <c r="B319" s="572" t="s">
        <v>442</v>
      </c>
      <c r="C319">
        <f>'DMC Threads - By Color'!BR10</f>
        <v>0</v>
      </c>
      <c r="D319">
        <v>14</v>
      </c>
    </row>
    <row r="320" spans="1:4">
      <c r="A320" s="1019">
        <v>3822</v>
      </c>
      <c r="B320" s="572" t="s">
        <v>625</v>
      </c>
      <c r="C320">
        <f>'DMC Threads - By Color'!BR11</f>
        <v>0</v>
      </c>
      <c r="D320">
        <v>14</v>
      </c>
    </row>
    <row r="321" spans="1:4">
      <c r="A321" s="1019">
        <v>3821</v>
      </c>
      <c r="B321" s="572" t="s">
        <v>75</v>
      </c>
      <c r="C321">
        <f>'DMC Threads - By Color'!BR12</f>
        <v>0</v>
      </c>
      <c r="D321">
        <v>14</v>
      </c>
    </row>
    <row r="322" spans="1:4">
      <c r="A322" s="1019">
        <v>3820</v>
      </c>
      <c r="B322" s="572" t="s">
        <v>372</v>
      </c>
      <c r="C322">
        <f>'DMC Threads - By Color'!BR13</f>
        <v>0</v>
      </c>
      <c r="D322">
        <v>14</v>
      </c>
    </row>
    <row r="323" spans="1:4">
      <c r="A323" s="1019">
        <v>3852</v>
      </c>
      <c r="B323" s="572" t="s">
        <v>407</v>
      </c>
      <c r="C323">
        <f>'DMC Threads - By Color'!BR14</f>
        <v>0</v>
      </c>
      <c r="D323">
        <v>14</v>
      </c>
    </row>
    <row r="324" spans="1:4">
      <c r="A324" s="1019">
        <v>728</v>
      </c>
      <c r="B324" s="572" t="s">
        <v>63</v>
      </c>
      <c r="C324">
        <f>'DMC Threads - By Color'!BR15</f>
        <v>0</v>
      </c>
      <c r="D324">
        <v>14</v>
      </c>
    </row>
    <row r="325" spans="1:4">
      <c r="A325" s="1019">
        <v>783</v>
      </c>
      <c r="B325" s="572" t="s">
        <v>494</v>
      </c>
      <c r="C325">
        <f>'DMC Threads - By Color'!BR16</f>
        <v>0</v>
      </c>
      <c r="D325">
        <v>14</v>
      </c>
    </row>
    <row r="326" spans="1:4">
      <c r="A326" s="1019">
        <v>782</v>
      </c>
      <c r="B326" s="572" t="s">
        <v>339</v>
      </c>
      <c r="C326">
        <f>'DMC Threads - By Color'!BR17</f>
        <v>0</v>
      </c>
      <c r="D326">
        <v>14</v>
      </c>
    </row>
    <row r="327" spans="1:4">
      <c r="A327" s="1019">
        <v>780</v>
      </c>
      <c r="B327" s="572" t="s">
        <v>670</v>
      </c>
      <c r="C327">
        <f>'DMC Threads - By Color'!BR18</f>
        <v>0</v>
      </c>
      <c r="D327">
        <v>14</v>
      </c>
    </row>
    <row r="328" spans="1:4">
      <c r="A328" s="1019">
        <v>3823</v>
      </c>
      <c r="B328" s="572" t="s">
        <v>700</v>
      </c>
      <c r="C328">
        <f>'DMC Threads - By Color'!BR19</f>
        <v>0</v>
      </c>
      <c r="D328">
        <v>14</v>
      </c>
    </row>
    <row r="329" spans="1:4">
      <c r="A329" s="1019">
        <v>3855</v>
      </c>
      <c r="B329" s="572" t="s">
        <v>556</v>
      </c>
      <c r="C329">
        <f>'DMC Threads - By Color'!BR20</f>
        <v>0</v>
      </c>
      <c r="D329">
        <v>14</v>
      </c>
    </row>
    <row r="330" spans="1:4">
      <c r="A330" s="1019">
        <v>19</v>
      </c>
      <c r="B330" s="572" t="s">
        <v>713</v>
      </c>
      <c r="C330">
        <f>'DMC Threads - By Color'!BR21</f>
        <v>0</v>
      </c>
      <c r="D330">
        <v>14</v>
      </c>
    </row>
    <row r="331" spans="1:4">
      <c r="A331" s="1019">
        <v>3854</v>
      </c>
      <c r="B331" s="572" t="s">
        <v>475</v>
      </c>
      <c r="C331">
        <f>'DMC Threads - By Color'!BR22</f>
        <v>0</v>
      </c>
      <c r="D331">
        <v>14</v>
      </c>
    </row>
    <row r="332" spans="1:4">
      <c r="A332" s="1019">
        <v>3853</v>
      </c>
      <c r="B332" s="572" t="s">
        <v>326</v>
      </c>
      <c r="C332">
        <f>'DMC Threads - By Color'!BR23</f>
        <v>0</v>
      </c>
      <c r="D332">
        <v>14</v>
      </c>
    </row>
    <row r="333" spans="1:4">
      <c r="A333" s="1019">
        <v>3827</v>
      </c>
      <c r="B333" s="572" t="s">
        <v>703</v>
      </c>
      <c r="C333">
        <f>'DMC Threads - By Color'!BR24</f>
        <v>0</v>
      </c>
      <c r="D333">
        <v>14</v>
      </c>
    </row>
    <row r="334" spans="1:4">
      <c r="A334" s="1019">
        <v>977</v>
      </c>
      <c r="B334" s="572" t="s">
        <v>658</v>
      </c>
      <c r="C334">
        <f>'DMC Threads - By Color'!BR25</f>
        <v>0</v>
      </c>
      <c r="D334">
        <v>14</v>
      </c>
    </row>
    <row r="335" spans="1:4">
      <c r="A335" s="1019">
        <v>976</v>
      </c>
      <c r="B335" s="572" t="s">
        <v>533</v>
      </c>
      <c r="C335">
        <f>'DMC Threads - By Color'!BR26</f>
        <v>0</v>
      </c>
      <c r="D335">
        <v>14</v>
      </c>
    </row>
    <row r="336" spans="1:4">
      <c r="A336" s="1019">
        <v>3826</v>
      </c>
      <c r="B336" s="572" t="s">
        <v>76</v>
      </c>
      <c r="C336">
        <f>'DMC Threads - By Color'!BR27</f>
        <v>0</v>
      </c>
      <c r="D336">
        <v>14</v>
      </c>
    </row>
    <row r="337" spans="1:4" ht="17" thickBot="1">
      <c r="A337" s="1021">
        <v>975</v>
      </c>
      <c r="B337" s="1022" t="s">
        <v>397</v>
      </c>
      <c r="C337">
        <f>'DMC Threads - By Color'!BR28</f>
        <v>0</v>
      </c>
      <c r="D337">
        <v>14</v>
      </c>
    </row>
    <row r="338" spans="1:4">
      <c r="A338" s="1016">
        <v>445</v>
      </c>
      <c r="B338" s="1017" t="s">
        <v>601</v>
      </c>
      <c r="C338">
        <f>'DMC Threads - By Color'!BW7</f>
        <v>0</v>
      </c>
      <c r="D338">
        <v>15</v>
      </c>
    </row>
    <row r="339" spans="1:4">
      <c r="A339" s="1019">
        <v>307</v>
      </c>
      <c r="B339" s="572" t="s">
        <v>2</v>
      </c>
      <c r="C339">
        <f>'DMC Threads - By Color'!BW8</f>
        <v>0</v>
      </c>
      <c r="D339">
        <v>15</v>
      </c>
    </row>
    <row r="340" spans="1:4">
      <c r="A340" s="1019">
        <v>973</v>
      </c>
      <c r="B340" s="572" t="s">
        <v>459</v>
      </c>
      <c r="C340">
        <f>'DMC Threads - By Color'!BW9</f>
        <v>0</v>
      </c>
      <c r="D340">
        <v>15</v>
      </c>
    </row>
    <row r="341" spans="1:4">
      <c r="A341" s="1019">
        <v>444</v>
      </c>
      <c r="B341" s="572" t="s">
        <v>383</v>
      </c>
      <c r="C341">
        <f>'DMC Threads - By Color'!BW10</f>
        <v>0</v>
      </c>
      <c r="D341">
        <v>15</v>
      </c>
    </row>
    <row r="342" spans="1:4">
      <c r="A342" s="1019">
        <v>3078</v>
      </c>
      <c r="B342" s="572" t="s">
        <v>592</v>
      </c>
      <c r="C342">
        <f>'DMC Threads - By Color'!BW11</f>
        <v>0</v>
      </c>
      <c r="D342">
        <v>15</v>
      </c>
    </row>
    <row r="343" spans="1:4">
      <c r="A343" s="1019">
        <v>727</v>
      </c>
      <c r="B343" s="572" t="s">
        <v>648</v>
      </c>
      <c r="C343">
        <f>'DMC Threads - By Color'!BW12</f>
        <v>0</v>
      </c>
      <c r="D343">
        <v>15</v>
      </c>
    </row>
    <row r="344" spans="1:4">
      <c r="A344" s="1019">
        <v>726</v>
      </c>
      <c r="B344" s="572" t="s">
        <v>645</v>
      </c>
      <c r="C344">
        <f>'DMC Threads - By Color'!BW13</f>
        <v>0</v>
      </c>
      <c r="D344">
        <v>15</v>
      </c>
    </row>
    <row r="345" spans="1:4">
      <c r="A345" s="1019">
        <v>725</v>
      </c>
      <c r="B345" s="572" t="s">
        <v>19</v>
      </c>
      <c r="C345">
        <f>'DMC Threads - By Color'!BW14</f>
        <v>0</v>
      </c>
      <c r="D345">
        <v>15</v>
      </c>
    </row>
    <row r="346" spans="1:4">
      <c r="A346" s="1019">
        <v>972</v>
      </c>
      <c r="B346" s="572" t="s">
        <v>690</v>
      </c>
      <c r="C346">
        <f>'DMC Threads - By Color'!BW15</f>
        <v>0</v>
      </c>
      <c r="D346">
        <v>15</v>
      </c>
    </row>
    <row r="347" spans="1:4">
      <c r="A347" s="1019">
        <v>745</v>
      </c>
      <c r="B347" s="572" t="s">
        <v>698</v>
      </c>
      <c r="C347">
        <f>'DMC Threads - By Color'!BW16</f>
        <v>0</v>
      </c>
      <c r="D347">
        <v>15</v>
      </c>
    </row>
    <row r="348" spans="1:4">
      <c r="A348" s="1019">
        <v>744</v>
      </c>
      <c r="B348" s="572" t="s">
        <v>697</v>
      </c>
      <c r="C348">
        <f>'DMC Threads - By Color'!BW17</f>
        <v>0</v>
      </c>
      <c r="D348">
        <v>15</v>
      </c>
    </row>
    <row r="349" spans="1:4">
      <c r="A349" s="1019">
        <v>743</v>
      </c>
      <c r="B349" s="572" t="s">
        <v>467</v>
      </c>
      <c r="C349">
        <f>'DMC Threads - By Color'!BW18</f>
        <v>0</v>
      </c>
      <c r="D349">
        <v>15</v>
      </c>
    </row>
    <row r="350" spans="1:4">
      <c r="A350" s="1019">
        <v>742</v>
      </c>
      <c r="B350" s="572" t="s">
        <v>539</v>
      </c>
      <c r="C350">
        <f>'DMC Threads - By Color'!BW19</f>
        <v>0</v>
      </c>
      <c r="D350">
        <v>15</v>
      </c>
    </row>
    <row r="351" spans="1:4">
      <c r="A351" s="1019">
        <v>741</v>
      </c>
      <c r="B351" s="572" t="s">
        <v>464</v>
      </c>
      <c r="C351">
        <f>'DMC Threads - By Color'!BW20</f>
        <v>0</v>
      </c>
      <c r="D351">
        <v>15</v>
      </c>
    </row>
    <row r="352" spans="1:4">
      <c r="A352" s="1019">
        <v>740</v>
      </c>
      <c r="B352" s="572" t="s">
        <v>21</v>
      </c>
      <c r="C352">
        <f>'DMC Threads - By Color'!BW21</f>
        <v>0</v>
      </c>
      <c r="D352">
        <v>15</v>
      </c>
    </row>
    <row r="353" spans="1:4">
      <c r="A353" s="1019">
        <v>970</v>
      </c>
      <c r="B353" s="572" t="s">
        <v>650</v>
      </c>
      <c r="C353">
        <f>'DMC Threads - By Color'!BW22</f>
        <v>0</v>
      </c>
      <c r="D353">
        <v>15</v>
      </c>
    </row>
    <row r="354" spans="1:4">
      <c r="A354" s="1019">
        <v>947</v>
      </c>
      <c r="B354" s="572" t="s">
        <v>31</v>
      </c>
      <c r="C354">
        <f>'DMC Threads - By Color'!BW23</f>
        <v>0</v>
      </c>
      <c r="D354">
        <v>15</v>
      </c>
    </row>
    <row r="355" spans="1:4">
      <c r="A355" s="1019">
        <v>946</v>
      </c>
      <c r="B355" s="572" t="s">
        <v>513</v>
      </c>
      <c r="C355">
        <f>'DMC Threads - By Color'!BW24</f>
        <v>0</v>
      </c>
      <c r="D355">
        <v>15</v>
      </c>
    </row>
    <row r="356" spans="1:4">
      <c r="A356" s="1019">
        <v>900</v>
      </c>
      <c r="B356" s="572" t="s">
        <v>324</v>
      </c>
      <c r="C356">
        <f>'DMC Threads - By Color'!BW25</f>
        <v>0</v>
      </c>
      <c r="D356">
        <v>15</v>
      </c>
    </row>
    <row r="357" spans="1:4">
      <c r="A357" s="1019">
        <v>967</v>
      </c>
      <c r="B357" s="572" t="s">
        <v>552</v>
      </c>
      <c r="C357">
        <f>'DMC Threads - By Color'!BW26</f>
        <v>0</v>
      </c>
      <c r="D357">
        <v>15</v>
      </c>
    </row>
    <row r="358" spans="1:4">
      <c r="A358" s="1019">
        <v>3824</v>
      </c>
      <c r="B358" s="572" t="s">
        <v>629</v>
      </c>
      <c r="C358">
        <f>'DMC Threads - By Color'!BW27</f>
        <v>0</v>
      </c>
      <c r="D358">
        <v>15</v>
      </c>
    </row>
    <row r="359" spans="1:4">
      <c r="A359" s="1019">
        <v>3341</v>
      </c>
      <c r="B359" s="572" t="s">
        <v>37</v>
      </c>
      <c r="C359">
        <f>'DMC Threads - By Color'!BW28</f>
        <v>0</v>
      </c>
      <c r="D359">
        <v>15</v>
      </c>
    </row>
    <row r="360" spans="1:4">
      <c r="A360" s="1019">
        <v>3340</v>
      </c>
      <c r="B360" s="572" t="s">
        <v>504</v>
      </c>
      <c r="C360">
        <f>'DMC Threads - By Color'!BW29</f>
        <v>0</v>
      </c>
      <c r="D360">
        <v>15</v>
      </c>
    </row>
    <row r="361" spans="1:4">
      <c r="A361" s="1019">
        <v>608</v>
      </c>
      <c r="B361" s="572" t="s">
        <v>454</v>
      </c>
      <c r="C361">
        <f>'DMC Threads - By Color'!BW30</f>
        <v>0</v>
      </c>
      <c r="D361">
        <v>15</v>
      </c>
    </row>
    <row r="362" spans="1:4" ht="17" thickBot="1">
      <c r="A362" s="1021">
        <v>606</v>
      </c>
      <c r="B362" s="1022" t="s">
        <v>453</v>
      </c>
      <c r="C362">
        <f>'DMC Threads - By Color'!BW31</f>
        <v>0</v>
      </c>
      <c r="D362">
        <v>15</v>
      </c>
    </row>
    <row r="363" spans="1:4">
      <c r="A363" s="1016">
        <v>951</v>
      </c>
      <c r="B363" s="1017" t="s">
        <v>627</v>
      </c>
      <c r="C363">
        <f>'DMC Threads - By Color'!CB7</f>
        <v>0</v>
      </c>
      <c r="D363">
        <v>16</v>
      </c>
    </row>
    <row r="364" spans="1:4">
      <c r="A364" s="1019">
        <v>3856</v>
      </c>
      <c r="B364" s="572" t="s">
        <v>668</v>
      </c>
      <c r="C364">
        <f>'DMC Threads - By Color'!CB8</f>
        <v>0</v>
      </c>
      <c r="D364">
        <v>16</v>
      </c>
    </row>
    <row r="365" spans="1:4">
      <c r="A365" s="1019">
        <v>722</v>
      </c>
      <c r="B365" s="572" t="s">
        <v>588</v>
      </c>
      <c r="C365">
        <f>'DMC Threads - By Color'!CB9</f>
        <v>0</v>
      </c>
      <c r="D365">
        <v>16</v>
      </c>
    </row>
    <row r="366" spans="1:4">
      <c r="A366" s="1019">
        <v>721</v>
      </c>
      <c r="B366" s="572" t="s">
        <v>523</v>
      </c>
      <c r="C366">
        <f>'DMC Threads - By Color'!CB10</f>
        <v>0</v>
      </c>
      <c r="D366">
        <v>16</v>
      </c>
    </row>
    <row r="367" spans="1:4">
      <c r="A367" s="1019">
        <v>720</v>
      </c>
      <c r="B367" s="572" t="s">
        <v>386</v>
      </c>
      <c r="C367">
        <f>'DMC Threads - By Color'!CB11</f>
        <v>0</v>
      </c>
      <c r="D367">
        <v>16</v>
      </c>
    </row>
    <row r="368" spans="1:4">
      <c r="A368" s="1019">
        <v>3825</v>
      </c>
      <c r="B368" s="572" t="s">
        <v>701</v>
      </c>
      <c r="C368">
        <f>'DMC Threads - By Color'!CB12</f>
        <v>0</v>
      </c>
      <c r="D368">
        <v>16</v>
      </c>
    </row>
    <row r="369" spans="1:4">
      <c r="A369" s="1019">
        <v>922</v>
      </c>
      <c r="B369" s="572" t="s">
        <v>587</v>
      </c>
      <c r="C369">
        <f>'DMC Threads - By Color'!CB13</f>
        <v>0</v>
      </c>
      <c r="D369">
        <v>16</v>
      </c>
    </row>
    <row r="370" spans="1:4">
      <c r="A370" s="1019">
        <v>921</v>
      </c>
      <c r="B370" s="572" t="s">
        <v>30</v>
      </c>
      <c r="C370">
        <f>'DMC Threads - By Color'!CB14</f>
        <v>0</v>
      </c>
      <c r="D370">
        <v>16</v>
      </c>
    </row>
    <row r="371" spans="1:4">
      <c r="A371" s="1019">
        <v>920</v>
      </c>
      <c r="B371" s="572" t="s">
        <v>495</v>
      </c>
      <c r="C371">
        <f>'DMC Threads - By Color'!CB15</f>
        <v>0</v>
      </c>
      <c r="D371">
        <v>16</v>
      </c>
    </row>
    <row r="372" spans="1:4">
      <c r="A372" s="1019">
        <v>919</v>
      </c>
      <c r="B372" s="572" t="s">
        <v>29</v>
      </c>
      <c r="C372">
        <f>'DMC Threads - By Color'!CB16</f>
        <v>0</v>
      </c>
      <c r="D372">
        <v>16</v>
      </c>
    </row>
    <row r="373" spans="1:4">
      <c r="A373" s="1019">
        <v>918</v>
      </c>
      <c r="B373" s="572" t="s">
        <v>337</v>
      </c>
      <c r="C373">
        <f>'DMC Threads - By Color'!CB17</f>
        <v>0</v>
      </c>
      <c r="D373">
        <v>16</v>
      </c>
    </row>
    <row r="374" spans="1:4">
      <c r="A374" s="1019">
        <v>3770</v>
      </c>
      <c r="B374" s="572" t="s">
        <v>554</v>
      </c>
      <c r="C374">
        <f>'DMC Threads - By Color'!CB18</f>
        <v>0</v>
      </c>
      <c r="D374">
        <v>16</v>
      </c>
    </row>
    <row r="375" spans="1:4">
      <c r="A375" s="1019">
        <v>945</v>
      </c>
      <c r="B375" s="572" t="s">
        <v>68</v>
      </c>
      <c r="C375">
        <f>'DMC Threads - By Color'!CB19</f>
        <v>0</v>
      </c>
      <c r="D375">
        <v>16</v>
      </c>
    </row>
    <row r="376" spans="1:4">
      <c r="A376" s="1019">
        <v>402</v>
      </c>
      <c r="B376" s="572" t="s">
        <v>614</v>
      </c>
      <c r="C376">
        <f>'DMC Threads - By Color'!CB20</f>
        <v>0</v>
      </c>
      <c r="D376">
        <v>16</v>
      </c>
    </row>
    <row r="377" spans="1:4">
      <c r="A377" s="1019">
        <v>3776</v>
      </c>
      <c r="B377" s="572" t="s">
        <v>566</v>
      </c>
      <c r="C377">
        <f>'DMC Threads - By Color'!CB21</f>
        <v>0</v>
      </c>
      <c r="D377">
        <v>16</v>
      </c>
    </row>
    <row r="378" spans="1:4">
      <c r="A378" s="1019">
        <v>301</v>
      </c>
      <c r="B378" s="572" t="s">
        <v>462</v>
      </c>
      <c r="C378">
        <f>'DMC Threads - By Color'!CB22</f>
        <v>0</v>
      </c>
      <c r="D378">
        <v>16</v>
      </c>
    </row>
    <row r="379" spans="1:4">
      <c r="A379" s="1019">
        <v>400</v>
      </c>
      <c r="B379" s="572" t="s">
        <v>363</v>
      </c>
      <c r="C379">
        <f>'DMC Threads - By Color'!CB23</f>
        <v>0</v>
      </c>
      <c r="D379">
        <v>16</v>
      </c>
    </row>
    <row r="380" spans="1:4">
      <c r="A380" s="1019">
        <v>300</v>
      </c>
      <c r="B380" s="572" t="s">
        <v>402</v>
      </c>
      <c r="C380">
        <f>'DMC Threads - By Color'!CB24</f>
        <v>0</v>
      </c>
      <c r="D380">
        <v>16</v>
      </c>
    </row>
    <row r="381" spans="1:4">
      <c r="A381" s="1019">
        <v>225</v>
      </c>
      <c r="B381" s="572" t="s">
        <v>686</v>
      </c>
      <c r="C381">
        <f>'DMC Threads - By Color'!CB25</f>
        <v>0</v>
      </c>
      <c r="D381">
        <v>16</v>
      </c>
    </row>
    <row r="382" spans="1:4">
      <c r="A382" s="1019">
        <v>224</v>
      </c>
      <c r="B382" s="572" t="s">
        <v>659</v>
      </c>
      <c r="C382">
        <f>'DMC Threads - By Color'!CB26</f>
        <v>0</v>
      </c>
      <c r="D382">
        <v>16</v>
      </c>
    </row>
    <row r="383" spans="1:4">
      <c r="A383" s="1019">
        <v>152</v>
      </c>
      <c r="B383" s="572" t="s">
        <v>369</v>
      </c>
      <c r="C383">
        <f>'DMC Threads - By Color'!CB27</f>
        <v>0</v>
      </c>
      <c r="D383">
        <v>16</v>
      </c>
    </row>
    <row r="384" spans="1:4">
      <c r="A384" s="1019">
        <v>223</v>
      </c>
      <c r="B384" s="572" t="s">
        <v>581</v>
      </c>
      <c r="C384">
        <f>'DMC Threads - By Color'!CB28</f>
        <v>0</v>
      </c>
      <c r="D384">
        <v>16</v>
      </c>
    </row>
    <row r="385" spans="1:4">
      <c r="A385" s="1019">
        <v>3722</v>
      </c>
      <c r="B385" s="572" t="s">
        <v>527</v>
      </c>
      <c r="C385">
        <f>'DMC Threads - By Color'!CB29</f>
        <v>0</v>
      </c>
      <c r="D385">
        <v>16</v>
      </c>
    </row>
    <row r="386" spans="1:4">
      <c r="A386" s="1019">
        <v>3721</v>
      </c>
      <c r="B386" s="572" t="s">
        <v>389</v>
      </c>
      <c r="C386">
        <f>'DMC Threads - By Color'!CB30</f>
        <v>0</v>
      </c>
      <c r="D386">
        <v>16</v>
      </c>
    </row>
    <row r="387" spans="1:4" ht="17" thickBot="1">
      <c r="A387" s="1021">
        <v>221</v>
      </c>
      <c r="B387" s="1022" t="s">
        <v>449</v>
      </c>
      <c r="C387">
        <f>'DMC Threads - By Color'!CB31</f>
        <v>0</v>
      </c>
      <c r="D387">
        <v>16</v>
      </c>
    </row>
    <row r="388" spans="1:4">
      <c r="A388" s="1016">
        <v>948</v>
      </c>
      <c r="B388" s="1017" t="s">
        <v>620</v>
      </c>
      <c r="C388">
        <f>'DMC Threads - By Color'!CG7</f>
        <v>0</v>
      </c>
      <c r="D388">
        <v>17</v>
      </c>
    </row>
    <row r="389" spans="1:4">
      <c r="A389" s="1019">
        <v>754</v>
      </c>
      <c r="B389" s="572" t="s">
        <v>552</v>
      </c>
      <c r="C389">
        <f>'DMC Threads - By Color'!CG8</f>
        <v>0</v>
      </c>
      <c r="D389">
        <v>17</v>
      </c>
    </row>
    <row r="390" spans="1:4">
      <c r="A390" s="1019">
        <v>3771</v>
      </c>
      <c r="B390" s="572" t="s">
        <v>327</v>
      </c>
      <c r="C390">
        <f>'DMC Threads - By Color'!CG9</f>
        <v>0</v>
      </c>
      <c r="D390">
        <v>17</v>
      </c>
    </row>
    <row r="391" spans="1:4">
      <c r="A391" s="1019">
        <v>758</v>
      </c>
      <c r="B391" s="572" t="s">
        <v>555</v>
      </c>
      <c r="C391">
        <f>'DMC Threads - By Color'!CG10</f>
        <v>0</v>
      </c>
      <c r="D391">
        <v>17</v>
      </c>
    </row>
    <row r="392" spans="1:4">
      <c r="A392" s="1019">
        <v>3778</v>
      </c>
      <c r="B392" s="572" t="s">
        <v>572</v>
      </c>
      <c r="C392">
        <f>'DMC Threads - By Color'!CG11</f>
        <v>0</v>
      </c>
      <c r="D392">
        <v>17</v>
      </c>
    </row>
    <row r="393" spans="1:4">
      <c r="A393" s="1019">
        <v>356</v>
      </c>
      <c r="B393" s="572" t="s">
        <v>501</v>
      </c>
      <c r="C393">
        <f>'DMC Threads - By Color'!CG12</f>
        <v>0</v>
      </c>
      <c r="D393">
        <v>17</v>
      </c>
    </row>
    <row r="394" spans="1:4">
      <c r="A394" s="1019">
        <v>3830</v>
      </c>
      <c r="B394" s="572" t="s">
        <v>78</v>
      </c>
      <c r="C394">
        <f>'DMC Threads - By Color'!CG13</f>
        <v>0</v>
      </c>
      <c r="D394">
        <v>17</v>
      </c>
    </row>
    <row r="395" spans="1:4">
      <c r="A395" s="1019">
        <v>355</v>
      </c>
      <c r="B395" s="572" t="s">
        <v>349</v>
      </c>
      <c r="C395">
        <f>'DMC Threads - By Color'!CG14</f>
        <v>0</v>
      </c>
      <c r="D395">
        <v>17</v>
      </c>
    </row>
    <row r="396" spans="1:4">
      <c r="A396" s="1019">
        <v>3777</v>
      </c>
      <c r="B396" s="572" t="s">
        <v>417</v>
      </c>
      <c r="C396">
        <f>'DMC Threads - By Color'!CG15</f>
        <v>0</v>
      </c>
      <c r="D396">
        <v>17</v>
      </c>
    </row>
    <row r="397" spans="1:4">
      <c r="A397" s="1019">
        <v>3779</v>
      </c>
      <c r="B397" s="572" t="s">
        <v>669</v>
      </c>
      <c r="C397">
        <f>'DMC Threads - By Color'!CG16</f>
        <v>0</v>
      </c>
      <c r="D397">
        <v>17</v>
      </c>
    </row>
    <row r="398" spans="1:4">
      <c r="A398" s="1019">
        <v>3859</v>
      </c>
      <c r="B398" s="572" t="s">
        <v>567</v>
      </c>
      <c r="C398">
        <f>'DMC Threads - By Color'!CG17</f>
        <v>0</v>
      </c>
      <c r="D398">
        <v>17</v>
      </c>
    </row>
    <row r="399" spans="1:4">
      <c r="A399" s="1019">
        <v>3858</v>
      </c>
      <c r="B399" s="572" t="s">
        <v>481</v>
      </c>
      <c r="C399">
        <f>'DMC Threads - By Color'!CG18</f>
        <v>0</v>
      </c>
      <c r="D399">
        <v>17</v>
      </c>
    </row>
    <row r="400" spans="1:4">
      <c r="A400" s="1019">
        <v>3857</v>
      </c>
      <c r="B400" s="572" t="s">
        <v>329</v>
      </c>
      <c r="C400">
        <f>'DMC Threads - By Color'!CG19</f>
        <v>0</v>
      </c>
      <c r="D400">
        <v>17</v>
      </c>
    </row>
    <row r="401" spans="1:4">
      <c r="A401" s="1019">
        <v>20</v>
      </c>
      <c r="B401" s="572" t="s">
        <v>123</v>
      </c>
      <c r="C401">
        <f>'DMC Threads - By Color'!CG20</f>
        <v>0</v>
      </c>
      <c r="D401">
        <v>17</v>
      </c>
    </row>
    <row r="402" spans="1:4">
      <c r="A402" s="1019">
        <v>21</v>
      </c>
      <c r="B402" s="572" t="s">
        <v>712</v>
      </c>
      <c r="C402">
        <f>'DMC Threads - By Color'!CG21</f>
        <v>0</v>
      </c>
      <c r="D402">
        <v>17</v>
      </c>
    </row>
    <row r="403" spans="1:4">
      <c r="A403" s="1019">
        <v>22</v>
      </c>
      <c r="B403" s="572" t="s">
        <v>124</v>
      </c>
      <c r="C403">
        <f>'DMC Threads - By Color'!CG22</f>
        <v>0</v>
      </c>
      <c r="D403">
        <v>17</v>
      </c>
    </row>
    <row r="404" spans="1:4">
      <c r="A404" s="1019">
        <v>3774</v>
      </c>
      <c r="B404" s="572" t="s">
        <v>564</v>
      </c>
      <c r="C404">
        <f>'DMC Threads - By Color'!CG23</f>
        <v>0</v>
      </c>
      <c r="D404">
        <v>17</v>
      </c>
    </row>
    <row r="405" spans="1:4">
      <c r="A405" s="1019">
        <v>950</v>
      </c>
      <c r="B405" s="572" t="s">
        <v>623</v>
      </c>
      <c r="C405">
        <f>'DMC Threads - By Color'!CG24</f>
        <v>0</v>
      </c>
      <c r="D405">
        <v>17</v>
      </c>
    </row>
    <row r="406" spans="1:4">
      <c r="A406" s="1019">
        <v>3064</v>
      </c>
      <c r="B406" s="572" t="s">
        <v>70</v>
      </c>
      <c r="C406">
        <f>'DMC Threads - By Color'!CG25</f>
        <v>0</v>
      </c>
      <c r="D406">
        <v>17</v>
      </c>
    </row>
    <row r="407" spans="1:4">
      <c r="A407" s="1019">
        <v>407</v>
      </c>
      <c r="B407" s="572" t="s">
        <v>368</v>
      </c>
      <c r="C407">
        <f>'DMC Threads - By Color'!CG26</f>
        <v>0</v>
      </c>
      <c r="D407">
        <v>17</v>
      </c>
    </row>
    <row r="408" spans="1:4">
      <c r="A408" s="1019">
        <v>3772</v>
      </c>
      <c r="B408" s="572" t="s">
        <v>412</v>
      </c>
      <c r="C408">
        <f>'DMC Threads - By Color'!CG27</f>
        <v>0</v>
      </c>
      <c r="D408">
        <v>17</v>
      </c>
    </row>
    <row r="409" spans="1:4" ht="17" thickBot="1">
      <c r="A409" s="1021">
        <v>632</v>
      </c>
      <c r="B409" s="1022" t="s">
        <v>674</v>
      </c>
      <c r="C409">
        <f>'DMC Threads - By Color'!CG28</f>
        <v>0</v>
      </c>
      <c r="D409">
        <v>17</v>
      </c>
    </row>
    <row r="410" spans="1:4">
      <c r="A410" s="1016">
        <v>453</v>
      </c>
      <c r="B410" s="1017" t="s">
        <v>640</v>
      </c>
      <c r="C410">
        <f>'DMC Threads - By Color'!CL7</f>
        <v>0</v>
      </c>
      <c r="D410">
        <v>18</v>
      </c>
    </row>
    <row r="411" spans="1:4">
      <c r="A411" s="1019">
        <v>452</v>
      </c>
      <c r="B411" s="572" t="s">
        <v>522</v>
      </c>
      <c r="C411">
        <f>'DMC Threads - By Color'!CL8</f>
        <v>0</v>
      </c>
      <c r="D411">
        <v>18</v>
      </c>
    </row>
    <row r="412" spans="1:4">
      <c r="A412" s="1019">
        <v>451</v>
      </c>
      <c r="B412" s="572" t="s">
        <v>385</v>
      </c>
      <c r="C412">
        <f>'DMC Threads - By Color'!CL9</f>
        <v>0</v>
      </c>
      <c r="D412">
        <v>18</v>
      </c>
    </row>
    <row r="413" spans="1:4">
      <c r="A413" s="1019">
        <v>3861</v>
      </c>
      <c r="B413" s="572" t="s">
        <v>573</v>
      </c>
      <c r="C413">
        <f>'DMC Threads - By Color'!CL10</f>
        <v>0</v>
      </c>
      <c r="D413">
        <v>18</v>
      </c>
    </row>
    <row r="414" spans="1:4">
      <c r="A414" s="1019">
        <v>3860</v>
      </c>
      <c r="B414" s="572" t="s">
        <v>79</v>
      </c>
      <c r="C414">
        <f>'DMC Threads - By Color'!CL11</f>
        <v>0</v>
      </c>
      <c r="D414">
        <v>18</v>
      </c>
    </row>
    <row r="415" spans="1:4">
      <c r="A415" s="1019">
        <v>779</v>
      </c>
      <c r="B415" s="572" t="s">
        <v>65</v>
      </c>
      <c r="C415">
        <f>'DMC Threads - By Color'!CL12</f>
        <v>0</v>
      </c>
      <c r="D415">
        <v>18</v>
      </c>
    </row>
    <row r="416" spans="1:4">
      <c r="A416" s="1019">
        <v>9</v>
      </c>
      <c r="B416" s="572" t="s">
        <v>715</v>
      </c>
      <c r="C416">
        <f>'DMC Threads - By Color'!CL13</f>
        <v>0</v>
      </c>
      <c r="D416">
        <v>18</v>
      </c>
    </row>
    <row r="417" spans="1:4">
      <c r="A417" s="1019">
        <v>712</v>
      </c>
      <c r="B417" s="572" t="s">
        <v>17</v>
      </c>
      <c r="C417">
        <f>'DMC Threads - By Color'!CL14</f>
        <v>0</v>
      </c>
      <c r="D417">
        <v>18</v>
      </c>
    </row>
    <row r="418" spans="1:4">
      <c r="A418" s="1019">
        <v>739</v>
      </c>
      <c r="B418" s="572" t="s">
        <v>664</v>
      </c>
      <c r="C418">
        <f>'DMC Threads - By Color'!CL15</f>
        <v>0</v>
      </c>
      <c r="D418">
        <v>18</v>
      </c>
    </row>
    <row r="419" spans="1:4">
      <c r="A419" s="1019">
        <v>738</v>
      </c>
      <c r="B419" s="572" t="s">
        <v>663</v>
      </c>
      <c r="C419">
        <f>'DMC Threads - By Color'!CL16</f>
        <v>0</v>
      </c>
      <c r="D419">
        <v>18</v>
      </c>
    </row>
    <row r="420" spans="1:4">
      <c r="A420" s="1019">
        <v>437</v>
      </c>
      <c r="B420" s="572" t="s">
        <v>636</v>
      </c>
      <c r="C420">
        <f>'DMC Threads - By Color'!CL17</f>
        <v>0</v>
      </c>
      <c r="D420">
        <v>18</v>
      </c>
    </row>
    <row r="421" spans="1:4">
      <c r="A421" s="1019">
        <v>436</v>
      </c>
      <c r="B421" s="572" t="s">
        <v>7</v>
      </c>
      <c r="C421">
        <f>'DMC Threads - By Color'!CL18</f>
        <v>0</v>
      </c>
      <c r="D421">
        <v>18</v>
      </c>
    </row>
    <row r="422" spans="1:4">
      <c r="A422" s="1019">
        <v>435</v>
      </c>
      <c r="B422" s="572" t="s">
        <v>634</v>
      </c>
      <c r="C422">
        <f>'DMC Threads - By Color'!CL19</f>
        <v>0</v>
      </c>
      <c r="D422">
        <v>18</v>
      </c>
    </row>
    <row r="423" spans="1:4">
      <c r="A423" s="1019">
        <v>434</v>
      </c>
      <c r="B423" s="572" t="s">
        <v>631</v>
      </c>
      <c r="C423">
        <f>'DMC Threads - By Color'!CL20</f>
        <v>0</v>
      </c>
      <c r="D423">
        <v>18</v>
      </c>
    </row>
    <row r="424" spans="1:4">
      <c r="A424" s="1019">
        <v>433</v>
      </c>
      <c r="B424" s="572" t="s">
        <v>515</v>
      </c>
      <c r="C424">
        <f>'DMC Threads - By Color'!CL21</f>
        <v>0</v>
      </c>
      <c r="D424">
        <v>18</v>
      </c>
    </row>
    <row r="425" spans="1:4">
      <c r="A425" s="1019">
        <v>801</v>
      </c>
      <c r="B425" s="572" t="s">
        <v>356</v>
      </c>
      <c r="C425">
        <f>'DMC Threads - By Color'!CL22</f>
        <v>0</v>
      </c>
      <c r="D425">
        <v>18</v>
      </c>
    </row>
    <row r="426" spans="1:4">
      <c r="A426" s="1019">
        <v>898</v>
      </c>
      <c r="B426" s="572" t="s">
        <v>404</v>
      </c>
      <c r="C426">
        <f>'DMC Threads - By Color'!CL23</f>
        <v>0</v>
      </c>
      <c r="D426">
        <v>18</v>
      </c>
    </row>
    <row r="427" spans="1:4">
      <c r="A427" s="1019">
        <v>938</v>
      </c>
      <c r="B427" s="572" t="s">
        <v>675</v>
      </c>
      <c r="C427">
        <f>'DMC Threads - By Color'!CL24</f>
        <v>0</v>
      </c>
      <c r="D427">
        <v>18</v>
      </c>
    </row>
    <row r="428" spans="1:4">
      <c r="A428" s="1019">
        <v>3371</v>
      </c>
      <c r="B428" s="572" t="s">
        <v>40</v>
      </c>
      <c r="C428">
        <f>'DMC Threads - By Color'!CL25</f>
        <v>0</v>
      </c>
      <c r="D428">
        <v>18</v>
      </c>
    </row>
    <row r="429" spans="1:4">
      <c r="A429" s="1019">
        <v>543</v>
      </c>
      <c r="B429" s="572" t="s">
        <v>667</v>
      </c>
      <c r="C429">
        <f>'DMC Threads - By Color'!CL26</f>
        <v>0</v>
      </c>
      <c r="D429">
        <v>18</v>
      </c>
    </row>
    <row r="430" spans="1:4">
      <c r="A430" s="1019">
        <v>3864</v>
      </c>
      <c r="B430" s="572" t="s">
        <v>578</v>
      </c>
      <c r="C430">
        <f>'DMC Threads - By Color'!CL27</f>
        <v>0</v>
      </c>
      <c r="D430">
        <v>18</v>
      </c>
    </row>
    <row r="431" spans="1:4">
      <c r="A431" s="1019">
        <v>3863</v>
      </c>
      <c r="B431" s="572" t="s">
        <v>488</v>
      </c>
      <c r="C431">
        <f>'DMC Threads - By Color'!CL28</f>
        <v>0</v>
      </c>
      <c r="D431">
        <v>18</v>
      </c>
    </row>
    <row r="432" spans="1:4">
      <c r="A432" s="1019">
        <v>3862</v>
      </c>
      <c r="B432" s="572" t="s">
        <v>332</v>
      </c>
      <c r="C432">
        <f>'DMC Threads - By Color'!CL29</f>
        <v>0</v>
      </c>
      <c r="D432">
        <v>18</v>
      </c>
    </row>
    <row r="433" spans="1:4" ht="17" thickBot="1">
      <c r="A433" s="1021">
        <v>3031</v>
      </c>
      <c r="B433" s="1022" t="s">
        <v>416</v>
      </c>
      <c r="C433">
        <f>'DMC Threads - By Color'!CL30</f>
        <v>0</v>
      </c>
      <c r="D433">
        <v>18</v>
      </c>
    </row>
    <row r="434" spans="1:4">
      <c r="A434" s="1016">
        <v>3865</v>
      </c>
      <c r="B434" s="1017" t="s">
        <v>80</v>
      </c>
      <c r="C434">
        <f>'DMC Threads - By Color'!CQ7</f>
        <v>0</v>
      </c>
      <c r="D434">
        <v>19</v>
      </c>
    </row>
    <row r="435" spans="1:4">
      <c r="A435" s="1019" t="s">
        <v>44</v>
      </c>
      <c r="B435" s="572" t="s">
        <v>45</v>
      </c>
      <c r="C435">
        <f>'DMC Threads - By Color'!CQ8</f>
        <v>0</v>
      </c>
      <c r="D435">
        <v>19</v>
      </c>
    </row>
    <row r="436" spans="1:4">
      <c r="A436" s="1019">
        <v>822</v>
      </c>
      <c r="B436" s="572" t="s">
        <v>628</v>
      </c>
      <c r="C436">
        <f>'DMC Threads - By Color'!CQ9</f>
        <v>0</v>
      </c>
      <c r="D436">
        <v>19</v>
      </c>
    </row>
    <row r="437" spans="1:4">
      <c r="A437" s="1019">
        <v>644</v>
      </c>
      <c r="B437" s="572" t="s">
        <v>507</v>
      </c>
      <c r="C437">
        <f>'DMC Threads - By Color'!CQ10</f>
        <v>0</v>
      </c>
      <c r="D437">
        <v>19</v>
      </c>
    </row>
    <row r="438" spans="1:4">
      <c r="A438" s="1019">
        <v>642</v>
      </c>
      <c r="B438" s="572" t="s">
        <v>359</v>
      </c>
      <c r="C438">
        <f>'DMC Threads - By Color'!CQ11</f>
        <v>0</v>
      </c>
      <c r="D438">
        <v>19</v>
      </c>
    </row>
    <row r="439" spans="1:4">
      <c r="A439" s="1019">
        <v>640</v>
      </c>
      <c r="B439" s="572" t="s">
        <v>433</v>
      </c>
      <c r="C439">
        <f>'DMC Threads - By Color'!CQ12</f>
        <v>0</v>
      </c>
      <c r="D439">
        <v>19</v>
      </c>
    </row>
    <row r="440" spans="1:4">
      <c r="A440" s="1019">
        <v>3787</v>
      </c>
      <c r="B440" s="572" t="s">
        <v>336</v>
      </c>
      <c r="C440">
        <f>'DMC Threads - By Color'!CQ13</f>
        <v>0</v>
      </c>
      <c r="D440">
        <v>19</v>
      </c>
    </row>
    <row r="441" spans="1:4">
      <c r="A441" s="1019">
        <v>3021</v>
      </c>
      <c r="B441" s="572" t="s">
        <v>411</v>
      </c>
      <c r="C441">
        <f>'DMC Threads - By Color'!CQ14</f>
        <v>0</v>
      </c>
      <c r="D441">
        <v>19</v>
      </c>
    </row>
    <row r="442" spans="1:4">
      <c r="A442" s="1019">
        <v>844</v>
      </c>
      <c r="B442" s="572" t="s">
        <v>685</v>
      </c>
      <c r="C442">
        <f>'DMC Threads - By Color'!CQ15</f>
        <v>0</v>
      </c>
      <c r="D442">
        <v>19</v>
      </c>
    </row>
    <row r="443" spans="1:4">
      <c r="A443" s="1019">
        <v>3033</v>
      </c>
      <c r="B443" s="572" t="s">
        <v>571</v>
      </c>
      <c r="C443">
        <f>'DMC Threads - By Color'!CQ16</f>
        <v>0</v>
      </c>
      <c r="D443">
        <v>19</v>
      </c>
    </row>
    <row r="444" spans="1:4">
      <c r="A444" s="1019">
        <v>3782</v>
      </c>
      <c r="B444" s="572" t="s">
        <v>577</v>
      </c>
      <c r="C444">
        <f>'DMC Threads - By Color'!CQ17</f>
        <v>0</v>
      </c>
      <c r="D444">
        <v>19</v>
      </c>
    </row>
    <row r="445" spans="1:4">
      <c r="A445" s="1019">
        <v>3032</v>
      </c>
      <c r="B445" s="572" t="s">
        <v>483</v>
      </c>
      <c r="C445">
        <f>'DMC Threads - By Color'!CQ18</f>
        <v>0</v>
      </c>
      <c r="D445">
        <v>19</v>
      </c>
    </row>
    <row r="446" spans="1:4">
      <c r="A446" s="1019">
        <v>3790</v>
      </c>
      <c r="B446" s="572" t="s">
        <v>671</v>
      </c>
      <c r="C446">
        <f>'DMC Threads - By Color'!CQ19</f>
        <v>0</v>
      </c>
      <c r="D446">
        <v>19</v>
      </c>
    </row>
    <row r="447" spans="1:4">
      <c r="A447" s="1019">
        <v>3781</v>
      </c>
      <c r="B447" s="572" t="s">
        <v>333</v>
      </c>
      <c r="C447">
        <f>'DMC Threads - By Color'!CQ20</f>
        <v>0</v>
      </c>
      <c r="D447">
        <v>19</v>
      </c>
    </row>
    <row r="448" spans="1:4">
      <c r="A448" s="1019">
        <v>5</v>
      </c>
      <c r="B448" s="572" t="s">
        <v>718</v>
      </c>
      <c r="C448">
        <f>'DMC Threads - By Color'!CQ21</f>
        <v>0</v>
      </c>
      <c r="D448">
        <v>19</v>
      </c>
    </row>
    <row r="449" spans="1:4">
      <c r="A449" s="1019">
        <v>6</v>
      </c>
      <c r="B449" s="572" t="s">
        <v>717</v>
      </c>
      <c r="C449">
        <f>'DMC Threads - By Color'!CQ22</f>
        <v>0</v>
      </c>
      <c r="D449">
        <v>19</v>
      </c>
    </row>
    <row r="450" spans="1:4">
      <c r="A450" s="1019">
        <v>7</v>
      </c>
      <c r="B450" s="572" t="s">
        <v>691</v>
      </c>
      <c r="C450">
        <f>'DMC Threads - By Color'!CQ23</f>
        <v>0</v>
      </c>
      <c r="D450">
        <v>19</v>
      </c>
    </row>
    <row r="451" spans="1:4">
      <c r="A451" s="1019">
        <v>8</v>
      </c>
      <c r="B451" s="572" t="s">
        <v>716</v>
      </c>
      <c r="C451">
        <f>'DMC Threads - By Color'!CQ24</f>
        <v>0</v>
      </c>
      <c r="D451">
        <v>19</v>
      </c>
    </row>
    <row r="452" spans="1:4">
      <c r="A452" s="1019">
        <v>3866</v>
      </c>
      <c r="B452" s="572" t="s">
        <v>672</v>
      </c>
      <c r="C452">
        <f>'DMC Threads - By Color'!CQ25</f>
        <v>0</v>
      </c>
      <c r="D452">
        <v>19</v>
      </c>
    </row>
    <row r="453" spans="1:4">
      <c r="A453" s="1019">
        <v>842</v>
      </c>
      <c r="B453" s="572" t="s">
        <v>656</v>
      </c>
      <c r="C453">
        <f>'DMC Threads - By Color'!CQ26</f>
        <v>0</v>
      </c>
      <c r="D453">
        <v>19</v>
      </c>
    </row>
    <row r="454" spans="1:4">
      <c r="A454" s="1019">
        <v>841</v>
      </c>
      <c r="B454" s="572" t="s">
        <v>654</v>
      </c>
      <c r="C454">
        <f>'DMC Threads - By Color'!CQ27</f>
        <v>0</v>
      </c>
      <c r="D454">
        <v>19</v>
      </c>
    </row>
    <row r="455" spans="1:4">
      <c r="A455" s="1019">
        <v>840</v>
      </c>
      <c r="B455" s="572" t="s">
        <v>531</v>
      </c>
      <c r="C455">
        <f>'DMC Threads - By Color'!CQ28</f>
        <v>0</v>
      </c>
      <c r="D455">
        <v>19</v>
      </c>
    </row>
    <row r="456" spans="1:4">
      <c r="A456" s="1019">
        <v>839</v>
      </c>
      <c r="B456" s="572" t="s">
        <v>341</v>
      </c>
      <c r="C456">
        <f>'DMC Threads - By Color'!CQ29</f>
        <v>0</v>
      </c>
      <c r="D456">
        <v>19</v>
      </c>
    </row>
    <row r="457" spans="1:4" ht="17" thickBot="1">
      <c r="A457" s="1021">
        <v>838</v>
      </c>
      <c r="B457" s="1022" t="s">
        <v>445</v>
      </c>
      <c r="C457">
        <f>'DMC Threads - By Color'!CQ30</f>
        <v>0</v>
      </c>
      <c r="D457">
        <v>19</v>
      </c>
    </row>
    <row r="458" spans="1:4">
      <c r="A458" s="1016">
        <v>3072</v>
      </c>
      <c r="B458" s="1017" t="s">
        <v>590</v>
      </c>
      <c r="C458">
        <f>'DMC Threads - By Color'!CV7</f>
        <v>0</v>
      </c>
      <c r="D458">
        <v>20</v>
      </c>
    </row>
    <row r="459" spans="1:4">
      <c r="A459" s="1019">
        <v>647</v>
      </c>
      <c r="B459" s="572" t="s">
        <v>509</v>
      </c>
      <c r="C459">
        <f>'DMC Threads - By Color'!CV8</f>
        <v>0</v>
      </c>
      <c r="D459">
        <v>20</v>
      </c>
    </row>
    <row r="460" spans="1:4">
      <c r="A460" s="1019">
        <v>3023</v>
      </c>
      <c r="B460" s="572" t="s">
        <v>560</v>
      </c>
      <c r="C460">
        <f>'DMC Threads - By Color'!CV9</f>
        <v>0</v>
      </c>
      <c r="D460">
        <v>20</v>
      </c>
    </row>
    <row r="461" spans="1:4">
      <c r="A461" s="1019">
        <v>3022</v>
      </c>
      <c r="B461" s="572" t="s">
        <v>477</v>
      </c>
      <c r="C461">
        <f>'DMC Threads - By Color'!CV10</f>
        <v>0</v>
      </c>
      <c r="D461">
        <v>20</v>
      </c>
    </row>
    <row r="462" spans="1:4">
      <c r="A462" s="1019">
        <v>3024</v>
      </c>
      <c r="B462" s="572" t="s">
        <v>563</v>
      </c>
      <c r="C462">
        <f>'DMC Threads - By Color'!CV11</f>
        <v>0</v>
      </c>
      <c r="D462">
        <v>20</v>
      </c>
    </row>
    <row r="463" spans="1:4">
      <c r="A463" s="1019">
        <v>648</v>
      </c>
      <c r="B463" s="572" t="s">
        <v>616</v>
      </c>
      <c r="C463">
        <f>'DMC Threads - By Color'!CV12</f>
        <v>0</v>
      </c>
      <c r="D463">
        <v>20</v>
      </c>
    </row>
    <row r="464" spans="1:4">
      <c r="A464" s="1019">
        <v>646</v>
      </c>
      <c r="B464" s="572" t="s">
        <v>362</v>
      </c>
      <c r="C464">
        <f>'DMC Threads - By Color'!CV13</f>
        <v>0</v>
      </c>
      <c r="D464">
        <v>20</v>
      </c>
    </row>
    <row r="465" spans="1:4">
      <c r="A465" s="1019">
        <v>645</v>
      </c>
      <c r="B465" s="572" t="s">
        <v>436</v>
      </c>
      <c r="C465">
        <f>'DMC Threads - By Color'!CV14</f>
        <v>0</v>
      </c>
      <c r="D465">
        <v>20</v>
      </c>
    </row>
    <row r="466" spans="1:4">
      <c r="A466" s="1019" t="s">
        <v>47</v>
      </c>
      <c r="B466" s="572" t="s">
        <v>48</v>
      </c>
      <c r="C466">
        <f>'DMC Threads - By Color'!CV15</f>
        <v>0</v>
      </c>
      <c r="D466">
        <v>20</v>
      </c>
    </row>
    <row r="467" spans="1:4">
      <c r="A467" s="1019" t="s">
        <v>1001</v>
      </c>
      <c r="B467" s="572" t="s">
        <v>46</v>
      </c>
      <c r="C467">
        <f>'DMC Threads - By Color'!CV16</f>
        <v>0</v>
      </c>
      <c r="D467">
        <v>20</v>
      </c>
    </row>
    <row r="468" spans="1:4">
      <c r="A468" s="1019" t="s">
        <v>46</v>
      </c>
      <c r="B468" s="572" t="s">
        <v>46</v>
      </c>
      <c r="C468">
        <f>'DMC Threads - By Color'!CV17</f>
        <v>0</v>
      </c>
      <c r="D468">
        <v>20</v>
      </c>
    </row>
    <row r="469" spans="1:4">
      <c r="A469" s="1019">
        <v>762</v>
      </c>
      <c r="B469" s="572" t="s">
        <v>561</v>
      </c>
      <c r="C469">
        <f>'DMC Threads - By Color'!CV18</f>
        <v>0</v>
      </c>
      <c r="D469">
        <v>20</v>
      </c>
    </row>
    <row r="470" spans="1:4">
      <c r="A470" s="1019">
        <v>415</v>
      </c>
      <c r="B470" s="572" t="s">
        <v>60</v>
      </c>
      <c r="C470">
        <f>'DMC Threads - By Color'!CV19</f>
        <v>0</v>
      </c>
      <c r="D470">
        <v>20</v>
      </c>
    </row>
    <row r="471" spans="1:4">
      <c r="A471" s="1019">
        <v>318</v>
      </c>
      <c r="B471" s="572" t="s">
        <v>557</v>
      </c>
      <c r="C471">
        <f>'DMC Threads - By Color'!CV20</f>
        <v>0</v>
      </c>
      <c r="D471">
        <v>20</v>
      </c>
    </row>
    <row r="472" spans="1:4">
      <c r="A472" s="1019">
        <v>414</v>
      </c>
      <c r="B472" s="572" t="s">
        <v>371</v>
      </c>
      <c r="C472">
        <f>'DMC Threads - By Color'!CV21</f>
        <v>0</v>
      </c>
      <c r="D472">
        <v>20</v>
      </c>
    </row>
    <row r="473" spans="1:4">
      <c r="A473" s="1019">
        <v>1</v>
      </c>
      <c r="B473" s="572" t="s">
        <v>118</v>
      </c>
      <c r="C473">
        <f>'DMC Threads - By Color'!CV22</f>
        <v>0</v>
      </c>
      <c r="D473">
        <v>20</v>
      </c>
    </row>
    <row r="474" spans="1:4">
      <c r="A474" s="1019">
        <v>2</v>
      </c>
      <c r="B474" s="572" t="s">
        <v>119</v>
      </c>
      <c r="C474">
        <f>'DMC Threads - By Color'!CV23</f>
        <v>0</v>
      </c>
      <c r="D474">
        <v>20</v>
      </c>
    </row>
    <row r="475" spans="1:4">
      <c r="A475" s="1019">
        <v>3</v>
      </c>
      <c r="B475" s="572" t="s">
        <v>720</v>
      </c>
      <c r="C475">
        <f>'DMC Threads - By Color'!CV24</f>
        <v>0</v>
      </c>
      <c r="D475">
        <v>20</v>
      </c>
    </row>
    <row r="476" spans="1:4">
      <c r="A476" s="1019">
        <v>4</v>
      </c>
      <c r="B476" s="572" t="s">
        <v>719</v>
      </c>
      <c r="C476">
        <f>'DMC Threads - By Color'!CV25</f>
        <v>0</v>
      </c>
      <c r="D476">
        <v>20</v>
      </c>
    </row>
    <row r="477" spans="1:4">
      <c r="A477" s="1019">
        <v>535</v>
      </c>
      <c r="B477" s="572" t="s">
        <v>549</v>
      </c>
      <c r="C477">
        <f>'DMC Threads - By Color'!CV26</f>
        <v>0</v>
      </c>
      <c r="D477">
        <v>20</v>
      </c>
    </row>
    <row r="478" spans="1:4">
      <c r="A478" s="1019">
        <v>168</v>
      </c>
      <c r="B478" s="572" t="s">
        <v>59</v>
      </c>
      <c r="C478">
        <f>'DMC Threads - By Color'!CV27</f>
        <v>0</v>
      </c>
      <c r="D478">
        <v>20</v>
      </c>
    </row>
    <row r="479" spans="1:4">
      <c r="A479" s="1019">
        <v>169</v>
      </c>
      <c r="B479" s="572" t="s">
        <v>49</v>
      </c>
      <c r="C479">
        <f>'DMC Threads - By Color'!CV28</f>
        <v>0</v>
      </c>
      <c r="D479">
        <v>20</v>
      </c>
    </row>
    <row r="480" spans="1:4">
      <c r="A480" s="1019">
        <v>317</v>
      </c>
      <c r="B480" s="572" t="s">
        <v>49</v>
      </c>
      <c r="C480">
        <f>'DMC Threads - By Color'!CV29</f>
        <v>0</v>
      </c>
      <c r="D480">
        <v>20</v>
      </c>
    </row>
    <row r="481" spans="1:4">
      <c r="A481" s="1019">
        <v>413</v>
      </c>
      <c r="B481" s="572" t="s">
        <v>370</v>
      </c>
      <c r="C481">
        <f>'DMC Threads - By Color'!CV30</f>
        <v>0</v>
      </c>
      <c r="D481">
        <v>20</v>
      </c>
    </row>
    <row r="482" spans="1:4">
      <c r="A482" s="1019">
        <v>3799</v>
      </c>
      <c r="B482" s="572" t="s">
        <v>422</v>
      </c>
      <c r="C482">
        <f>'DMC Threads - By Color'!CV31</f>
        <v>0</v>
      </c>
      <c r="D482">
        <v>20</v>
      </c>
    </row>
    <row r="483" spans="1:4" ht="17" thickBot="1">
      <c r="A483" s="1021">
        <v>310</v>
      </c>
      <c r="B483" s="1022" t="s">
        <v>3</v>
      </c>
      <c r="C483">
        <f>'DMC Threads - By Color'!CV32</f>
        <v>0</v>
      </c>
      <c r="D483">
        <v>20</v>
      </c>
    </row>
    <row r="484" spans="1:4">
      <c r="A484" s="11">
        <v>48</v>
      </c>
      <c r="B484" s="518" t="s">
        <v>131</v>
      </c>
      <c r="C484">
        <f>'DMC Threads - By Color'!DA7</f>
        <v>0</v>
      </c>
      <c r="D484">
        <v>21</v>
      </c>
    </row>
    <row r="485" spans="1:4">
      <c r="A485" s="9">
        <v>107</v>
      </c>
      <c r="B485" s="6" t="s">
        <v>144</v>
      </c>
      <c r="C485">
        <f>'DMC Threads - By Color'!DA8</f>
        <v>0</v>
      </c>
      <c r="D485">
        <v>21</v>
      </c>
    </row>
    <row r="486" spans="1:4">
      <c r="A486" s="9">
        <v>115</v>
      </c>
      <c r="B486" s="6" t="s">
        <v>146</v>
      </c>
      <c r="C486">
        <f>'DMC Threads - By Color'!DA9</f>
        <v>0</v>
      </c>
      <c r="D486">
        <v>21</v>
      </c>
    </row>
    <row r="487" spans="1:4">
      <c r="A487" s="9">
        <v>99</v>
      </c>
      <c r="B487" s="6" t="s">
        <v>141</v>
      </c>
      <c r="C487">
        <f>'DMC Threads - By Color'!DA10</f>
        <v>0</v>
      </c>
      <c r="D487">
        <v>21</v>
      </c>
    </row>
    <row r="488" spans="1:4">
      <c r="A488" s="9">
        <v>52</v>
      </c>
      <c r="B488" s="6" t="s">
        <v>133</v>
      </c>
      <c r="C488">
        <f>'DMC Threads - By Color'!DA11</f>
        <v>0</v>
      </c>
      <c r="D488">
        <v>21</v>
      </c>
    </row>
    <row r="489" spans="1:4">
      <c r="A489" s="9">
        <v>93</v>
      </c>
      <c r="B489" s="6" t="s">
        <v>139</v>
      </c>
      <c r="C489">
        <f>'DMC Threads - By Color'!DA12</f>
        <v>0</v>
      </c>
      <c r="D489">
        <v>21</v>
      </c>
    </row>
    <row r="490" spans="1:4">
      <c r="A490" s="9">
        <v>121</v>
      </c>
      <c r="B490" s="6" t="s">
        <v>147</v>
      </c>
      <c r="C490">
        <f>'DMC Threads - By Color'!DA13</f>
        <v>0</v>
      </c>
      <c r="D490">
        <v>21</v>
      </c>
    </row>
    <row r="491" spans="1:4">
      <c r="A491" s="9">
        <v>67</v>
      </c>
      <c r="B491" s="6" t="s">
        <v>135</v>
      </c>
      <c r="C491">
        <f>'DMC Threads - By Color'!DA14</f>
        <v>0</v>
      </c>
      <c r="D491">
        <v>21</v>
      </c>
    </row>
    <row r="492" spans="1:4">
      <c r="A492" s="9">
        <v>125</v>
      </c>
      <c r="B492" s="6" t="s">
        <v>148</v>
      </c>
      <c r="C492">
        <f>'DMC Threads - By Color'!DA15</f>
        <v>0</v>
      </c>
      <c r="D492">
        <v>21</v>
      </c>
    </row>
    <row r="493" spans="1:4">
      <c r="A493" s="9">
        <v>92</v>
      </c>
      <c r="B493" s="6" t="s">
        <v>138</v>
      </c>
      <c r="C493">
        <f>'DMC Threads - By Color'!DA16</f>
        <v>0</v>
      </c>
      <c r="D493">
        <v>21</v>
      </c>
    </row>
    <row r="494" spans="1:4">
      <c r="A494" s="9">
        <v>94</v>
      </c>
      <c r="B494" s="6" t="s">
        <v>140</v>
      </c>
      <c r="C494">
        <f>'DMC Threads - By Color'!DA17</f>
        <v>0</v>
      </c>
      <c r="D494">
        <v>21</v>
      </c>
    </row>
    <row r="495" spans="1:4">
      <c r="A495" s="9">
        <v>90</v>
      </c>
      <c r="B495" s="6" t="s">
        <v>137</v>
      </c>
      <c r="C495">
        <f>'DMC Threads - By Color'!DA18</f>
        <v>0</v>
      </c>
      <c r="D495">
        <v>21</v>
      </c>
    </row>
    <row r="496" spans="1:4">
      <c r="A496" s="9">
        <v>51</v>
      </c>
      <c r="B496" s="6" t="s">
        <v>132</v>
      </c>
      <c r="C496">
        <f>'DMC Threads - By Color'!DA19</f>
        <v>0</v>
      </c>
      <c r="D496">
        <v>21</v>
      </c>
    </row>
    <row r="497" spans="1:4">
      <c r="A497" s="9">
        <v>106</v>
      </c>
      <c r="B497" s="6" t="s">
        <v>143</v>
      </c>
      <c r="C497">
        <f>'DMC Threads - By Color'!DA20</f>
        <v>0</v>
      </c>
      <c r="D497">
        <v>21</v>
      </c>
    </row>
    <row r="498" spans="1:4">
      <c r="A498" s="9">
        <v>111</v>
      </c>
      <c r="B498" s="6" t="s">
        <v>145</v>
      </c>
      <c r="C498">
        <f>'DMC Threads - By Color'!DA21</f>
        <v>0</v>
      </c>
      <c r="D498">
        <v>21</v>
      </c>
    </row>
    <row r="499" spans="1:4">
      <c r="A499" s="9">
        <v>105</v>
      </c>
      <c r="B499" s="6" t="s">
        <v>142</v>
      </c>
      <c r="C499">
        <f>'DMC Threads - By Color'!DA22</f>
        <v>0</v>
      </c>
      <c r="D499">
        <v>21</v>
      </c>
    </row>
    <row r="500" spans="1:4">
      <c r="A500" s="9">
        <v>69</v>
      </c>
      <c r="B500" s="6" t="s">
        <v>136</v>
      </c>
      <c r="C500">
        <f>'DMC Threads - By Color'!DA23</f>
        <v>0</v>
      </c>
      <c r="D500">
        <v>21</v>
      </c>
    </row>
    <row r="501" spans="1:4" ht="17" thickBot="1">
      <c r="A501" s="10">
        <v>53</v>
      </c>
      <c r="B501" s="16" t="s">
        <v>134</v>
      </c>
      <c r="C501">
        <f>'DMC Threads - By Color'!DA24</f>
        <v>0</v>
      </c>
      <c r="D501">
        <v>21</v>
      </c>
    </row>
    <row r="502" spans="1:4">
      <c r="A502" s="11" t="s">
        <v>89</v>
      </c>
      <c r="B502" s="518" t="s">
        <v>192</v>
      </c>
      <c r="C502">
        <f>'DMC Threads - By Color'!DF7</f>
        <v>0</v>
      </c>
      <c r="D502">
        <v>22</v>
      </c>
    </row>
    <row r="503" spans="1:4">
      <c r="A503" s="9" t="s">
        <v>92</v>
      </c>
      <c r="B503" s="6" t="s">
        <v>201</v>
      </c>
      <c r="C503">
        <f>'DMC Threads - By Color'!DF8</f>
        <v>0</v>
      </c>
      <c r="D503">
        <v>22</v>
      </c>
    </row>
    <row r="504" spans="1:4">
      <c r="A504" s="9" t="s">
        <v>87</v>
      </c>
      <c r="B504" s="6" t="s">
        <v>213</v>
      </c>
      <c r="C504">
        <f>'DMC Threads - By Color'!DF9</f>
        <v>0</v>
      </c>
      <c r="D504">
        <v>22</v>
      </c>
    </row>
    <row r="505" spans="1:4">
      <c r="A505" s="9" t="s">
        <v>83</v>
      </c>
      <c r="B505" s="6" t="s">
        <v>187</v>
      </c>
      <c r="C505">
        <f>'DMC Threads - By Color'!DF10</f>
        <v>0</v>
      </c>
      <c r="D505">
        <v>22</v>
      </c>
    </row>
    <row r="506" spans="1:4">
      <c r="A506" s="9" t="s">
        <v>94</v>
      </c>
      <c r="B506" s="6" t="s">
        <v>206</v>
      </c>
      <c r="C506">
        <f>'DMC Threads - By Color'!DF11</f>
        <v>0</v>
      </c>
      <c r="D506">
        <v>22</v>
      </c>
    </row>
    <row r="507" spans="1:4">
      <c r="A507" s="9" t="s">
        <v>88</v>
      </c>
      <c r="B507" s="6" t="s">
        <v>214</v>
      </c>
      <c r="C507">
        <f>'DMC Threads - By Color'!DF12</f>
        <v>0</v>
      </c>
      <c r="D507">
        <v>22</v>
      </c>
    </row>
    <row r="508" spans="1:4">
      <c r="A508" s="9" t="s">
        <v>85</v>
      </c>
      <c r="B508" s="6" t="s">
        <v>195</v>
      </c>
      <c r="C508">
        <f>'DMC Threads - By Color'!DF13</f>
        <v>0</v>
      </c>
      <c r="D508">
        <v>22</v>
      </c>
    </row>
    <row r="509" spans="1:4">
      <c r="A509" s="9" t="s">
        <v>90</v>
      </c>
      <c r="B509" s="6" t="s">
        <v>215</v>
      </c>
      <c r="C509">
        <f>'DMC Threads - By Color'!DF14</f>
        <v>0</v>
      </c>
      <c r="D509">
        <v>22</v>
      </c>
    </row>
    <row r="510" spans="1:4">
      <c r="A510" s="9" t="s">
        <v>91</v>
      </c>
      <c r="B510" s="6" t="s">
        <v>200</v>
      </c>
      <c r="C510">
        <f>'DMC Threads - By Color'!DF15</f>
        <v>0</v>
      </c>
      <c r="D510">
        <v>22</v>
      </c>
    </row>
    <row r="511" spans="1:4">
      <c r="A511" s="9" t="s">
        <v>86</v>
      </c>
      <c r="B511" s="6" t="s">
        <v>199</v>
      </c>
      <c r="C511">
        <f>'DMC Threads - By Color'!DF16</f>
        <v>0</v>
      </c>
      <c r="D511">
        <v>22</v>
      </c>
    </row>
    <row r="512" spans="1:4">
      <c r="A512" s="9" t="s">
        <v>82</v>
      </c>
      <c r="B512" s="6" t="s">
        <v>186</v>
      </c>
      <c r="C512">
        <f>'DMC Threads - By Color'!DF17</f>
        <v>0</v>
      </c>
      <c r="D512">
        <v>22</v>
      </c>
    </row>
    <row r="513" spans="1:4">
      <c r="A513" s="9" t="s">
        <v>81</v>
      </c>
      <c r="B513" s="6" t="s">
        <v>185</v>
      </c>
      <c r="C513">
        <f>'DMC Threads - By Color'!DF18</f>
        <v>0</v>
      </c>
      <c r="D513">
        <v>22</v>
      </c>
    </row>
    <row r="514" spans="1:4">
      <c r="A514" s="9" t="s">
        <v>103</v>
      </c>
      <c r="B514" s="6" t="s">
        <v>210</v>
      </c>
      <c r="C514">
        <f>'DMC Threads - By Color'!DF19</f>
        <v>0</v>
      </c>
      <c r="D514">
        <v>22</v>
      </c>
    </row>
    <row r="515" spans="1:4">
      <c r="A515" s="9" t="s">
        <v>93</v>
      </c>
      <c r="B515" s="6" t="s">
        <v>204</v>
      </c>
      <c r="C515">
        <f>'DMC Threads - By Color'!DF20</f>
        <v>0</v>
      </c>
      <c r="D515">
        <v>22</v>
      </c>
    </row>
    <row r="516" spans="1:4">
      <c r="A516" s="9" t="s">
        <v>84</v>
      </c>
      <c r="B516" s="6" t="s">
        <v>194</v>
      </c>
      <c r="C516">
        <f>'DMC Threads - By Color'!DF21</f>
        <v>0</v>
      </c>
      <c r="D516">
        <v>22</v>
      </c>
    </row>
    <row r="517" spans="1:4">
      <c r="A517" s="9" t="s">
        <v>96</v>
      </c>
      <c r="B517" s="6" t="s">
        <v>190</v>
      </c>
      <c r="C517">
        <f>'DMC Threads - By Color'!DF22</f>
        <v>0</v>
      </c>
      <c r="D517">
        <v>22</v>
      </c>
    </row>
    <row r="518" spans="1:4">
      <c r="A518" s="9" t="s">
        <v>102</v>
      </c>
      <c r="B518" s="6" t="s">
        <v>197</v>
      </c>
      <c r="C518">
        <f>'DMC Threads - By Color'!DF23</f>
        <v>0</v>
      </c>
      <c r="D518">
        <v>22</v>
      </c>
    </row>
    <row r="519" spans="1:4">
      <c r="A519" s="9" t="s">
        <v>101</v>
      </c>
      <c r="B519" s="6" t="s">
        <v>207</v>
      </c>
      <c r="C519">
        <f>'DMC Threads - By Color'!DF24</f>
        <v>0</v>
      </c>
      <c r="D519">
        <v>22</v>
      </c>
    </row>
    <row r="520" spans="1:4">
      <c r="A520" s="9" t="s">
        <v>104</v>
      </c>
      <c r="B520" s="6" t="s">
        <v>191</v>
      </c>
      <c r="C520">
        <f>'DMC Threads - By Color'!DF25</f>
        <v>0</v>
      </c>
      <c r="D520">
        <v>22</v>
      </c>
    </row>
    <row r="521" spans="1:4">
      <c r="A521" s="9" t="s">
        <v>114</v>
      </c>
      <c r="B521" s="6" t="s">
        <v>939</v>
      </c>
      <c r="C521">
        <f>'DMC Threads - By Color'!DF26</f>
        <v>0</v>
      </c>
      <c r="D521">
        <v>22</v>
      </c>
    </row>
    <row r="522" spans="1:4">
      <c r="A522" s="9" t="s">
        <v>115</v>
      </c>
      <c r="B522" s="6" t="s">
        <v>940</v>
      </c>
      <c r="C522">
        <f>'DMC Threads - By Color'!DF27</f>
        <v>0</v>
      </c>
      <c r="D522">
        <v>22</v>
      </c>
    </row>
    <row r="523" spans="1:4" ht="17" thickBot="1">
      <c r="A523" s="10" t="s">
        <v>116</v>
      </c>
      <c r="B523" s="16" t="s">
        <v>117</v>
      </c>
      <c r="C523">
        <f>'DMC Threads - By Color'!DF28</f>
        <v>0</v>
      </c>
      <c r="D523">
        <v>22</v>
      </c>
    </row>
    <row r="524" spans="1:4">
      <c r="A524" s="11" t="s">
        <v>113</v>
      </c>
      <c r="B524" s="518" t="s">
        <v>184</v>
      </c>
      <c r="C524">
        <f>'DMC Threads - By Color'!DK7</f>
        <v>0</v>
      </c>
      <c r="D524">
        <v>23</v>
      </c>
    </row>
    <row r="525" spans="1:4">
      <c r="A525" s="9" t="s">
        <v>107</v>
      </c>
      <c r="B525" s="6" t="s">
        <v>202</v>
      </c>
      <c r="C525">
        <f>'DMC Threads - By Color'!DK8</f>
        <v>0</v>
      </c>
      <c r="D525">
        <v>23</v>
      </c>
    </row>
    <row r="526" spans="1:4">
      <c r="A526" s="9" t="s">
        <v>111</v>
      </c>
      <c r="B526" s="6" t="s">
        <v>209</v>
      </c>
      <c r="C526">
        <f>'DMC Threads - By Color'!DK9</f>
        <v>0</v>
      </c>
      <c r="D526">
        <v>23</v>
      </c>
    </row>
    <row r="527" spans="1:4">
      <c r="A527" s="9" t="s">
        <v>109</v>
      </c>
      <c r="B527" s="6" t="s">
        <v>205</v>
      </c>
      <c r="C527">
        <f>'DMC Threads - By Color'!DK10</f>
        <v>0</v>
      </c>
      <c r="D527">
        <v>23</v>
      </c>
    </row>
    <row r="528" spans="1:4">
      <c r="A528" s="9" t="s">
        <v>106</v>
      </c>
      <c r="B528" s="6" t="s">
        <v>189</v>
      </c>
      <c r="C528">
        <f>'DMC Threads - By Color'!DK11</f>
        <v>0</v>
      </c>
      <c r="D528">
        <v>23</v>
      </c>
    </row>
    <row r="529" spans="1:4">
      <c r="A529" s="9" t="s">
        <v>112</v>
      </c>
      <c r="B529" s="6" t="s">
        <v>211</v>
      </c>
      <c r="C529">
        <f>'DMC Threads - By Color'!DK12</f>
        <v>0</v>
      </c>
      <c r="D529">
        <v>23</v>
      </c>
    </row>
    <row r="530" spans="1:4">
      <c r="A530" s="9" t="s">
        <v>110</v>
      </c>
      <c r="B530" s="6" t="s">
        <v>203</v>
      </c>
      <c r="C530">
        <f>'DMC Threads - By Color'!DK13</f>
        <v>0</v>
      </c>
      <c r="D530">
        <v>23</v>
      </c>
    </row>
    <row r="531" spans="1:4">
      <c r="A531" s="9" t="s">
        <v>108</v>
      </c>
      <c r="B531" s="6" t="s">
        <v>208</v>
      </c>
      <c r="C531">
        <f>'DMC Threads - By Color'!DK14</f>
        <v>0</v>
      </c>
      <c r="D531">
        <v>23</v>
      </c>
    </row>
    <row r="532" spans="1:4">
      <c r="A532" s="9" t="s">
        <v>95</v>
      </c>
      <c r="B532" s="6" t="s">
        <v>188</v>
      </c>
      <c r="C532">
        <f>'DMC Threads - By Color'!DK15</f>
        <v>0</v>
      </c>
      <c r="D532">
        <v>23</v>
      </c>
    </row>
    <row r="533" spans="1:4">
      <c r="A533" s="9" t="s">
        <v>105</v>
      </c>
      <c r="B533" s="6" t="s">
        <v>196</v>
      </c>
      <c r="C533">
        <f>'DMC Threads - By Color'!DK16</f>
        <v>0</v>
      </c>
      <c r="D533">
        <v>23</v>
      </c>
    </row>
    <row r="534" spans="1:4">
      <c r="A534" s="9" t="s">
        <v>97</v>
      </c>
      <c r="B534" s="6" t="s">
        <v>193</v>
      </c>
      <c r="C534">
        <f>'DMC Threads - By Color'!DK17</f>
        <v>0</v>
      </c>
      <c r="D534">
        <v>23</v>
      </c>
    </row>
    <row r="535" spans="1:4">
      <c r="A535" s="9" t="s">
        <v>98</v>
      </c>
      <c r="B535" s="6" t="s">
        <v>198</v>
      </c>
      <c r="C535">
        <f>'DMC Threads - By Color'!DK18</f>
        <v>0</v>
      </c>
      <c r="D535">
        <v>23</v>
      </c>
    </row>
    <row r="536" spans="1:4">
      <c r="A536" s="9" t="s">
        <v>99</v>
      </c>
      <c r="B536" s="6" t="s">
        <v>212</v>
      </c>
      <c r="C536">
        <f>'DMC Threads - By Color'!DK19</f>
        <v>0</v>
      </c>
      <c r="D536">
        <v>23</v>
      </c>
    </row>
    <row r="537" spans="1:4" ht="17" thickBot="1">
      <c r="A537" s="10" t="s">
        <v>100</v>
      </c>
      <c r="B537" s="16" t="s">
        <v>216</v>
      </c>
      <c r="C537">
        <f>'DMC Threads - By Color'!DK20</f>
        <v>0</v>
      </c>
      <c r="D537">
        <v>23</v>
      </c>
    </row>
    <row r="538" spans="1:4">
      <c r="A538" s="11">
        <v>4010</v>
      </c>
      <c r="B538" s="14" t="s">
        <v>869</v>
      </c>
      <c r="C538">
        <f>'DMC Threads - By Color'!DP7</f>
        <v>0</v>
      </c>
      <c r="D538">
        <v>24</v>
      </c>
    </row>
    <row r="539" spans="1:4">
      <c r="A539" s="9">
        <v>4015</v>
      </c>
      <c r="B539" s="2" t="s">
        <v>149</v>
      </c>
      <c r="C539">
        <f>'DMC Threads - By Color'!DP8</f>
        <v>0</v>
      </c>
      <c r="D539">
        <v>24</v>
      </c>
    </row>
    <row r="540" spans="1:4">
      <c r="A540" s="9">
        <v>4020</v>
      </c>
      <c r="B540" s="2" t="s">
        <v>168</v>
      </c>
      <c r="C540">
        <f>'DMC Threads - By Color'!DP9</f>
        <v>0</v>
      </c>
      <c r="D540">
        <v>24</v>
      </c>
    </row>
    <row r="541" spans="1:4">
      <c r="A541" s="9">
        <v>4025</v>
      </c>
      <c r="B541" s="2" t="s">
        <v>169</v>
      </c>
      <c r="C541">
        <f>'DMC Threads - By Color'!DP10</f>
        <v>0</v>
      </c>
      <c r="D541">
        <v>24</v>
      </c>
    </row>
    <row r="542" spans="1:4">
      <c r="A542" s="9">
        <v>4030</v>
      </c>
      <c r="B542" s="2" t="s">
        <v>170</v>
      </c>
      <c r="C542">
        <f>'DMC Threads - By Color'!DP11</f>
        <v>0</v>
      </c>
      <c r="D542">
        <v>24</v>
      </c>
    </row>
    <row r="543" spans="1:4">
      <c r="A543" s="9">
        <v>4040</v>
      </c>
      <c r="B543" s="2" t="s">
        <v>171</v>
      </c>
      <c r="C543">
        <f>'DMC Threads - By Color'!DP12</f>
        <v>0</v>
      </c>
      <c r="D543">
        <v>24</v>
      </c>
    </row>
    <row r="544" spans="1:4">
      <c r="A544" s="9">
        <v>4045</v>
      </c>
      <c r="B544" s="2" t="s">
        <v>172</v>
      </c>
      <c r="C544">
        <f>'DMC Threads - By Color'!DP13</f>
        <v>0</v>
      </c>
      <c r="D544">
        <v>24</v>
      </c>
    </row>
    <row r="545" spans="1:4">
      <c r="A545" s="9">
        <v>4050</v>
      </c>
      <c r="B545" s="2" t="s">
        <v>173</v>
      </c>
      <c r="C545">
        <f>'DMC Threads - By Color'!DP14</f>
        <v>0</v>
      </c>
      <c r="D545">
        <v>24</v>
      </c>
    </row>
    <row r="546" spans="1:4">
      <c r="A546" s="9">
        <v>4060</v>
      </c>
      <c r="B546" s="2" t="s">
        <v>174</v>
      </c>
      <c r="C546">
        <f>'DMC Threads - By Color'!DP15</f>
        <v>0</v>
      </c>
      <c r="D546">
        <v>24</v>
      </c>
    </row>
    <row r="547" spans="1:4">
      <c r="A547" s="9">
        <v>4065</v>
      </c>
      <c r="B547" s="2" t="s">
        <v>175</v>
      </c>
      <c r="C547">
        <f>'DMC Threads - By Color'!DP16</f>
        <v>0</v>
      </c>
      <c r="D547">
        <v>24</v>
      </c>
    </row>
    <row r="548" spans="1:4">
      <c r="A548" s="9">
        <v>4070</v>
      </c>
      <c r="B548" s="2" t="s">
        <v>176</v>
      </c>
      <c r="C548">
        <f>'DMC Threads - By Color'!DP17</f>
        <v>0</v>
      </c>
      <c r="D548">
        <v>24</v>
      </c>
    </row>
    <row r="549" spans="1:4">
      <c r="A549" s="9">
        <v>4075</v>
      </c>
      <c r="B549" s="2" t="s">
        <v>177</v>
      </c>
      <c r="C549">
        <f>'DMC Threads - By Color'!DP18</f>
        <v>0</v>
      </c>
      <c r="D549">
        <v>24</v>
      </c>
    </row>
    <row r="550" spans="1:4">
      <c r="A550" s="9">
        <v>4077</v>
      </c>
      <c r="B550" s="2" t="s">
        <v>178</v>
      </c>
      <c r="C550">
        <f>'DMC Threads - By Color'!DP19</f>
        <v>0</v>
      </c>
      <c r="D550">
        <v>24</v>
      </c>
    </row>
    <row r="551" spans="1:4">
      <c r="A551" s="9">
        <v>4080</v>
      </c>
      <c r="B551" s="2" t="s">
        <v>179</v>
      </c>
      <c r="C551">
        <f>'DMC Threads - By Color'!DP20</f>
        <v>0</v>
      </c>
      <c r="D551">
        <v>24</v>
      </c>
    </row>
    <row r="552" spans="1:4">
      <c r="A552" s="9">
        <v>4090</v>
      </c>
      <c r="B552" s="2" t="s">
        <v>180</v>
      </c>
      <c r="C552">
        <f>'DMC Threads - By Color'!DP21</f>
        <v>0</v>
      </c>
      <c r="D552">
        <v>24</v>
      </c>
    </row>
    <row r="553" spans="1:4">
      <c r="A553" s="9">
        <v>4100</v>
      </c>
      <c r="B553" s="2" t="s">
        <v>181</v>
      </c>
      <c r="C553">
        <f>'DMC Threads - By Color'!DP22</f>
        <v>0</v>
      </c>
      <c r="D553">
        <v>24</v>
      </c>
    </row>
    <row r="554" spans="1:4">
      <c r="A554" s="9">
        <v>4110</v>
      </c>
      <c r="B554" s="2" t="s">
        <v>182</v>
      </c>
      <c r="C554">
        <f>'DMC Threads - By Color'!DP23</f>
        <v>0</v>
      </c>
      <c r="D554">
        <v>24</v>
      </c>
    </row>
    <row r="555" spans="1:4">
      <c r="A555" s="9">
        <v>4120</v>
      </c>
      <c r="B555" s="2" t="s">
        <v>183</v>
      </c>
      <c r="C555">
        <f>'DMC Threads - By Color'!DP24</f>
        <v>0</v>
      </c>
      <c r="D555">
        <v>24</v>
      </c>
    </row>
    <row r="556" spans="1:4">
      <c r="A556" s="9">
        <v>4124</v>
      </c>
      <c r="B556" s="2" t="s">
        <v>150</v>
      </c>
      <c r="C556">
        <f>'DMC Threads - By Color'!DP25</f>
        <v>0</v>
      </c>
      <c r="D556">
        <v>24</v>
      </c>
    </row>
    <row r="557" spans="1:4">
      <c r="A557" s="9">
        <v>4126</v>
      </c>
      <c r="B557" s="2" t="s">
        <v>151</v>
      </c>
      <c r="C557">
        <f>'DMC Threads - By Color'!DP26</f>
        <v>0</v>
      </c>
      <c r="D557">
        <v>24</v>
      </c>
    </row>
    <row r="558" spans="1:4" ht="17" thickBot="1">
      <c r="A558" s="10">
        <v>4128</v>
      </c>
      <c r="B558" s="4" t="s">
        <v>152</v>
      </c>
      <c r="C558">
        <f>'DMC Threads - By Color'!DP27</f>
        <v>0</v>
      </c>
      <c r="D558">
        <v>24</v>
      </c>
    </row>
    <row r="559" spans="1:4">
      <c r="A559" s="11">
        <v>4130</v>
      </c>
      <c r="B559" s="14" t="s">
        <v>153</v>
      </c>
      <c r="C559">
        <f>'DMC Threads - By Color'!DU7</f>
        <v>0</v>
      </c>
      <c r="D559">
        <v>25</v>
      </c>
    </row>
    <row r="560" spans="1:4">
      <c r="A560" s="9">
        <v>4140</v>
      </c>
      <c r="B560" s="2" t="s">
        <v>154</v>
      </c>
      <c r="C560">
        <f>'DMC Threads - By Color'!DU8</f>
        <v>0</v>
      </c>
      <c r="D560">
        <v>25</v>
      </c>
    </row>
    <row r="561" spans="1:4">
      <c r="A561" s="9">
        <v>4145</v>
      </c>
      <c r="B561" s="2" t="s">
        <v>155</v>
      </c>
      <c r="C561">
        <f>'DMC Threads - By Color'!DU9</f>
        <v>0</v>
      </c>
      <c r="D561">
        <v>25</v>
      </c>
    </row>
    <row r="562" spans="1:4">
      <c r="A562" s="9">
        <v>4150</v>
      </c>
      <c r="B562" s="2" t="s">
        <v>156</v>
      </c>
      <c r="C562">
        <f>'DMC Threads - By Color'!DU10</f>
        <v>0</v>
      </c>
      <c r="D562">
        <v>25</v>
      </c>
    </row>
    <row r="563" spans="1:4">
      <c r="A563" s="9">
        <v>4160</v>
      </c>
      <c r="B563" s="2" t="s">
        <v>157</v>
      </c>
      <c r="C563">
        <f>'DMC Threads - By Color'!DU11</f>
        <v>0</v>
      </c>
      <c r="D563">
        <v>25</v>
      </c>
    </row>
    <row r="564" spans="1:4">
      <c r="A564" s="9">
        <v>4170</v>
      </c>
      <c r="B564" s="2" t="s">
        <v>158</v>
      </c>
      <c r="C564">
        <f>'DMC Threads - By Color'!DU12</f>
        <v>0</v>
      </c>
      <c r="D564">
        <v>25</v>
      </c>
    </row>
    <row r="565" spans="1:4">
      <c r="A565" s="9">
        <v>4180</v>
      </c>
      <c r="B565" s="2" t="s">
        <v>159</v>
      </c>
      <c r="C565">
        <f>'DMC Threads - By Color'!DU13</f>
        <v>0</v>
      </c>
      <c r="D565">
        <v>25</v>
      </c>
    </row>
    <row r="566" spans="1:4">
      <c r="A566" s="9">
        <v>4190</v>
      </c>
      <c r="B566" s="2" t="s">
        <v>160</v>
      </c>
      <c r="C566">
        <f>'DMC Threads - By Color'!DU14</f>
        <v>0</v>
      </c>
      <c r="D566">
        <v>25</v>
      </c>
    </row>
    <row r="567" spans="1:4">
      <c r="A567" s="9">
        <v>4200</v>
      </c>
      <c r="B567" s="2" t="s">
        <v>161</v>
      </c>
      <c r="C567">
        <f>'DMC Threads - By Color'!DU15</f>
        <v>0</v>
      </c>
      <c r="D567">
        <v>25</v>
      </c>
    </row>
    <row r="568" spans="1:4">
      <c r="A568" s="9">
        <v>4210</v>
      </c>
      <c r="B568" s="2" t="s">
        <v>162</v>
      </c>
      <c r="C568">
        <f>'DMC Threads - By Color'!DU16</f>
        <v>0</v>
      </c>
      <c r="D568">
        <v>25</v>
      </c>
    </row>
    <row r="569" spans="1:4">
      <c r="A569" s="9">
        <v>4215</v>
      </c>
      <c r="B569" s="2" t="s">
        <v>163</v>
      </c>
      <c r="C569">
        <f>'DMC Threads - By Color'!DU17</f>
        <v>0</v>
      </c>
      <c r="D569">
        <v>25</v>
      </c>
    </row>
    <row r="570" spans="1:4">
      <c r="A570" s="9">
        <v>4220</v>
      </c>
      <c r="B570" s="2" t="s">
        <v>164</v>
      </c>
      <c r="C570">
        <f>'DMC Threads - By Color'!DU18</f>
        <v>0</v>
      </c>
      <c r="D570">
        <v>25</v>
      </c>
    </row>
    <row r="571" spans="1:4">
      <c r="A571" s="9">
        <v>4230</v>
      </c>
      <c r="B571" s="2" t="s">
        <v>165</v>
      </c>
      <c r="C571">
        <f>'DMC Threads - By Color'!DU19</f>
        <v>0</v>
      </c>
      <c r="D571">
        <v>25</v>
      </c>
    </row>
    <row r="572" spans="1:4">
      <c r="A572" s="9">
        <v>4235</v>
      </c>
      <c r="B572" s="2" t="s">
        <v>166</v>
      </c>
      <c r="C572">
        <f>'DMC Threads - By Color'!DU20</f>
        <v>0</v>
      </c>
      <c r="D572">
        <v>25</v>
      </c>
    </row>
    <row r="573" spans="1:4" ht="17" thickBot="1">
      <c r="A573" s="10">
        <v>4240</v>
      </c>
      <c r="B573" s="4" t="s">
        <v>167</v>
      </c>
      <c r="C573">
        <f>'DMC Threads - By Color'!DU21</f>
        <v>0</v>
      </c>
      <c r="D573">
        <v>25</v>
      </c>
    </row>
    <row r="574" spans="1:4">
      <c r="A574" s="11">
        <v>5282</v>
      </c>
      <c r="B574" s="14" t="s">
        <v>217</v>
      </c>
      <c r="C574">
        <f>'DMC Threads - By Color'!DZ7</f>
        <v>0</v>
      </c>
      <c r="D574">
        <v>26</v>
      </c>
    </row>
    <row r="575" spans="1:4" ht="17" thickBot="1">
      <c r="A575" s="10">
        <v>5283</v>
      </c>
      <c r="B575" s="4" t="s">
        <v>218</v>
      </c>
      <c r="C575">
        <f>'DMC Threads - By Color'!DZ8</f>
        <v>0</v>
      </c>
      <c r="D575">
        <v>26</v>
      </c>
    </row>
  </sheetData>
  <sheetProtection algorithmName="SHA-512" hashValue="cfhKBT6T64ME4241TDSkNMBozFSbImcAJiQlYO8gKw5eosLv2OppGxQ4P5NjXSAHq8XLBSP6EeBl1WXVNnBVHw==" saltValue="/R3zcWviTOssz12037eOa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DC73-5279-B345-8273-865C9EE35A49}">
  <sheetPr>
    <tabColor theme="6"/>
  </sheetPr>
  <dimension ref="A1:E835"/>
  <sheetViews>
    <sheetView showRuler="0" view="pageLayout" zoomScaleNormal="100" workbookViewId="0">
      <selection activeCell="E10" sqref="E10"/>
    </sheetView>
  </sheetViews>
  <sheetFormatPr baseColWidth="10" defaultColWidth="11.1640625" defaultRowHeight="16"/>
  <cols>
    <col min="1" max="1" width="8.33203125" customWidth="1"/>
    <col min="2" max="2" width="27.5" customWidth="1"/>
    <col min="3" max="3" width="9.5" customWidth="1"/>
    <col min="4" max="4" width="10.1640625" customWidth="1"/>
    <col min="5" max="5" width="25" customWidth="1"/>
  </cols>
  <sheetData>
    <row r="1" spans="1:5" ht="15" customHeight="1">
      <c r="A1" s="1256" t="s">
        <v>61</v>
      </c>
      <c r="B1" s="1647" t="s">
        <v>0</v>
      </c>
      <c r="C1" s="1256" t="s">
        <v>1</v>
      </c>
      <c r="D1" s="1256" t="s">
        <v>243</v>
      </c>
      <c r="E1" s="1256" t="s">
        <v>1741</v>
      </c>
    </row>
    <row r="2" spans="1:5" ht="15" customHeight="1">
      <c r="A2" s="1173" t="s">
        <v>44</v>
      </c>
      <c r="B2" s="1173" t="s">
        <v>45</v>
      </c>
      <c r="C2" s="1175"/>
      <c r="D2" s="1176">
        <f>'DMC Threads - By Number'!E6</f>
        <v>0</v>
      </c>
      <c r="E2" s="1255"/>
    </row>
    <row r="3" spans="1:5" ht="15" customHeight="1">
      <c r="A3" s="1173" t="s">
        <v>962</v>
      </c>
      <c r="B3" s="1173" t="s">
        <v>46</v>
      </c>
      <c r="C3" s="1177"/>
      <c r="D3" s="1176">
        <f>'DMC Threads - By Number'!E7</f>
        <v>0</v>
      </c>
      <c r="E3" s="1255"/>
    </row>
    <row r="4" spans="1:5" ht="15" customHeight="1">
      <c r="A4" s="1173" t="s">
        <v>961</v>
      </c>
      <c r="B4" s="1173" t="s">
        <v>46</v>
      </c>
      <c r="C4" s="1177"/>
      <c r="D4" s="1176">
        <f>'DMC Threads - By Number'!E8</f>
        <v>0</v>
      </c>
      <c r="E4" s="1255"/>
    </row>
    <row r="5" spans="1:5" ht="15" customHeight="1">
      <c r="A5" s="1173" t="s">
        <v>47</v>
      </c>
      <c r="B5" s="1173" t="s">
        <v>48</v>
      </c>
      <c r="C5" s="1178"/>
      <c r="D5" s="1176">
        <f>'DMC Threads - By Number'!E9</f>
        <v>0</v>
      </c>
      <c r="E5" s="1255"/>
    </row>
    <row r="6" spans="1:5" ht="15" customHeight="1">
      <c r="A6" s="1173">
        <v>1</v>
      </c>
      <c r="B6" s="1173" t="s">
        <v>118</v>
      </c>
      <c r="C6" s="1179"/>
      <c r="D6" s="1176">
        <f>'DMC Threads - By Number'!E10</f>
        <v>0</v>
      </c>
      <c r="E6" s="1255"/>
    </row>
    <row r="7" spans="1:5" ht="15" customHeight="1">
      <c r="A7" s="1173">
        <v>2</v>
      </c>
      <c r="B7" s="1173" t="s">
        <v>119</v>
      </c>
      <c r="C7" s="1180"/>
      <c r="D7" s="1176">
        <f>'DMC Threads - By Number'!E11</f>
        <v>0</v>
      </c>
      <c r="E7" s="1255"/>
    </row>
    <row r="8" spans="1:5" ht="15" customHeight="1">
      <c r="A8" s="1173">
        <v>3</v>
      </c>
      <c r="B8" s="1173" t="s">
        <v>720</v>
      </c>
      <c r="C8" s="1181"/>
      <c r="D8" s="1176">
        <f>'DMC Threads - By Number'!E12</f>
        <v>0</v>
      </c>
      <c r="E8" s="1255"/>
    </row>
    <row r="9" spans="1:5" ht="15" customHeight="1">
      <c r="A9" s="1173">
        <v>4</v>
      </c>
      <c r="B9" s="1173" t="s">
        <v>719</v>
      </c>
      <c r="C9" s="1182"/>
      <c r="D9" s="1176">
        <f>'DMC Threads - By Number'!E13</f>
        <v>0</v>
      </c>
      <c r="E9" s="1255"/>
    </row>
    <row r="10" spans="1:5" ht="15" customHeight="1">
      <c r="A10" s="1173">
        <v>5</v>
      </c>
      <c r="B10" s="1173" t="s">
        <v>718</v>
      </c>
      <c r="C10" s="1183"/>
      <c r="D10" s="1176">
        <f>'DMC Threads - By Number'!E14</f>
        <v>0</v>
      </c>
      <c r="E10" s="1255"/>
    </row>
    <row r="11" spans="1:5" ht="15" customHeight="1">
      <c r="A11" s="1173">
        <v>6</v>
      </c>
      <c r="B11" s="1173" t="s">
        <v>717</v>
      </c>
      <c r="C11" s="1184"/>
      <c r="D11" s="1176">
        <f>'DMC Threads - By Number'!E15</f>
        <v>0</v>
      </c>
      <c r="E11" s="1255"/>
    </row>
    <row r="12" spans="1:5" ht="15" customHeight="1">
      <c r="A12" s="1173">
        <v>7</v>
      </c>
      <c r="B12" s="1173" t="s">
        <v>691</v>
      </c>
      <c r="C12" s="1185"/>
      <c r="D12" s="1176">
        <f>'DMC Threads - By Number'!E16</f>
        <v>0</v>
      </c>
      <c r="E12" s="1255"/>
    </row>
    <row r="13" spans="1:5" ht="15" customHeight="1">
      <c r="A13" s="1173">
        <v>8</v>
      </c>
      <c r="B13" s="1173" t="s">
        <v>716</v>
      </c>
      <c r="C13" s="1186"/>
      <c r="D13" s="1176">
        <f>'DMC Threads - By Number'!E17</f>
        <v>0</v>
      </c>
      <c r="E13" s="1255"/>
    </row>
    <row r="14" spans="1:5" ht="15" customHeight="1">
      <c r="A14" s="1173">
        <v>9</v>
      </c>
      <c r="B14" s="1173" t="s">
        <v>715</v>
      </c>
      <c r="C14" s="1187"/>
      <c r="D14" s="1176">
        <f>'DMC Threads - By Number'!E18</f>
        <v>0</v>
      </c>
      <c r="E14" s="1255"/>
    </row>
    <row r="15" spans="1:5" ht="15" customHeight="1">
      <c r="A15" s="1173">
        <v>10</v>
      </c>
      <c r="B15" s="1173" t="s">
        <v>714</v>
      </c>
      <c r="C15" s="1188"/>
      <c r="D15" s="1176">
        <f>'DMC Threads - By Number'!E19</f>
        <v>0</v>
      </c>
      <c r="E15" s="1255"/>
    </row>
    <row r="16" spans="1:5" ht="15" customHeight="1">
      <c r="A16" s="1173">
        <v>11</v>
      </c>
      <c r="B16" s="1173" t="s">
        <v>695</v>
      </c>
      <c r="C16" s="1189"/>
      <c r="D16" s="1176">
        <f>'DMC Threads - By Number'!E20</f>
        <v>0</v>
      </c>
      <c r="E16" s="1255"/>
    </row>
    <row r="17" spans="1:5" ht="15" customHeight="1">
      <c r="A17" s="1173">
        <v>12</v>
      </c>
      <c r="B17" s="1173" t="s">
        <v>120</v>
      </c>
      <c r="C17" s="1190"/>
      <c r="D17" s="1176">
        <f>'DMC Threads - By Number'!E21</f>
        <v>0</v>
      </c>
      <c r="E17" s="1255"/>
    </row>
    <row r="18" spans="1:5" ht="15" customHeight="1">
      <c r="A18" s="1173">
        <v>13</v>
      </c>
      <c r="B18" s="1173" t="s">
        <v>694</v>
      </c>
      <c r="C18" s="1191"/>
      <c r="D18" s="1176">
        <f>'DMC Threads - By Number'!E22</f>
        <v>0</v>
      </c>
      <c r="E18" s="1255"/>
    </row>
    <row r="19" spans="1:5" ht="15" customHeight="1">
      <c r="A19" s="1173">
        <v>14</v>
      </c>
      <c r="B19" s="1173" t="s">
        <v>696</v>
      </c>
      <c r="C19" s="1192"/>
      <c r="D19" s="1176">
        <f>'DMC Threads - By Number'!E23</f>
        <v>0</v>
      </c>
      <c r="E19" s="1255"/>
    </row>
    <row r="20" spans="1:5" ht="15" customHeight="1">
      <c r="A20" s="1173">
        <v>15</v>
      </c>
      <c r="B20" s="1173" t="s">
        <v>121</v>
      </c>
      <c r="C20" s="1193"/>
      <c r="D20" s="1176">
        <f>'DMC Threads - By Number'!E24</f>
        <v>0</v>
      </c>
      <c r="E20" s="1255"/>
    </row>
    <row r="21" spans="1:5" ht="15" customHeight="1">
      <c r="A21" s="1173">
        <v>16</v>
      </c>
      <c r="B21" s="1173" t="s">
        <v>693</v>
      </c>
      <c r="C21" s="1194"/>
      <c r="D21" s="1176">
        <f>'DMC Threads - By Number'!E25</f>
        <v>0</v>
      </c>
      <c r="E21" s="1255"/>
    </row>
    <row r="22" spans="1:5" ht="15" customHeight="1">
      <c r="A22" s="1173">
        <v>17</v>
      </c>
      <c r="B22" s="1173" t="s">
        <v>692</v>
      </c>
      <c r="C22" s="1195"/>
      <c r="D22" s="1176">
        <f>'DMC Threads - By Number'!E26</f>
        <v>0</v>
      </c>
      <c r="E22" s="1255"/>
    </row>
    <row r="23" spans="1:5" ht="15" customHeight="1">
      <c r="A23" s="1173">
        <v>18</v>
      </c>
      <c r="B23" s="1173" t="s">
        <v>122</v>
      </c>
      <c r="C23" s="1196"/>
      <c r="D23" s="1176">
        <f>'DMC Threads - By Number'!E27</f>
        <v>0</v>
      </c>
      <c r="E23" s="1255"/>
    </row>
    <row r="24" spans="1:5" ht="15" customHeight="1">
      <c r="A24" s="1173">
        <v>19</v>
      </c>
      <c r="B24" s="1173" t="s">
        <v>713</v>
      </c>
      <c r="C24" s="1197"/>
      <c r="D24" s="1176">
        <f>'DMC Threads - By Number'!E28</f>
        <v>0</v>
      </c>
      <c r="E24" s="1255"/>
    </row>
    <row r="25" spans="1:5" ht="15" customHeight="1">
      <c r="A25" s="1173">
        <v>20</v>
      </c>
      <c r="B25" s="1173" t="s">
        <v>123</v>
      </c>
      <c r="C25" s="1198"/>
      <c r="D25" s="1176">
        <f>'DMC Threads - By Number'!E29</f>
        <v>0</v>
      </c>
      <c r="E25" s="1255"/>
    </row>
    <row r="26" spans="1:5" ht="15" customHeight="1">
      <c r="A26" s="1173">
        <v>21</v>
      </c>
      <c r="B26" s="1173" t="s">
        <v>712</v>
      </c>
      <c r="C26" s="1199"/>
      <c r="D26" s="1176">
        <f>'DMC Threads - By Number'!E30</f>
        <v>0</v>
      </c>
      <c r="E26" s="1255"/>
    </row>
    <row r="27" spans="1:5" ht="15" customHeight="1">
      <c r="A27" s="1173">
        <v>22</v>
      </c>
      <c r="B27" s="1173" t="s">
        <v>124</v>
      </c>
      <c r="C27" s="1200"/>
      <c r="D27" s="1176">
        <f>'DMC Threads - By Number'!E31</f>
        <v>0</v>
      </c>
      <c r="E27" s="1255"/>
    </row>
    <row r="28" spans="1:5" ht="15" customHeight="1">
      <c r="A28" s="1173">
        <v>23</v>
      </c>
      <c r="B28" s="1173" t="s">
        <v>125</v>
      </c>
      <c r="C28" s="1201"/>
      <c r="D28" s="1176">
        <f>'DMC Threads - By Number'!E32</f>
        <v>0</v>
      </c>
      <c r="E28" s="1255"/>
    </row>
    <row r="29" spans="1:5" ht="15" customHeight="1">
      <c r="A29" s="1173">
        <v>24</v>
      </c>
      <c r="B29" s="1173" t="s">
        <v>126</v>
      </c>
      <c r="C29" s="1202"/>
      <c r="D29" s="1176">
        <f>'DMC Threads - By Number'!E33</f>
        <v>0</v>
      </c>
      <c r="E29" s="1255"/>
    </row>
    <row r="30" spans="1:5" ht="15" customHeight="1">
      <c r="A30" s="1173">
        <v>25</v>
      </c>
      <c r="B30" s="1173" t="s">
        <v>711</v>
      </c>
      <c r="C30" s="1203"/>
      <c r="D30" s="1176">
        <f>'DMC Threads - By Number'!E34</f>
        <v>0</v>
      </c>
      <c r="E30" s="1255"/>
    </row>
    <row r="31" spans="1:5" ht="15" customHeight="1">
      <c r="A31" s="1173">
        <v>26</v>
      </c>
      <c r="B31" s="1173" t="s">
        <v>710</v>
      </c>
      <c r="C31" s="1204"/>
      <c r="D31" s="1176">
        <f>'DMC Threads - By Number'!E35</f>
        <v>0</v>
      </c>
      <c r="E31" s="1255"/>
    </row>
    <row r="32" spans="1:5" ht="15" customHeight="1">
      <c r="A32" s="1173">
        <v>27</v>
      </c>
      <c r="B32" s="1173" t="s">
        <v>127</v>
      </c>
      <c r="C32" s="1205"/>
      <c r="D32" s="1176">
        <f>'DMC Threads - By Number'!E36</f>
        <v>0</v>
      </c>
      <c r="E32" s="1255"/>
    </row>
    <row r="33" spans="1:5" ht="15" customHeight="1">
      <c r="A33" s="1173">
        <v>28</v>
      </c>
      <c r="B33" s="1173" t="s">
        <v>709</v>
      </c>
      <c r="C33" s="1206"/>
      <c r="D33" s="1176">
        <f>'DMC Threads - By Number'!E37</f>
        <v>0</v>
      </c>
      <c r="E33" s="1255"/>
    </row>
    <row r="34" spans="1:5" ht="15" customHeight="1">
      <c r="A34" s="1173">
        <v>29</v>
      </c>
      <c r="B34" s="1173" t="s">
        <v>128</v>
      </c>
      <c r="C34" s="1207"/>
      <c r="D34" s="1176">
        <f>'DMC Threads - By Number'!E38</f>
        <v>0</v>
      </c>
      <c r="E34" s="1255"/>
    </row>
    <row r="35" spans="1:5" ht="15" customHeight="1">
      <c r="A35" s="1173">
        <v>30</v>
      </c>
      <c r="B35" s="1173" t="s">
        <v>708</v>
      </c>
      <c r="C35" s="1208"/>
      <c r="D35" s="1176">
        <f>'DMC Threads - By Number'!E39</f>
        <v>0</v>
      </c>
      <c r="E35" s="1255"/>
    </row>
    <row r="36" spans="1:5" ht="15" customHeight="1">
      <c r="A36" s="1173">
        <v>31</v>
      </c>
      <c r="B36" s="1173" t="s">
        <v>129</v>
      </c>
      <c r="C36" s="1209"/>
      <c r="D36" s="1176">
        <f>'DMC Threads - By Number'!E40</f>
        <v>0</v>
      </c>
      <c r="E36" s="1255"/>
    </row>
    <row r="37" spans="1:5" ht="15" customHeight="1">
      <c r="A37" s="1173">
        <v>32</v>
      </c>
      <c r="B37" s="1173" t="s">
        <v>707</v>
      </c>
      <c r="C37" s="1210"/>
      <c r="D37" s="1176">
        <f>'DMC Threads - By Number'!E41</f>
        <v>0</v>
      </c>
      <c r="E37" s="1255"/>
    </row>
    <row r="38" spans="1:5" ht="15" customHeight="1">
      <c r="A38" s="1173">
        <v>33</v>
      </c>
      <c r="B38" s="1173" t="s">
        <v>130</v>
      </c>
      <c r="C38" s="1211"/>
      <c r="D38" s="1176">
        <f>'DMC Threads - By Number'!E42</f>
        <v>0</v>
      </c>
      <c r="E38" s="1255"/>
    </row>
    <row r="39" spans="1:5" ht="15" customHeight="1">
      <c r="A39" s="1173">
        <v>34</v>
      </c>
      <c r="B39" s="1173" t="s">
        <v>706</v>
      </c>
      <c r="C39" s="1212"/>
      <c r="D39" s="1176">
        <f>'DMC Threads - By Number'!E43</f>
        <v>0</v>
      </c>
      <c r="E39" s="1255"/>
    </row>
    <row r="40" spans="1:5" ht="15" customHeight="1">
      <c r="A40" s="1173">
        <v>35</v>
      </c>
      <c r="B40" s="1173" t="s">
        <v>705</v>
      </c>
      <c r="C40" s="1213"/>
      <c r="D40" s="1176">
        <f>'DMC Threads - By Number'!E44</f>
        <v>0</v>
      </c>
      <c r="E40" s="1255"/>
    </row>
    <row r="41" spans="1:5" ht="15" customHeight="1">
      <c r="A41" s="1173">
        <v>150</v>
      </c>
      <c r="B41" s="1173" t="s">
        <v>456</v>
      </c>
      <c r="C41" s="1214"/>
      <c r="D41" s="1176">
        <f>'DMC Threads - By Number'!E45</f>
        <v>0</v>
      </c>
      <c r="E41" s="1255"/>
    </row>
    <row r="42" spans="1:5" ht="15" customHeight="1">
      <c r="A42" s="1173">
        <v>151</v>
      </c>
      <c r="B42" s="1173" t="s">
        <v>50</v>
      </c>
      <c r="C42" s="1215"/>
      <c r="D42" s="1176">
        <f>'DMC Threads - By Number'!E46</f>
        <v>0</v>
      </c>
      <c r="E42" s="1255"/>
    </row>
    <row r="43" spans="1:5" ht="15" customHeight="1">
      <c r="A43" s="1173">
        <v>152</v>
      </c>
      <c r="B43" s="1173" t="s">
        <v>369</v>
      </c>
      <c r="C43" s="1216"/>
      <c r="D43" s="1176">
        <f>'DMC Threads - By Number'!E47</f>
        <v>0</v>
      </c>
      <c r="E43" s="1255"/>
    </row>
    <row r="44" spans="1:5" ht="15" customHeight="1">
      <c r="A44" s="1173">
        <v>153</v>
      </c>
      <c r="B44" s="1173" t="s">
        <v>52</v>
      </c>
      <c r="C44" s="1217"/>
      <c r="D44" s="1176">
        <f>'DMC Threads - By Number'!E48</f>
        <v>0</v>
      </c>
      <c r="E44" s="1255"/>
    </row>
    <row r="45" spans="1:5" ht="15" customHeight="1">
      <c r="A45" s="1173">
        <v>154</v>
      </c>
      <c r="B45" s="1173" t="s">
        <v>440</v>
      </c>
      <c r="C45" s="1218"/>
      <c r="D45" s="1176">
        <f>'DMC Threads - By Number'!E49</f>
        <v>0</v>
      </c>
      <c r="E45" s="1255"/>
    </row>
    <row r="46" spans="1:5" ht="15" customHeight="1">
      <c r="A46" s="1173">
        <v>155</v>
      </c>
      <c r="B46" s="1173" t="s">
        <v>53</v>
      </c>
      <c r="C46" s="1219"/>
      <c r="D46" s="1176">
        <f>'DMC Threads - By Number'!E50</f>
        <v>0</v>
      </c>
      <c r="E46" s="1255"/>
    </row>
    <row r="47" spans="1:5" ht="15" customHeight="1">
      <c r="A47" s="1173">
        <v>156</v>
      </c>
      <c r="B47" s="1173" t="s">
        <v>469</v>
      </c>
      <c r="C47" s="1220"/>
      <c r="D47" s="1176">
        <f>'DMC Threads - By Number'!E51</f>
        <v>0</v>
      </c>
      <c r="E47" s="1255"/>
    </row>
    <row r="48" spans="1:5" ht="15" customHeight="1">
      <c r="A48" s="1173">
        <v>157</v>
      </c>
      <c r="B48" s="1173" t="s">
        <v>612</v>
      </c>
      <c r="C48" s="1221"/>
      <c r="D48" s="1176">
        <f>'DMC Threads - By Number'!E52</f>
        <v>0</v>
      </c>
      <c r="E48" s="1255"/>
    </row>
    <row r="49" spans="1:5" ht="15" customHeight="1">
      <c r="A49" s="1173">
        <v>158</v>
      </c>
      <c r="B49" s="1173" t="s">
        <v>377</v>
      </c>
      <c r="C49" s="1222"/>
      <c r="D49" s="1176">
        <f>'DMC Threads - By Number'!E53</f>
        <v>0</v>
      </c>
      <c r="E49" s="1255"/>
    </row>
    <row r="50" spans="1:5" ht="15" customHeight="1">
      <c r="A50" s="1173">
        <v>159</v>
      </c>
      <c r="B50" s="1173" t="s">
        <v>633</v>
      </c>
      <c r="C50" s="1223"/>
      <c r="D50" s="1176">
        <f>'DMC Threads - By Number'!E54</f>
        <v>0</v>
      </c>
      <c r="E50" s="1255"/>
    </row>
    <row r="51" spans="1:5" ht="15" customHeight="1">
      <c r="A51" s="1173">
        <v>160</v>
      </c>
      <c r="B51" s="1173" t="s">
        <v>517</v>
      </c>
      <c r="C51" s="1224"/>
      <c r="D51" s="1176">
        <f>'DMC Threads - By Number'!E55</f>
        <v>0</v>
      </c>
      <c r="E51" s="1255"/>
    </row>
    <row r="52" spans="1:5" ht="15" customHeight="1">
      <c r="A52" s="1173">
        <v>161</v>
      </c>
      <c r="B52" s="1173" t="s">
        <v>379</v>
      </c>
      <c r="C52" s="1225"/>
      <c r="D52" s="1176">
        <f>'DMC Threads - By Number'!E56</f>
        <v>0</v>
      </c>
      <c r="E52" s="1255"/>
    </row>
    <row r="53" spans="1:5" ht="15" customHeight="1">
      <c r="A53" s="1256" t="s">
        <v>61</v>
      </c>
      <c r="B53" s="1647" t="s">
        <v>0</v>
      </c>
      <c r="C53" s="1256" t="s">
        <v>1</v>
      </c>
      <c r="D53" s="1256" t="s">
        <v>243</v>
      </c>
      <c r="E53" s="1256" t="s">
        <v>1741</v>
      </c>
    </row>
    <row r="54" spans="1:5" ht="15" customHeight="1">
      <c r="A54" s="1173">
        <v>162</v>
      </c>
      <c r="B54" s="1173" t="s">
        <v>595</v>
      </c>
      <c r="C54" s="1226"/>
      <c r="D54" s="1176">
        <f>'DMC Threads - By Number'!E57</f>
        <v>0</v>
      </c>
      <c r="E54" s="1255"/>
    </row>
    <row r="55" spans="1:5" ht="15" customHeight="1">
      <c r="A55" s="1173">
        <v>163</v>
      </c>
      <c r="B55" s="1173" t="s">
        <v>55</v>
      </c>
      <c r="C55" s="1227"/>
      <c r="D55" s="1176">
        <f>'DMC Threads - By Number'!E58</f>
        <v>0</v>
      </c>
      <c r="E55" s="1255"/>
    </row>
    <row r="56" spans="1:5" ht="15" customHeight="1">
      <c r="A56" s="1173">
        <v>164</v>
      </c>
      <c r="B56" s="1173" t="s">
        <v>584</v>
      </c>
      <c r="C56" s="1228"/>
      <c r="D56" s="1176">
        <f>'DMC Threads - By Number'!E59</f>
        <v>0</v>
      </c>
      <c r="E56" s="1255"/>
    </row>
    <row r="57" spans="1:5" ht="15" customHeight="1">
      <c r="A57" s="1173">
        <v>165</v>
      </c>
      <c r="B57" s="1173" t="s">
        <v>457</v>
      </c>
      <c r="C57" s="1229"/>
      <c r="D57" s="1176">
        <f>'DMC Threads - By Number'!E60</f>
        <v>0</v>
      </c>
      <c r="E57" s="1255"/>
    </row>
    <row r="58" spans="1:5">
      <c r="A58" s="1173">
        <v>166</v>
      </c>
      <c r="B58" s="1173" t="s">
        <v>56</v>
      </c>
      <c r="C58" s="1230"/>
      <c r="D58" s="1176">
        <f>'DMC Threads - By Number'!E61</f>
        <v>0</v>
      </c>
      <c r="E58" s="1255"/>
    </row>
    <row r="59" spans="1:5">
      <c r="A59" s="1173">
        <v>167</v>
      </c>
      <c r="B59" s="1173" t="s">
        <v>57</v>
      </c>
      <c r="C59" s="1231"/>
      <c r="D59" s="1176">
        <f>'DMC Threads - By Number'!E62</f>
        <v>0</v>
      </c>
      <c r="E59" s="1255"/>
    </row>
    <row r="60" spans="1:5">
      <c r="A60" s="1173">
        <v>168</v>
      </c>
      <c r="B60" s="1173" t="s">
        <v>59</v>
      </c>
      <c r="C60" s="1232"/>
      <c r="D60" s="1176">
        <f>'DMC Threads - By Number'!E63</f>
        <v>0</v>
      </c>
      <c r="E60" s="1255"/>
    </row>
    <row r="61" spans="1:5">
      <c r="A61" s="1173">
        <v>169</v>
      </c>
      <c r="B61" s="1173" t="s">
        <v>49</v>
      </c>
      <c r="C61" s="1233"/>
      <c r="D61" s="1176">
        <f>'DMC Threads - By Number'!E64</f>
        <v>0</v>
      </c>
      <c r="E61" s="1255"/>
    </row>
    <row r="62" spans="1:5">
      <c r="A62" s="1173">
        <v>208</v>
      </c>
      <c r="B62" s="1173" t="s">
        <v>429</v>
      </c>
      <c r="C62" s="1234"/>
      <c r="D62" s="1176">
        <f>'DMC Threads - By Number'!E65</f>
        <v>0</v>
      </c>
      <c r="E62" s="1255"/>
    </row>
    <row r="63" spans="1:5">
      <c r="A63" s="1173">
        <v>209</v>
      </c>
      <c r="B63" s="1173" t="s">
        <v>392</v>
      </c>
      <c r="C63" s="1235"/>
      <c r="D63" s="1176">
        <f>'DMC Threads - By Number'!E66</f>
        <v>0</v>
      </c>
      <c r="E63" s="1255"/>
    </row>
    <row r="64" spans="1:5">
      <c r="A64" s="1173">
        <v>210</v>
      </c>
      <c r="B64" s="1173" t="s">
        <v>530</v>
      </c>
      <c r="C64" s="1236"/>
      <c r="D64" s="1176">
        <f>'DMC Threads - By Number'!E67</f>
        <v>0</v>
      </c>
      <c r="E64" s="1255"/>
    </row>
    <row r="65" spans="1:5">
      <c r="A65" s="1173">
        <v>211</v>
      </c>
      <c r="B65" s="1173" t="s">
        <v>653</v>
      </c>
      <c r="C65" s="1237"/>
      <c r="D65" s="1176">
        <f>'DMC Threads - By Number'!E68</f>
        <v>0</v>
      </c>
      <c r="E65" s="1255"/>
    </row>
    <row r="66" spans="1:5">
      <c r="A66" s="1173">
        <v>221</v>
      </c>
      <c r="B66" s="1173" t="s">
        <v>449</v>
      </c>
      <c r="C66" s="1238"/>
      <c r="D66" s="1176">
        <f>'DMC Threads - By Number'!E69</f>
        <v>0</v>
      </c>
      <c r="E66" s="1255"/>
    </row>
    <row r="67" spans="1:5">
      <c r="A67" s="1173">
        <v>223</v>
      </c>
      <c r="B67" s="1173" t="s">
        <v>581</v>
      </c>
      <c r="C67" s="1239"/>
      <c r="D67" s="1176">
        <f>'DMC Threads - By Number'!E70</f>
        <v>0</v>
      </c>
      <c r="E67" s="1255"/>
    </row>
    <row r="68" spans="1:5">
      <c r="A68" s="1173">
        <v>224</v>
      </c>
      <c r="B68" s="1173" t="s">
        <v>659</v>
      </c>
      <c r="C68" s="1240"/>
      <c r="D68" s="1176">
        <f>'DMC Threads - By Number'!E71</f>
        <v>0</v>
      </c>
      <c r="E68" s="1255"/>
    </row>
    <row r="69" spans="1:5">
      <c r="A69" s="1173">
        <v>225</v>
      </c>
      <c r="B69" s="1173" t="s">
        <v>686</v>
      </c>
      <c r="C69" s="1241"/>
      <c r="D69" s="1176">
        <f>'DMC Threads - By Number'!E72</f>
        <v>0</v>
      </c>
      <c r="E69" s="1255"/>
    </row>
    <row r="70" spans="1:5">
      <c r="A70" s="1173">
        <v>300</v>
      </c>
      <c r="B70" s="1173" t="s">
        <v>402</v>
      </c>
      <c r="C70" s="1242"/>
      <c r="D70" s="1176">
        <f>'DMC Threads - By Number'!J6</f>
        <v>0</v>
      </c>
      <c r="E70" s="1255"/>
    </row>
    <row r="71" spans="1:5">
      <c r="A71" s="1173">
        <v>301</v>
      </c>
      <c r="B71" s="1173" t="s">
        <v>462</v>
      </c>
      <c r="C71" s="1243"/>
      <c r="D71" s="1176">
        <f>'DMC Threads - By Number'!J7</f>
        <v>0</v>
      </c>
      <c r="E71" s="1255"/>
    </row>
    <row r="72" spans="1:5">
      <c r="A72" s="1173">
        <v>304</v>
      </c>
      <c r="B72" s="1173" t="s">
        <v>463</v>
      </c>
      <c r="C72" s="1244"/>
      <c r="D72" s="1176">
        <f>'DMC Threads - By Number'!J8</f>
        <v>0</v>
      </c>
      <c r="E72" s="1255"/>
    </row>
    <row r="73" spans="1:5">
      <c r="A73" s="1173">
        <v>307</v>
      </c>
      <c r="B73" s="1173" t="s">
        <v>2</v>
      </c>
      <c r="C73" s="1245"/>
      <c r="D73" s="1176">
        <f>'DMC Threads - By Number'!J9</f>
        <v>0</v>
      </c>
      <c r="E73" s="1255"/>
    </row>
    <row r="74" spans="1:5">
      <c r="A74" s="1173">
        <v>309</v>
      </c>
      <c r="B74" s="1173" t="s">
        <v>320</v>
      </c>
      <c r="C74" s="1246"/>
      <c r="D74" s="1176">
        <f>'DMC Threads - By Number'!J10</f>
        <v>0</v>
      </c>
      <c r="E74" s="1255"/>
    </row>
    <row r="75" spans="1:5">
      <c r="A75" s="1173">
        <v>310</v>
      </c>
      <c r="B75" s="1173" t="s">
        <v>3</v>
      </c>
      <c r="C75" s="1247"/>
      <c r="D75" s="1176">
        <f>'DMC Threads - By Number'!J11</f>
        <v>0</v>
      </c>
      <c r="E75" s="1255"/>
    </row>
    <row r="76" spans="1:5">
      <c r="A76" s="1173">
        <v>311</v>
      </c>
      <c r="B76" s="1173" t="s">
        <v>469</v>
      </c>
      <c r="C76" s="1248"/>
      <c r="D76" s="1176">
        <f>'DMC Threads - By Number'!J12</f>
        <v>0</v>
      </c>
      <c r="E76" s="1255"/>
    </row>
    <row r="77" spans="1:5">
      <c r="A77" s="1173">
        <v>312</v>
      </c>
      <c r="B77" s="1173" t="s">
        <v>406</v>
      </c>
      <c r="C77" s="1249"/>
      <c r="D77" s="1176">
        <f>'DMC Threads - By Number'!J13</f>
        <v>0</v>
      </c>
      <c r="E77" s="1255"/>
    </row>
    <row r="78" spans="1:5">
      <c r="A78" s="1173">
        <v>315</v>
      </c>
      <c r="B78" s="1173" t="s">
        <v>472</v>
      </c>
      <c r="C78" s="1250"/>
      <c r="D78" s="1176">
        <f>'DMC Threads - By Number'!J14</f>
        <v>0</v>
      </c>
      <c r="E78" s="1255"/>
    </row>
    <row r="79" spans="1:5">
      <c r="A79" s="1173">
        <v>316</v>
      </c>
      <c r="B79" s="1173" t="s">
        <v>474</v>
      </c>
      <c r="C79" s="1251"/>
      <c r="D79" s="1176">
        <f>'DMC Threads - By Number'!J15</f>
        <v>0</v>
      </c>
      <c r="E79" s="1255"/>
    </row>
    <row r="80" spans="1:5">
      <c r="A80" s="1173">
        <v>317</v>
      </c>
      <c r="B80" s="1173" t="s">
        <v>49</v>
      </c>
      <c r="C80" s="1252"/>
      <c r="D80" s="1176">
        <f>'DMC Threads - By Number'!J16</f>
        <v>0</v>
      </c>
      <c r="E80" s="1255"/>
    </row>
    <row r="81" spans="1:5">
      <c r="A81" s="1173">
        <v>318</v>
      </c>
      <c r="B81" s="1173" t="s">
        <v>557</v>
      </c>
      <c r="C81" s="1253"/>
      <c r="D81" s="1176">
        <f>'DMC Threads - By Number'!J17</f>
        <v>0</v>
      </c>
      <c r="E81" s="1255"/>
    </row>
    <row r="82" spans="1:5">
      <c r="A82" s="1173">
        <v>319</v>
      </c>
      <c r="B82" s="1173" t="s">
        <v>413</v>
      </c>
      <c r="C82" s="1254"/>
      <c r="D82" s="1176">
        <f>'DMC Threads - By Number'!J18</f>
        <v>0</v>
      </c>
      <c r="E82" s="1255"/>
    </row>
    <row r="83" spans="1:5">
      <c r="A83" s="1173">
        <v>320</v>
      </c>
      <c r="B83" s="1173" t="s">
        <v>480</v>
      </c>
      <c r="C83" s="1259"/>
      <c r="D83" s="1176">
        <f>'DMC Threads - By Number'!J19</f>
        <v>0</v>
      </c>
      <c r="E83" s="1255"/>
    </row>
    <row r="84" spans="1:5">
      <c r="A84" s="1173">
        <v>321</v>
      </c>
      <c r="B84" s="1173" t="s">
        <v>51</v>
      </c>
      <c r="C84" s="1260"/>
      <c r="D84" s="1176">
        <f>'DMC Threads - By Number'!J20</f>
        <v>0</v>
      </c>
      <c r="E84" s="1255"/>
    </row>
    <row r="85" spans="1:5">
      <c r="A85" s="1173">
        <v>322</v>
      </c>
      <c r="B85" s="1173" t="s">
        <v>43</v>
      </c>
      <c r="C85" s="1261"/>
      <c r="D85" s="1176">
        <f>'DMC Threads - By Number'!J21</f>
        <v>0</v>
      </c>
      <c r="E85" s="1255"/>
    </row>
    <row r="86" spans="1:5">
      <c r="A86" s="1173">
        <v>326</v>
      </c>
      <c r="B86" s="1173" t="s">
        <v>418</v>
      </c>
      <c r="C86" s="1262"/>
      <c r="D86" s="1176">
        <f>'DMC Threads - By Number'!J22</f>
        <v>0</v>
      </c>
      <c r="E86" s="1255"/>
    </row>
    <row r="87" spans="1:5">
      <c r="A87" s="1173">
        <v>327</v>
      </c>
      <c r="B87" s="1173" t="s">
        <v>12</v>
      </c>
      <c r="C87" s="1263"/>
      <c r="D87" s="1176">
        <f>'DMC Threads - By Number'!J23</f>
        <v>0</v>
      </c>
      <c r="E87" s="1255"/>
    </row>
    <row r="88" spans="1:5">
      <c r="A88" s="1173">
        <v>333</v>
      </c>
      <c r="B88" s="1173" t="s">
        <v>419</v>
      </c>
      <c r="C88" s="1264"/>
      <c r="D88" s="1176">
        <f>'DMC Threads - By Number'!J24</f>
        <v>0</v>
      </c>
      <c r="E88" s="1255"/>
    </row>
    <row r="89" spans="1:5">
      <c r="A89" s="1173">
        <v>334</v>
      </c>
      <c r="B89" s="1173" t="s">
        <v>489</v>
      </c>
      <c r="C89" s="1265"/>
      <c r="D89" s="1176">
        <f>'DMC Threads - By Number'!J25</f>
        <v>0</v>
      </c>
      <c r="E89" s="1255"/>
    </row>
    <row r="90" spans="1:5">
      <c r="A90" s="1173">
        <v>335</v>
      </c>
      <c r="B90" s="1173" t="s">
        <v>4</v>
      </c>
      <c r="C90" s="1266"/>
      <c r="D90" s="1176">
        <f>'DMC Threads - By Number'!J26</f>
        <v>0</v>
      </c>
      <c r="E90" s="1255"/>
    </row>
    <row r="91" spans="1:5">
      <c r="A91" s="1173">
        <v>336</v>
      </c>
      <c r="B91" s="1173" t="s">
        <v>54</v>
      </c>
      <c r="C91" s="1267"/>
      <c r="D91" s="1176">
        <f>'DMC Threads - By Number'!J27</f>
        <v>0</v>
      </c>
      <c r="E91" s="1255"/>
    </row>
    <row r="92" spans="1:5">
      <c r="A92" s="1173">
        <v>340</v>
      </c>
      <c r="B92" s="1173" t="s">
        <v>492</v>
      </c>
      <c r="C92" s="1268"/>
      <c r="D92" s="1176">
        <f>'DMC Threads - By Number'!J28</f>
        <v>0</v>
      </c>
      <c r="E92" s="1255"/>
    </row>
    <row r="93" spans="1:5">
      <c r="A93" s="1173">
        <v>341</v>
      </c>
      <c r="B93" s="1173" t="s">
        <v>583</v>
      </c>
      <c r="C93" s="1269"/>
      <c r="D93" s="1176">
        <f>'DMC Threads - By Number'!J29</f>
        <v>0</v>
      </c>
      <c r="E93" s="1255"/>
    </row>
    <row r="94" spans="1:5">
      <c r="A94" s="1173">
        <v>347</v>
      </c>
      <c r="B94" s="1173" t="s">
        <v>424</v>
      </c>
      <c r="C94" s="1270"/>
      <c r="D94" s="1176">
        <f>'DMC Threads - By Number'!J30</f>
        <v>0</v>
      </c>
      <c r="E94" s="1255"/>
    </row>
    <row r="95" spans="1:5">
      <c r="A95" s="1173">
        <v>349</v>
      </c>
      <c r="B95" s="1173" t="s">
        <v>342</v>
      </c>
      <c r="C95" s="1271"/>
      <c r="D95" s="1176">
        <f>'DMC Threads - By Number'!J31</f>
        <v>0</v>
      </c>
      <c r="E95" s="1255"/>
    </row>
    <row r="96" spans="1:5">
      <c r="A96" s="1173">
        <v>350</v>
      </c>
      <c r="B96" s="1173" t="s">
        <v>498</v>
      </c>
      <c r="C96" s="1272"/>
      <c r="D96" s="1176">
        <f>'DMC Threads - By Number'!J32</f>
        <v>0</v>
      </c>
      <c r="E96" s="1255"/>
    </row>
    <row r="97" spans="1:5">
      <c r="A97" s="1173">
        <v>351</v>
      </c>
      <c r="B97" s="1173" t="s">
        <v>5</v>
      </c>
      <c r="C97" s="1273"/>
      <c r="D97" s="1176">
        <f>'DMC Threads - By Number'!J33</f>
        <v>0</v>
      </c>
      <c r="E97" s="1255"/>
    </row>
    <row r="98" spans="1:5">
      <c r="A98" s="1173">
        <v>352</v>
      </c>
      <c r="B98" s="1173" t="s">
        <v>593</v>
      </c>
      <c r="C98" s="1274"/>
      <c r="D98" s="1176">
        <f>'DMC Threads - By Number'!J34</f>
        <v>0</v>
      </c>
      <c r="E98" s="1255"/>
    </row>
    <row r="99" spans="1:5">
      <c r="A99" s="1173">
        <v>353</v>
      </c>
      <c r="B99" s="1173" t="s">
        <v>58</v>
      </c>
      <c r="C99" s="1275"/>
      <c r="D99" s="1176">
        <f>'DMC Threads - By Number'!J35</f>
        <v>0</v>
      </c>
      <c r="E99" s="1255"/>
    </row>
    <row r="100" spans="1:5">
      <c r="A100" s="1173">
        <v>355</v>
      </c>
      <c r="B100" s="1173" t="s">
        <v>349</v>
      </c>
      <c r="C100" s="1276"/>
      <c r="D100" s="1176">
        <f>'DMC Threads - By Number'!J36</f>
        <v>0</v>
      </c>
      <c r="E100" s="1255"/>
    </row>
    <row r="101" spans="1:5">
      <c r="A101" s="1173">
        <v>356</v>
      </c>
      <c r="B101" s="1173" t="s">
        <v>501</v>
      </c>
      <c r="C101" s="1277"/>
      <c r="D101" s="1176">
        <f>'DMC Threads - By Number'!J37</f>
        <v>0</v>
      </c>
      <c r="E101" s="1255"/>
    </row>
    <row r="102" spans="1:5">
      <c r="A102" s="1256" t="s">
        <v>61</v>
      </c>
      <c r="B102" s="1647" t="s">
        <v>0</v>
      </c>
      <c r="C102" s="1256" t="s">
        <v>1</v>
      </c>
      <c r="D102" s="1256" t="s">
        <v>243</v>
      </c>
      <c r="E102" s="1256" t="s">
        <v>1741</v>
      </c>
    </row>
    <row r="103" spans="1:5">
      <c r="A103" s="1173">
        <v>367</v>
      </c>
      <c r="B103" s="1173" t="s">
        <v>354</v>
      </c>
      <c r="C103" s="1278"/>
      <c r="D103" s="1176">
        <f>'DMC Threads - By Number'!J38</f>
        <v>0</v>
      </c>
      <c r="E103" s="1255"/>
    </row>
    <row r="104" spans="1:5">
      <c r="A104" s="1173">
        <v>368</v>
      </c>
      <c r="B104" s="1173" t="s">
        <v>605</v>
      </c>
      <c r="C104" s="1279"/>
      <c r="D104" s="1176">
        <f>'DMC Threads - By Number'!J39</f>
        <v>0</v>
      </c>
      <c r="E104" s="1255"/>
    </row>
    <row r="105" spans="1:5">
      <c r="A105" s="1173">
        <v>369</v>
      </c>
      <c r="B105" s="1173" t="s">
        <v>607</v>
      </c>
      <c r="C105" s="1280"/>
      <c r="D105" s="1176">
        <f>'DMC Threads - By Number'!J40</f>
        <v>0</v>
      </c>
      <c r="E105" s="1255"/>
    </row>
    <row r="106" spans="1:5">
      <c r="A106" s="1173">
        <v>370</v>
      </c>
      <c r="B106" s="1173" t="s">
        <v>505</v>
      </c>
      <c r="C106" s="1281"/>
      <c r="D106" s="1176">
        <f>'DMC Threads - By Number'!J41</f>
        <v>0</v>
      </c>
      <c r="E106" s="1255"/>
    </row>
    <row r="107" spans="1:5">
      <c r="A107" s="1173">
        <v>371</v>
      </c>
      <c r="B107" s="1173" t="s">
        <v>6</v>
      </c>
      <c r="C107" s="1282"/>
      <c r="D107" s="1176">
        <f>'DMC Threads - By Number'!J42</f>
        <v>0</v>
      </c>
      <c r="E107" s="1255"/>
    </row>
    <row r="108" spans="1:5">
      <c r="A108" s="1173">
        <v>372</v>
      </c>
      <c r="B108" s="1173" t="s">
        <v>611</v>
      </c>
      <c r="C108" s="1283"/>
      <c r="D108" s="1176">
        <f>'DMC Threads - By Number'!J43</f>
        <v>0</v>
      </c>
      <c r="E108" s="1255"/>
    </row>
    <row r="109" spans="1:5">
      <c r="A109" s="1173">
        <v>400</v>
      </c>
      <c r="B109" s="1173" t="s">
        <v>363</v>
      </c>
      <c r="C109" s="1284"/>
      <c r="D109" s="1176">
        <f>'DMC Threads - By Number'!J44</f>
        <v>0</v>
      </c>
      <c r="E109" s="1255"/>
    </row>
    <row r="110" spans="1:5">
      <c r="A110" s="1173">
        <v>402</v>
      </c>
      <c r="B110" s="1173" t="s">
        <v>614</v>
      </c>
      <c r="C110" s="1285"/>
      <c r="D110" s="1176">
        <f>'DMC Threads - By Number'!J45</f>
        <v>0</v>
      </c>
      <c r="E110" s="1255"/>
    </row>
    <row r="111" spans="1:5">
      <c r="A111" s="1173">
        <v>407</v>
      </c>
      <c r="B111" s="1173" t="s">
        <v>368</v>
      </c>
      <c r="C111" s="1286"/>
      <c r="D111" s="1176">
        <f>'DMC Threads - By Number'!J46</f>
        <v>0</v>
      </c>
      <c r="E111" s="1255"/>
    </row>
    <row r="112" spans="1:5">
      <c r="A112" s="1173">
        <v>413</v>
      </c>
      <c r="B112" s="1173" t="s">
        <v>370</v>
      </c>
      <c r="C112" s="1287"/>
      <c r="D112" s="1176">
        <f>'DMC Threads - By Number'!J47</f>
        <v>0</v>
      </c>
      <c r="E112" s="1255"/>
    </row>
    <row r="113" spans="1:5">
      <c r="A113" s="1173">
        <v>414</v>
      </c>
      <c r="B113" s="1173" t="s">
        <v>371</v>
      </c>
      <c r="C113" s="1288"/>
      <c r="D113" s="1176">
        <f>'DMC Threads - By Number'!J48</f>
        <v>0</v>
      </c>
      <c r="E113" s="1255"/>
    </row>
    <row r="114" spans="1:5">
      <c r="A114" s="1173">
        <v>415</v>
      </c>
      <c r="B114" s="1173" t="s">
        <v>60</v>
      </c>
      <c r="C114" s="1289"/>
      <c r="D114" s="1176">
        <f>'DMC Threads - By Number'!J49</f>
        <v>0</v>
      </c>
      <c r="E114" s="1255"/>
    </row>
    <row r="115" spans="1:5">
      <c r="A115" s="1173">
        <v>420</v>
      </c>
      <c r="B115" s="1173" t="s">
        <v>374</v>
      </c>
      <c r="C115" s="1290"/>
      <c r="D115" s="1176">
        <f>'DMC Threads - By Number'!J50</f>
        <v>0</v>
      </c>
      <c r="E115" s="1255"/>
    </row>
    <row r="116" spans="1:5">
      <c r="A116" s="1173">
        <v>422</v>
      </c>
      <c r="B116" s="1173" t="s">
        <v>626</v>
      </c>
      <c r="C116" s="1291"/>
      <c r="D116" s="1176">
        <f>'DMC Threads - By Number'!J51</f>
        <v>0</v>
      </c>
      <c r="E116" s="1255"/>
    </row>
    <row r="117" spans="1:5">
      <c r="A117" s="1173">
        <v>433</v>
      </c>
      <c r="B117" s="1173" t="s">
        <v>515</v>
      </c>
      <c r="C117" s="1292"/>
      <c r="D117" s="1176">
        <f>'DMC Threads - By Number'!J52</f>
        <v>0</v>
      </c>
      <c r="E117" s="1255"/>
    </row>
    <row r="118" spans="1:5">
      <c r="A118" s="1173">
        <v>434</v>
      </c>
      <c r="B118" s="1173" t="s">
        <v>631</v>
      </c>
      <c r="C118" s="1293"/>
      <c r="D118" s="1176">
        <f>'DMC Threads - By Number'!J53</f>
        <v>0</v>
      </c>
      <c r="E118" s="1255"/>
    </row>
    <row r="119" spans="1:5">
      <c r="A119" s="1173">
        <v>435</v>
      </c>
      <c r="B119" s="1173" t="s">
        <v>634</v>
      </c>
      <c r="C119" s="1294"/>
      <c r="D119" s="1176">
        <f>'DMC Threads - By Number'!J54</f>
        <v>0</v>
      </c>
      <c r="E119" s="1255"/>
    </row>
    <row r="120" spans="1:5">
      <c r="A120" s="1173">
        <v>436</v>
      </c>
      <c r="B120" s="1173" t="s">
        <v>7</v>
      </c>
      <c r="C120" s="1295"/>
      <c r="D120" s="1176">
        <f>'DMC Threads - By Number'!J55</f>
        <v>0</v>
      </c>
      <c r="E120" s="1255"/>
    </row>
    <row r="121" spans="1:5">
      <c r="A121" s="1173">
        <v>437</v>
      </c>
      <c r="B121" s="1173" t="s">
        <v>636</v>
      </c>
      <c r="C121" s="1296"/>
      <c r="D121" s="1176">
        <f>'DMC Threads - By Number'!J56</f>
        <v>0</v>
      </c>
      <c r="E121" s="1255"/>
    </row>
    <row r="122" spans="1:5">
      <c r="A122" s="1173">
        <v>444</v>
      </c>
      <c r="B122" s="1173" t="s">
        <v>383</v>
      </c>
      <c r="C122" s="1297"/>
      <c r="D122" s="1176">
        <f>'DMC Threads - By Number'!J57</f>
        <v>0</v>
      </c>
      <c r="E122" s="1255"/>
    </row>
    <row r="123" spans="1:5">
      <c r="A123" s="1173">
        <v>445</v>
      </c>
      <c r="B123" s="1173" t="s">
        <v>601</v>
      </c>
      <c r="C123" s="1298"/>
      <c r="D123" s="1176">
        <f>'DMC Threads - By Number'!J58</f>
        <v>0</v>
      </c>
      <c r="E123" s="1255"/>
    </row>
    <row r="124" spans="1:5">
      <c r="A124" s="1173">
        <v>451</v>
      </c>
      <c r="B124" s="1173" t="s">
        <v>385</v>
      </c>
      <c r="C124" s="1299"/>
      <c r="D124" s="1176">
        <f>'DMC Threads - By Number'!J59</f>
        <v>0</v>
      </c>
      <c r="E124" s="1255"/>
    </row>
    <row r="125" spans="1:5">
      <c r="A125" s="1173">
        <v>452</v>
      </c>
      <c r="B125" s="1173" t="s">
        <v>522</v>
      </c>
      <c r="C125" s="1300"/>
      <c r="D125" s="1176">
        <f>'DMC Threads - By Number'!J60</f>
        <v>0</v>
      </c>
      <c r="E125" s="1255"/>
    </row>
    <row r="126" spans="1:5">
      <c r="A126" s="1173">
        <v>453</v>
      </c>
      <c r="B126" s="1173" t="s">
        <v>640</v>
      </c>
      <c r="C126" s="1185"/>
      <c r="D126" s="1176">
        <f>'DMC Threads - By Number'!J61</f>
        <v>0</v>
      </c>
      <c r="E126" s="1255"/>
    </row>
    <row r="127" spans="1:5">
      <c r="A127" s="1173">
        <v>469</v>
      </c>
      <c r="B127" s="1173" t="s">
        <v>8</v>
      </c>
      <c r="C127" s="1301"/>
      <c r="D127" s="1176">
        <f>'DMC Threads - By Number'!J62</f>
        <v>0</v>
      </c>
      <c r="E127" s="1255"/>
    </row>
    <row r="128" spans="1:5">
      <c r="A128" s="1173">
        <v>470</v>
      </c>
      <c r="B128" s="1173" t="s">
        <v>644</v>
      </c>
      <c r="C128" s="1302"/>
      <c r="D128" s="1176">
        <f>'DMC Threads - By Number'!J63</f>
        <v>0</v>
      </c>
      <c r="E128" s="1255"/>
    </row>
    <row r="129" spans="1:5">
      <c r="A129" s="1173">
        <v>471</v>
      </c>
      <c r="B129" s="1173" t="s">
        <v>647</v>
      </c>
      <c r="C129" s="1303"/>
      <c r="D129" s="1176">
        <f>'DMC Threads - By Number'!J64</f>
        <v>0</v>
      </c>
      <c r="E129" s="1255"/>
    </row>
    <row r="130" spans="1:5">
      <c r="A130" s="1173">
        <v>472</v>
      </c>
      <c r="B130" s="1173" t="s">
        <v>683</v>
      </c>
      <c r="C130" s="1304"/>
      <c r="D130" s="1176">
        <f>'DMC Threads - By Number'!J65</f>
        <v>0</v>
      </c>
      <c r="E130" s="1255"/>
    </row>
    <row r="131" spans="1:5">
      <c r="A131" s="1173">
        <v>498</v>
      </c>
      <c r="B131" s="1173" t="s">
        <v>393</v>
      </c>
      <c r="C131" s="1305"/>
      <c r="D131" s="1176">
        <f>'DMC Threads - By Number'!J66</f>
        <v>0</v>
      </c>
      <c r="E131" s="1255"/>
    </row>
    <row r="132" spans="1:5">
      <c r="A132" s="1173">
        <v>500</v>
      </c>
      <c r="B132" s="1173" t="s">
        <v>447</v>
      </c>
      <c r="C132" s="1306"/>
      <c r="D132" s="1176">
        <f>'DMC Threads - By Number'!J67</f>
        <v>0</v>
      </c>
      <c r="E132" s="1255"/>
    </row>
    <row r="133" spans="1:5">
      <c r="A133" s="1173">
        <v>501</v>
      </c>
      <c r="B133" s="1173" t="s">
        <v>395</v>
      </c>
      <c r="C133" s="1307"/>
      <c r="D133" s="1176">
        <f>'DMC Threads - By Number'!J68</f>
        <v>0</v>
      </c>
      <c r="E133" s="1255"/>
    </row>
    <row r="134" spans="1:5">
      <c r="A134" s="1173">
        <v>502</v>
      </c>
      <c r="B134" s="1173" t="s">
        <v>9</v>
      </c>
      <c r="C134" s="1308"/>
      <c r="D134" s="1176">
        <f>'DMC Threads - By Number'!J69</f>
        <v>0</v>
      </c>
      <c r="E134" s="1255"/>
    </row>
    <row r="135" spans="1:5">
      <c r="A135" s="1173">
        <v>503</v>
      </c>
      <c r="B135" s="1173" t="s">
        <v>534</v>
      </c>
      <c r="C135" s="1309"/>
      <c r="D135" s="1176">
        <f>'DMC Threads - By Number'!J70</f>
        <v>0</v>
      </c>
      <c r="E135" s="1255"/>
    </row>
    <row r="136" spans="1:5">
      <c r="A136" s="1173" t="s">
        <v>291</v>
      </c>
      <c r="B136" s="1173" t="s">
        <v>660</v>
      </c>
      <c r="C136" s="1310"/>
      <c r="D136" s="1176">
        <f>'DMC Threads - By Number'!J71</f>
        <v>0</v>
      </c>
      <c r="E136" s="1255"/>
    </row>
    <row r="137" spans="1:5">
      <c r="A137" s="1173">
        <v>505</v>
      </c>
      <c r="B137" s="1173" t="s">
        <v>399</v>
      </c>
      <c r="C137" s="1311"/>
      <c r="D137" s="1176">
        <f>'DMC Threads - By Number'!J72</f>
        <v>0</v>
      </c>
      <c r="E137" s="1255"/>
    </row>
    <row r="138" spans="1:5">
      <c r="A138" s="1173">
        <v>517</v>
      </c>
      <c r="B138" s="1173" t="s">
        <v>315</v>
      </c>
      <c r="C138" s="1312"/>
      <c r="D138" s="1176">
        <f>'DMC Threads - By Number'!O6</f>
        <v>0</v>
      </c>
      <c r="E138" s="1255"/>
    </row>
    <row r="139" spans="1:5">
      <c r="A139" s="1173">
        <v>518</v>
      </c>
      <c r="B139" s="1173" t="s">
        <v>537</v>
      </c>
      <c r="C139" s="1313"/>
      <c r="D139" s="1176">
        <f>'DMC Threads - By Number'!O7</f>
        <v>0</v>
      </c>
      <c r="E139" s="1255"/>
    </row>
    <row r="140" spans="1:5">
      <c r="A140" s="1173">
        <v>519</v>
      </c>
      <c r="B140" s="1173" t="s">
        <v>10</v>
      </c>
      <c r="C140" s="1314"/>
      <c r="D140" s="1176">
        <f>'DMC Threads - By Number'!O8</f>
        <v>0</v>
      </c>
      <c r="E140" s="1255"/>
    </row>
    <row r="141" spans="1:5">
      <c r="A141" s="1173">
        <v>520</v>
      </c>
      <c r="B141" s="1173" t="s">
        <v>319</v>
      </c>
      <c r="C141" s="1315"/>
      <c r="D141" s="1176">
        <f>'DMC Threads - By Number'!O9</f>
        <v>0</v>
      </c>
      <c r="E141" s="1255"/>
    </row>
    <row r="142" spans="1:5">
      <c r="A142" s="1173">
        <v>522</v>
      </c>
      <c r="B142" s="1173" t="s">
        <v>11</v>
      </c>
      <c r="C142" s="1316"/>
      <c r="D142" s="1176">
        <f>'DMC Threads - By Number'!O10</f>
        <v>0</v>
      </c>
      <c r="E142" s="1255"/>
    </row>
    <row r="143" spans="1:5">
      <c r="A143" s="1173">
        <v>523</v>
      </c>
      <c r="B143" s="1173" t="s">
        <v>545</v>
      </c>
      <c r="C143" s="1317"/>
      <c r="D143" s="1176">
        <f>'DMC Threads - By Number'!O11</f>
        <v>0</v>
      </c>
      <c r="E143" s="1255"/>
    </row>
    <row r="144" spans="1:5">
      <c r="A144" s="1173">
        <v>524</v>
      </c>
      <c r="B144" s="1173" t="s">
        <v>547</v>
      </c>
      <c r="C144" s="1318"/>
      <c r="D144" s="1176">
        <f>'DMC Threads - By Number'!O12</f>
        <v>0</v>
      </c>
      <c r="E144" s="1255"/>
    </row>
    <row r="145" spans="1:5">
      <c r="A145" s="1173">
        <v>535</v>
      </c>
      <c r="B145" s="1173" t="s">
        <v>549</v>
      </c>
      <c r="C145" s="1319"/>
      <c r="D145" s="1176">
        <f>'DMC Threads - By Number'!O13</f>
        <v>0</v>
      </c>
      <c r="E145" s="1255"/>
    </row>
    <row r="146" spans="1:5">
      <c r="A146" s="1173">
        <v>543</v>
      </c>
      <c r="B146" s="1173" t="s">
        <v>667</v>
      </c>
      <c r="C146" s="1320"/>
      <c r="D146" s="1176">
        <f>'DMC Threads - By Number'!O14</f>
        <v>0</v>
      </c>
      <c r="E146" s="1255"/>
    </row>
    <row r="147" spans="1:5">
      <c r="A147" s="1173">
        <v>550</v>
      </c>
      <c r="B147" s="1173" t="s">
        <v>408</v>
      </c>
      <c r="C147" s="1321"/>
      <c r="D147" s="1176">
        <f>'DMC Threads - By Number'!O15</f>
        <v>0</v>
      </c>
      <c r="E147" s="1255"/>
    </row>
    <row r="148" spans="1:5">
      <c r="A148" s="1173">
        <v>552</v>
      </c>
      <c r="B148" s="1173" t="s">
        <v>476</v>
      </c>
      <c r="C148" s="1322"/>
      <c r="D148" s="1176">
        <f>'DMC Threads - By Number'!O16</f>
        <v>0</v>
      </c>
      <c r="E148" s="1255"/>
    </row>
    <row r="149" spans="1:5">
      <c r="A149" s="1173">
        <v>553</v>
      </c>
      <c r="B149" s="1173" t="s">
        <v>12</v>
      </c>
      <c r="C149" s="1323"/>
      <c r="D149" s="1176">
        <f>'DMC Threads - By Number'!O17</f>
        <v>0</v>
      </c>
      <c r="E149" s="1255"/>
    </row>
    <row r="150" spans="1:5">
      <c r="A150" s="1256" t="s">
        <v>61</v>
      </c>
      <c r="B150" s="1647" t="s">
        <v>0</v>
      </c>
      <c r="C150" s="1256" t="s">
        <v>1</v>
      </c>
      <c r="D150" s="1256" t="s">
        <v>243</v>
      </c>
      <c r="E150" s="1256" t="s">
        <v>1741</v>
      </c>
    </row>
    <row r="151" spans="1:5">
      <c r="A151" s="1173">
        <v>554</v>
      </c>
      <c r="B151" s="1173" t="s">
        <v>558</v>
      </c>
      <c r="C151" s="1324"/>
      <c r="D151" s="1176">
        <f>'DMC Threads - By Number'!O18</f>
        <v>0</v>
      </c>
      <c r="E151" s="1255"/>
    </row>
    <row r="152" spans="1:5">
      <c r="A152" s="1173">
        <v>561</v>
      </c>
      <c r="B152" s="1173" t="s">
        <v>414</v>
      </c>
      <c r="C152" s="1325"/>
      <c r="D152" s="1176">
        <f>'DMC Threads - By Number'!O19</f>
        <v>0</v>
      </c>
      <c r="E152" s="1255"/>
    </row>
    <row r="153" spans="1:5">
      <c r="A153" s="1173">
        <v>562</v>
      </c>
      <c r="B153" s="1173" t="s">
        <v>482</v>
      </c>
      <c r="C153" s="1326"/>
      <c r="D153" s="1176">
        <f>'DMC Threads - By Number'!O20</f>
        <v>0</v>
      </c>
      <c r="E153" s="1255"/>
    </row>
    <row r="154" spans="1:5">
      <c r="A154" s="1173">
        <v>563</v>
      </c>
      <c r="B154" s="1173" t="s">
        <v>568</v>
      </c>
      <c r="C154" s="1327"/>
      <c r="D154" s="1176">
        <f>'DMC Threads - By Number'!O21</f>
        <v>0</v>
      </c>
      <c r="E154" s="1255"/>
    </row>
    <row r="155" spans="1:5">
      <c r="A155" s="1173">
        <v>564</v>
      </c>
      <c r="B155" s="1173" t="s">
        <v>570</v>
      </c>
      <c r="C155" s="1328"/>
      <c r="D155" s="1176">
        <f>'DMC Threads - By Number'!O22</f>
        <v>0</v>
      </c>
      <c r="E155" s="1255"/>
    </row>
    <row r="156" spans="1:5">
      <c r="A156" s="1173">
        <v>580</v>
      </c>
      <c r="B156" s="1173" t="s">
        <v>331</v>
      </c>
      <c r="C156" s="1329"/>
      <c r="D156" s="1176">
        <f>'DMC Threads - By Number'!O23</f>
        <v>0</v>
      </c>
      <c r="E156" s="1255"/>
    </row>
    <row r="157" spans="1:5">
      <c r="A157" s="1173">
        <v>581</v>
      </c>
      <c r="B157" s="1173" t="s">
        <v>13</v>
      </c>
      <c r="C157" s="1330"/>
      <c r="D157" s="1176">
        <f>'DMC Threads - By Number'!O24</f>
        <v>0</v>
      </c>
      <c r="E157" s="1255"/>
    </row>
    <row r="158" spans="1:5">
      <c r="A158" s="1173">
        <v>597</v>
      </c>
      <c r="B158" s="1173" t="s">
        <v>14</v>
      </c>
      <c r="C158" s="1331"/>
      <c r="D158" s="1176">
        <f>'DMC Threads - By Number'!O25</f>
        <v>0</v>
      </c>
      <c r="E158" s="1255"/>
    </row>
    <row r="159" spans="1:5">
      <c r="A159" s="1173">
        <v>598</v>
      </c>
      <c r="B159" s="1173" t="s">
        <v>579</v>
      </c>
      <c r="C159" s="1332"/>
      <c r="D159" s="1176">
        <f>'DMC Threads - By Number'!O26</f>
        <v>0</v>
      </c>
      <c r="E159" s="1255"/>
    </row>
    <row r="160" spans="1:5">
      <c r="A160" s="1173">
        <v>600</v>
      </c>
      <c r="B160" s="1173" t="s">
        <v>420</v>
      </c>
      <c r="C160" s="1333"/>
      <c r="D160" s="1176">
        <f>'DMC Threads - By Number'!O27</f>
        <v>0</v>
      </c>
      <c r="E160" s="1255"/>
    </row>
    <row r="161" spans="1:5">
      <c r="A161" s="1173">
        <v>601</v>
      </c>
      <c r="B161" s="1173" t="s">
        <v>338</v>
      </c>
      <c r="C161" s="1334"/>
      <c r="D161" s="1176">
        <f>'DMC Threads - By Number'!O28</f>
        <v>0</v>
      </c>
      <c r="E161" s="1255"/>
    </row>
    <row r="162" spans="1:5">
      <c r="A162" s="1173">
        <v>602</v>
      </c>
      <c r="B162" s="1173" t="s">
        <v>493</v>
      </c>
      <c r="C162" s="1335"/>
      <c r="D162" s="1176">
        <f>'DMC Threads - By Number'!O29</f>
        <v>0</v>
      </c>
      <c r="E162" s="1255"/>
    </row>
    <row r="163" spans="1:5">
      <c r="A163" s="1173">
        <v>603</v>
      </c>
      <c r="B163" s="1173" t="s">
        <v>585</v>
      </c>
      <c r="C163" s="1336"/>
      <c r="D163" s="1176">
        <f>'DMC Threads - By Number'!O30</f>
        <v>0</v>
      </c>
      <c r="E163" s="1255"/>
    </row>
    <row r="164" spans="1:5">
      <c r="A164" s="1173">
        <v>604</v>
      </c>
      <c r="B164" s="1173" t="s">
        <v>586</v>
      </c>
      <c r="C164" s="1337"/>
      <c r="D164" s="1176">
        <f>'DMC Threads - By Number'!O31</f>
        <v>0</v>
      </c>
      <c r="E164" s="1255"/>
    </row>
    <row r="165" spans="1:5">
      <c r="A165" s="1173">
        <v>605</v>
      </c>
      <c r="B165" s="1173" t="s">
        <v>589</v>
      </c>
      <c r="C165" s="1338"/>
      <c r="D165" s="1176">
        <f>'DMC Threads - By Number'!O32</f>
        <v>0</v>
      </c>
      <c r="E165" s="1255"/>
    </row>
    <row r="166" spans="1:5">
      <c r="A166" s="1173">
        <v>606</v>
      </c>
      <c r="B166" s="1173" t="s">
        <v>453</v>
      </c>
      <c r="C166" s="1339"/>
      <c r="D166" s="1176">
        <f>'DMC Threads - By Number'!O33</f>
        <v>0</v>
      </c>
      <c r="E166" s="1255"/>
    </row>
    <row r="167" spans="1:5">
      <c r="A167" s="1173">
        <v>608</v>
      </c>
      <c r="B167" s="1173" t="s">
        <v>454</v>
      </c>
      <c r="C167" s="1340"/>
      <c r="D167" s="1176">
        <f>'DMC Threads - By Number'!O34</f>
        <v>0</v>
      </c>
      <c r="E167" s="1255"/>
    </row>
    <row r="168" spans="1:5">
      <c r="A168" s="1173">
        <v>610</v>
      </c>
      <c r="B168" s="1173" t="s">
        <v>348</v>
      </c>
      <c r="C168" s="1341"/>
      <c r="D168" s="1176">
        <f>'DMC Threads - By Number'!O35</f>
        <v>0</v>
      </c>
      <c r="E168" s="1255"/>
    </row>
    <row r="169" spans="1:5">
      <c r="A169" s="1173">
        <v>611</v>
      </c>
      <c r="B169" s="1173" t="s">
        <v>62</v>
      </c>
      <c r="C169" s="1342"/>
      <c r="D169" s="1176">
        <f>'DMC Threads - By Number'!O36</f>
        <v>0</v>
      </c>
      <c r="E169" s="1255"/>
    </row>
    <row r="170" spans="1:5">
      <c r="A170" s="1173">
        <v>612</v>
      </c>
      <c r="B170" s="1173" t="s">
        <v>600</v>
      </c>
      <c r="C170" s="1343"/>
      <c r="D170" s="1176">
        <f>'DMC Threads - By Number'!O37</f>
        <v>0</v>
      </c>
      <c r="E170" s="1255"/>
    </row>
    <row r="171" spans="1:5">
      <c r="A171" s="1173">
        <v>613</v>
      </c>
      <c r="B171" s="1173" t="s">
        <v>603</v>
      </c>
      <c r="C171" s="1344"/>
      <c r="D171" s="1176">
        <f>'DMC Threads - By Number'!O38</f>
        <v>0</v>
      </c>
      <c r="E171" s="1255"/>
    </row>
    <row r="172" spans="1:5">
      <c r="A172" s="1173">
        <v>632</v>
      </c>
      <c r="B172" s="1173" t="s">
        <v>674</v>
      </c>
      <c r="C172" s="1345"/>
      <c r="D172" s="1176">
        <f>'DMC Threads - By Number'!O39</f>
        <v>0</v>
      </c>
      <c r="E172" s="1255"/>
    </row>
    <row r="173" spans="1:5">
      <c r="A173" s="1173">
        <v>640</v>
      </c>
      <c r="B173" s="1173" t="s">
        <v>433</v>
      </c>
      <c r="C173" s="1346"/>
      <c r="D173" s="1176">
        <f>'DMC Threads - By Number'!O40</f>
        <v>0</v>
      </c>
      <c r="E173" s="1255"/>
    </row>
    <row r="174" spans="1:5">
      <c r="A174" s="1173">
        <v>642</v>
      </c>
      <c r="B174" s="1173" t="s">
        <v>359</v>
      </c>
      <c r="C174" s="1347"/>
      <c r="D174" s="1176">
        <f>'DMC Threads - By Number'!O41</f>
        <v>0</v>
      </c>
      <c r="E174" s="1255"/>
    </row>
    <row r="175" spans="1:5">
      <c r="A175" s="1173">
        <v>644</v>
      </c>
      <c r="B175" s="1173" t="s">
        <v>507</v>
      </c>
      <c r="C175" s="1348"/>
      <c r="D175" s="1176">
        <f>'DMC Threads - By Number'!O42</f>
        <v>0</v>
      </c>
      <c r="E175" s="1255"/>
    </row>
    <row r="176" spans="1:5">
      <c r="A176" s="1173">
        <v>645</v>
      </c>
      <c r="B176" s="1173" t="s">
        <v>436</v>
      </c>
      <c r="C176" s="1349"/>
      <c r="D176" s="1176">
        <f>'DMC Threads - By Number'!O43</f>
        <v>0</v>
      </c>
      <c r="E176" s="1255"/>
    </row>
    <row r="177" spans="1:5">
      <c r="A177" s="1173">
        <v>646</v>
      </c>
      <c r="B177" s="1173" t="s">
        <v>362</v>
      </c>
      <c r="C177" s="1350"/>
      <c r="D177" s="1176">
        <f>'DMC Threads - By Number'!O44</f>
        <v>0</v>
      </c>
      <c r="E177" s="1255"/>
    </row>
    <row r="178" spans="1:5">
      <c r="A178" s="1173">
        <v>647</v>
      </c>
      <c r="B178" s="1173" t="s">
        <v>509</v>
      </c>
      <c r="C178" s="1351"/>
      <c r="D178" s="1176">
        <f>'DMC Threads - By Number'!O45</f>
        <v>0</v>
      </c>
      <c r="E178" s="1255"/>
    </row>
    <row r="179" spans="1:5">
      <c r="A179" s="1173">
        <v>648</v>
      </c>
      <c r="B179" s="1173" t="s">
        <v>616</v>
      </c>
      <c r="C179" s="1352"/>
      <c r="D179" s="1176">
        <f>'DMC Threads - By Number'!O46</f>
        <v>0</v>
      </c>
      <c r="E179" s="1255"/>
    </row>
    <row r="180" spans="1:5">
      <c r="A180" s="1173">
        <v>666</v>
      </c>
      <c r="B180" s="1173" t="s">
        <v>456</v>
      </c>
      <c r="C180" s="1353"/>
      <c r="D180" s="1176">
        <f>'DMC Threads - By Number'!O47</f>
        <v>0</v>
      </c>
      <c r="E180" s="1255"/>
    </row>
    <row r="181" spans="1:5">
      <c r="A181" s="1173">
        <v>676</v>
      </c>
      <c r="B181" s="1173" t="s">
        <v>618</v>
      </c>
      <c r="C181" s="1354"/>
      <c r="D181" s="1176">
        <f>'DMC Threads - By Number'!O48</f>
        <v>0</v>
      </c>
      <c r="E181" s="1255"/>
    </row>
    <row r="182" spans="1:5">
      <c r="A182" s="1173">
        <v>677</v>
      </c>
      <c r="B182" s="1173" t="s">
        <v>619</v>
      </c>
      <c r="C182" s="1355"/>
      <c r="D182" s="1176">
        <f>'DMC Threads - By Number'!O49</f>
        <v>0</v>
      </c>
      <c r="E182" s="1255"/>
    </row>
    <row r="183" spans="1:5">
      <c r="A183" s="1173">
        <v>680</v>
      </c>
      <c r="B183" s="1173" t="s">
        <v>375</v>
      </c>
      <c r="C183" s="1356"/>
      <c r="D183" s="1176">
        <f>'DMC Threads - By Number'!O50</f>
        <v>0</v>
      </c>
      <c r="E183" s="1255"/>
    </row>
    <row r="184" spans="1:5">
      <c r="A184" s="1173">
        <v>699</v>
      </c>
      <c r="B184" s="1173" t="s">
        <v>55</v>
      </c>
      <c r="C184" s="1357"/>
      <c r="D184" s="1176">
        <f>'DMC Threads - By Number'!O51</f>
        <v>0</v>
      </c>
      <c r="E184" s="1255"/>
    </row>
    <row r="185" spans="1:5">
      <c r="A185" s="1173">
        <v>700</v>
      </c>
      <c r="B185" s="1173" t="s">
        <v>457</v>
      </c>
      <c r="C185" s="1358"/>
      <c r="D185" s="1176">
        <f>'DMC Threads - By Number'!O52</f>
        <v>0</v>
      </c>
      <c r="E185" s="1255"/>
    </row>
    <row r="186" spans="1:5">
      <c r="A186" s="1173">
        <v>701</v>
      </c>
      <c r="B186" s="1173" t="s">
        <v>584</v>
      </c>
      <c r="C186" s="1359"/>
      <c r="D186" s="1176">
        <f>'DMC Threads - By Number'!O53</f>
        <v>0</v>
      </c>
      <c r="E186" s="1255"/>
    </row>
    <row r="187" spans="1:5">
      <c r="A187" s="1173">
        <v>702</v>
      </c>
      <c r="B187" s="1173" t="s">
        <v>15</v>
      </c>
      <c r="C187" s="1360"/>
      <c r="D187" s="1176">
        <f>'DMC Threads - By Number'!O54</f>
        <v>0</v>
      </c>
      <c r="E187" s="1255"/>
    </row>
    <row r="188" spans="1:5">
      <c r="A188" s="1173">
        <v>703</v>
      </c>
      <c r="B188" s="1173" t="s">
        <v>16</v>
      </c>
      <c r="C188" s="1361"/>
      <c r="D188" s="1176">
        <f>'DMC Threads - By Number'!O55</f>
        <v>0</v>
      </c>
      <c r="E188" s="1255"/>
    </row>
    <row r="189" spans="1:5">
      <c r="A189" s="1173">
        <v>704</v>
      </c>
      <c r="B189" s="1173" t="s">
        <v>458</v>
      </c>
      <c r="C189" s="1362"/>
      <c r="D189" s="1176">
        <f>'DMC Threads - By Number'!O56</f>
        <v>0</v>
      </c>
      <c r="E189" s="1255"/>
    </row>
    <row r="190" spans="1:5">
      <c r="A190" s="1173">
        <v>712</v>
      </c>
      <c r="B190" s="1173" t="s">
        <v>17</v>
      </c>
      <c r="C190" s="1363"/>
      <c r="D190" s="1176">
        <f>'DMC Threads - By Number'!O57</f>
        <v>0</v>
      </c>
      <c r="E190" s="1255"/>
    </row>
    <row r="191" spans="1:5">
      <c r="A191" s="1173">
        <v>718</v>
      </c>
      <c r="B191" s="1173" t="s">
        <v>18</v>
      </c>
      <c r="C191" s="1364"/>
      <c r="D191" s="1176">
        <f>'DMC Threads - By Number'!O58</f>
        <v>0</v>
      </c>
      <c r="E191" s="1255"/>
    </row>
    <row r="192" spans="1:5">
      <c r="A192" s="1173">
        <v>720</v>
      </c>
      <c r="B192" s="1173" t="s">
        <v>386</v>
      </c>
      <c r="C192" s="1365"/>
      <c r="D192" s="1176">
        <f>'DMC Threads - By Number'!O59</f>
        <v>0</v>
      </c>
      <c r="E192" s="1255"/>
    </row>
    <row r="193" spans="1:5">
      <c r="A193" s="1173">
        <v>721</v>
      </c>
      <c r="B193" s="1173" t="s">
        <v>523</v>
      </c>
      <c r="C193" s="1366"/>
      <c r="D193" s="1176">
        <f>'DMC Threads - By Number'!O60</f>
        <v>0</v>
      </c>
      <c r="E193" s="1255"/>
    </row>
    <row r="194" spans="1:5">
      <c r="A194" s="1173">
        <v>722</v>
      </c>
      <c r="B194" s="1173" t="s">
        <v>588</v>
      </c>
      <c r="C194" s="1367"/>
      <c r="D194" s="1176">
        <f>'DMC Threads - By Number'!O61</f>
        <v>0</v>
      </c>
      <c r="E194" s="1255"/>
    </row>
    <row r="195" spans="1:5">
      <c r="A195" s="1173">
        <v>724</v>
      </c>
      <c r="B195" s="1173" t="s">
        <v>1473</v>
      </c>
      <c r="C195" s="1368"/>
      <c r="D195" s="1176">
        <f>'DMC Threads - By Number'!O62</f>
        <v>0</v>
      </c>
      <c r="E195" s="1255"/>
    </row>
    <row r="196" spans="1:5">
      <c r="A196" s="1173">
        <v>725</v>
      </c>
      <c r="B196" s="1173" t="s">
        <v>19</v>
      </c>
      <c r="C196" s="1369"/>
      <c r="D196" s="1176">
        <f>'DMC Threads - By Number'!O63</f>
        <v>0</v>
      </c>
      <c r="E196" s="1255"/>
    </row>
    <row r="197" spans="1:5">
      <c r="A197" s="1173">
        <v>726</v>
      </c>
      <c r="B197" s="1173" t="s">
        <v>645</v>
      </c>
      <c r="C197" s="1370"/>
      <c r="D197" s="1176">
        <f>'DMC Threads - By Number'!O64</f>
        <v>0</v>
      </c>
      <c r="E197" s="1255"/>
    </row>
    <row r="198" spans="1:5">
      <c r="A198" s="1256" t="s">
        <v>61</v>
      </c>
      <c r="B198" s="1647" t="s">
        <v>0</v>
      </c>
      <c r="C198" s="1256" t="s">
        <v>1</v>
      </c>
      <c r="D198" s="1256" t="s">
        <v>243</v>
      </c>
      <c r="E198" s="1256" t="s">
        <v>1741</v>
      </c>
    </row>
    <row r="199" spans="1:5">
      <c r="A199" s="1173">
        <v>727</v>
      </c>
      <c r="B199" s="1173" t="s">
        <v>648</v>
      </c>
      <c r="C199" s="1371"/>
      <c r="D199" s="1176">
        <f>'DMC Threads - By Number'!O65</f>
        <v>0</v>
      </c>
      <c r="E199" s="1255"/>
    </row>
    <row r="200" spans="1:5">
      <c r="A200" s="1173">
        <v>728</v>
      </c>
      <c r="B200" s="1173" t="s">
        <v>63</v>
      </c>
      <c r="C200" s="1372"/>
      <c r="D200" s="1176">
        <f>'DMC Threads - By Number'!O66</f>
        <v>0</v>
      </c>
      <c r="E200" s="1255"/>
    </row>
    <row r="201" spans="1:5">
      <c r="A201" s="1173">
        <v>729</v>
      </c>
      <c r="B201" s="1173" t="s">
        <v>529</v>
      </c>
      <c r="C201" s="1373"/>
      <c r="D201" s="1176">
        <f>'DMC Threads - By Number'!O67</f>
        <v>0</v>
      </c>
      <c r="E201" s="1255"/>
    </row>
    <row r="202" spans="1:5">
      <c r="A202" s="1173">
        <v>730</v>
      </c>
      <c r="B202" s="1173" t="s">
        <v>448</v>
      </c>
      <c r="C202" s="1374"/>
      <c r="D202" s="1176">
        <f>'DMC Threads - By Number'!O68</f>
        <v>0</v>
      </c>
      <c r="E202" s="1255"/>
    </row>
    <row r="203" spans="1:5">
      <c r="A203" s="1173" t="s">
        <v>292</v>
      </c>
      <c r="B203" s="1173" t="s">
        <v>396</v>
      </c>
      <c r="C203" s="1375"/>
      <c r="D203" s="1176">
        <f>'DMC Threads - By Number'!O69</f>
        <v>0</v>
      </c>
      <c r="E203" s="1255"/>
    </row>
    <row r="204" spans="1:5">
      <c r="A204" s="1173">
        <v>732</v>
      </c>
      <c r="B204" s="1173" t="s">
        <v>20</v>
      </c>
      <c r="C204" s="1376"/>
      <c r="D204" s="1176">
        <f>'DMC Threads - By Number'!O70</f>
        <v>0</v>
      </c>
      <c r="E204" s="1255"/>
    </row>
    <row r="205" spans="1:5">
      <c r="A205" s="1173">
        <v>733</v>
      </c>
      <c r="B205" s="1173" t="s">
        <v>535</v>
      </c>
      <c r="C205" s="1377"/>
      <c r="D205" s="1176">
        <f>'DMC Threads - By Number'!O71</f>
        <v>0</v>
      </c>
      <c r="E205" s="1255"/>
    </row>
    <row r="206" spans="1:5">
      <c r="A206" s="1173">
        <v>734</v>
      </c>
      <c r="B206" s="1173" t="s">
        <v>661</v>
      </c>
      <c r="C206" s="1378"/>
      <c r="D206" s="1176">
        <f>'DMC Threads - By Number'!O72</f>
        <v>0</v>
      </c>
      <c r="E206" s="1255"/>
    </row>
    <row r="207" spans="1:5">
      <c r="A207" s="1173">
        <v>738</v>
      </c>
      <c r="B207" s="1173" t="s">
        <v>663</v>
      </c>
      <c r="C207" s="1379"/>
      <c r="D207" s="1176">
        <f>'DMC Threads - By Number'!O73</f>
        <v>0</v>
      </c>
      <c r="E207" s="1255"/>
    </row>
    <row r="208" spans="1:5">
      <c r="A208" s="1173">
        <v>739</v>
      </c>
      <c r="B208" s="1173" t="s">
        <v>664</v>
      </c>
      <c r="C208" s="1380"/>
      <c r="D208" s="1176">
        <f>'DMC Threads - By Number'!T6</f>
        <v>0</v>
      </c>
      <c r="E208" s="1255"/>
    </row>
    <row r="209" spans="1:5">
      <c r="A209" s="1173">
        <v>740</v>
      </c>
      <c r="B209" s="1173" t="s">
        <v>21</v>
      </c>
      <c r="C209" s="1381"/>
      <c r="D209" s="1176">
        <f>'DMC Threads - By Number'!T7</f>
        <v>0</v>
      </c>
      <c r="E209" s="1255"/>
    </row>
    <row r="210" spans="1:5">
      <c r="A210" s="1173">
        <v>741</v>
      </c>
      <c r="B210" s="1173" t="s">
        <v>464</v>
      </c>
      <c r="C210" s="1382"/>
      <c r="D210" s="1176">
        <f>'DMC Threads - By Number'!T8</f>
        <v>0</v>
      </c>
      <c r="E210" s="1255"/>
    </row>
    <row r="211" spans="1:5">
      <c r="A211" s="1173">
        <v>742</v>
      </c>
      <c r="B211" s="1173" t="s">
        <v>539</v>
      </c>
      <c r="C211" s="1383"/>
      <c r="D211" s="1176">
        <f>'DMC Threads - By Number'!T9</f>
        <v>0</v>
      </c>
      <c r="E211" s="1255"/>
    </row>
    <row r="212" spans="1:5">
      <c r="A212" s="1173">
        <v>743</v>
      </c>
      <c r="B212" s="1173" t="s">
        <v>467</v>
      </c>
      <c r="C212" s="1384"/>
      <c r="D212" s="1176">
        <f>'DMC Threads - By Number'!T10</f>
        <v>0</v>
      </c>
      <c r="E212" s="1255"/>
    </row>
    <row r="213" spans="1:5">
      <c r="A213" s="1173">
        <v>744</v>
      </c>
      <c r="B213" s="1173" t="s">
        <v>697</v>
      </c>
      <c r="C213" s="1385"/>
      <c r="D213" s="1176">
        <f>'DMC Threads - By Number'!T11</f>
        <v>0</v>
      </c>
      <c r="E213" s="1255"/>
    </row>
    <row r="214" spans="1:5">
      <c r="A214" s="1173">
        <v>745</v>
      </c>
      <c r="B214" s="1173" t="s">
        <v>698</v>
      </c>
      <c r="C214" s="1386"/>
      <c r="D214" s="1176">
        <f>'DMC Threads - By Number'!T12</f>
        <v>0</v>
      </c>
      <c r="E214" s="1255"/>
    </row>
    <row r="215" spans="1:5">
      <c r="A215" s="1173">
        <v>746</v>
      </c>
      <c r="B215" s="1173" t="s">
        <v>22</v>
      </c>
      <c r="C215" s="1387"/>
      <c r="D215" s="1176">
        <f>'DMC Threads - By Number'!T13</f>
        <v>0</v>
      </c>
      <c r="E215" s="1255"/>
    </row>
    <row r="216" spans="1:5">
      <c r="A216" s="1173">
        <v>747</v>
      </c>
      <c r="B216" s="1173" t="s">
        <v>551</v>
      </c>
      <c r="C216" s="1388"/>
      <c r="D216" s="1176">
        <f>'DMC Threads - By Number'!T14</f>
        <v>0</v>
      </c>
      <c r="E216" s="1255"/>
    </row>
    <row r="217" spans="1:5">
      <c r="A217" s="1173">
        <v>754</v>
      </c>
      <c r="B217" s="1173" t="s">
        <v>552</v>
      </c>
      <c r="C217" s="1389"/>
      <c r="D217" s="1176">
        <f>'DMC Threads - By Number'!T15</f>
        <v>0</v>
      </c>
      <c r="E217" s="1255"/>
    </row>
    <row r="218" spans="1:5">
      <c r="A218" s="1173">
        <v>758</v>
      </c>
      <c r="B218" s="1173" t="s">
        <v>555</v>
      </c>
      <c r="C218" s="1390"/>
      <c r="D218" s="1176">
        <f>'DMC Threads - By Number'!T16</f>
        <v>0</v>
      </c>
      <c r="E218" s="1255"/>
    </row>
    <row r="219" spans="1:5">
      <c r="A219" s="1173">
        <v>760</v>
      </c>
      <c r="B219" s="1173" t="s">
        <v>23</v>
      </c>
      <c r="C219" s="1391"/>
      <c r="D219" s="1176">
        <f>'DMC Threads - By Number'!T17</f>
        <v>0</v>
      </c>
      <c r="E219" s="1255"/>
    </row>
    <row r="220" spans="1:5">
      <c r="A220" s="1173">
        <v>761</v>
      </c>
      <c r="B220" s="1173" t="s">
        <v>559</v>
      </c>
      <c r="C220" s="1392"/>
      <c r="D220" s="1176">
        <f>'DMC Threads - By Number'!T18</f>
        <v>0</v>
      </c>
      <c r="E220" s="1255"/>
    </row>
    <row r="221" spans="1:5">
      <c r="A221" s="1173">
        <v>762</v>
      </c>
      <c r="B221" s="1173" t="s">
        <v>561</v>
      </c>
      <c r="C221" s="1393"/>
      <c r="D221" s="1176">
        <f>'DMC Threads - By Number'!T19</f>
        <v>0</v>
      </c>
      <c r="E221" s="1255"/>
    </row>
    <row r="222" spans="1:5">
      <c r="A222" s="1173">
        <v>772</v>
      </c>
      <c r="B222" s="1173" t="s">
        <v>565</v>
      </c>
      <c r="C222" s="1394"/>
      <c r="D222" s="1176">
        <f>'DMC Threads - By Number'!T20</f>
        <v>0</v>
      </c>
      <c r="E222" s="1255"/>
    </row>
    <row r="223" spans="1:5">
      <c r="A223" s="1173">
        <v>775</v>
      </c>
      <c r="B223" s="1173" t="s">
        <v>569</v>
      </c>
      <c r="C223" s="1395"/>
      <c r="D223" s="1176">
        <f>'DMC Threads - By Number'!T21</f>
        <v>0</v>
      </c>
      <c r="E223" s="1255"/>
    </row>
    <row r="224" spans="1:5">
      <c r="A224" s="1173" t="s">
        <v>293</v>
      </c>
      <c r="B224" s="1173" t="s">
        <v>484</v>
      </c>
      <c r="C224" s="1396"/>
      <c r="D224" s="1176">
        <f>'DMC Threads - By Number'!T22</f>
        <v>0</v>
      </c>
      <c r="E224" s="1255"/>
    </row>
    <row r="225" spans="1:5">
      <c r="A225" s="1173">
        <v>777</v>
      </c>
      <c r="B225" s="1173" t="s">
        <v>687</v>
      </c>
      <c r="C225" s="1397"/>
      <c r="D225" s="1176">
        <f>'DMC Threads - By Number'!T23</f>
        <v>0</v>
      </c>
      <c r="E225" s="1255"/>
    </row>
    <row r="226" spans="1:5">
      <c r="A226" s="1173">
        <v>778</v>
      </c>
      <c r="B226" s="1173" t="s">
        <v>575</v>
      </c>
      <c r="C226" s="1398"/>
      <c r="D226" s="1176">
        <f>'DMC Threads - By Number'!T24</f>
        <v>0</v>
      </c>
      <c r="E226" s="1255"/>
    </row>
    <row r="227" spans="1:5">
      <c r="A227" s="1173">
        <v>779</v>
      </c>
      <c r="B227" s="1173" t="s">
        <v>65</v>
      </c>
      <c r="C227" s="1399"/>
      <c r="D227" s="1176">
        <f>'DMC Threads - By Number'!T25</f>
        <v>0</v>
      </c>
      <c r="E227" s="1255"/>
    </row>
    <row r="228" spans="1:5">
      <c r="A228" s="1173">
        <v>780</v>
      </c>
      <c r="B228" s="1173" t="s">
        <v>670</v>
      </c>
      <c r="C228" s="1400"/>
      <c r="D228" s="1176">
        <f>'DMC Threads - By Number'!T26</f>
        <v>0</v>
      </c>
      <c r="E228" s="1255"/>
    </row>
    <row r="229" spans="1:5">
      <c r="A229" s="1173" t="s">
        <v>294</v>
      </c>
      <c r="B229" s="1173" t="s">
        <v>421</v>
      </c>
      <c r="C229" s="1401"/>
      <c r="D229" s="1176">
        <f>'DMC Threads - By Number'!T27</f>
        <v>0</v>
      </c>
      <c r="E229" s="1255"/>
    </row>
    <row r="230" spans="1:5">
      <c r="A230" s="1173">
        <v>782</v>
      </c>
      <c r="B230" s="1173" t="s">
        <v>339</v>
      </c>
      <c r="C230" s="1402"/>
      <c r="D230" s="1176">
        <f>'DMC Threads - By Number'!T28</f>
        <v>0</v>
      </c>
      <c r="E230" s="1255"/>
    </row>
    <row r="231" spans="1:5">
      <c r="A231" s="1173">
        <v>783</v>
      </c>
      <c r="B231" s="1173" t="s">
        <v>494</v>
      </c>
      <c r="C231" s="1403"/>
      <c r="D231" s="1176">
        <f>'DMC Threads - By Number'!T29</f>
        <v>0</v>
      </c>
      <c r="E231" s="1255"/>
    </row>
    <row r="232" spans="1:5">
      <c r="A232" s="1173">
        <v>791</v>
      </c>
      <c r="B232" s="1173" t="s">
        <v>425</v>
      </c>
      <c r="C232" s="1404"/>
      <c r="D232" s="1176">
        <f>'DMC Threads - By Number'!T30</f>
        <v>0</v>
      </c>
      <c r="E232" s="1255"/>
    </row>
    <row r="233" spans="1:5">
      <c r="A233" s="1173">
        <v>792</v>
      </c>
      <c r="B233" s="1173" t="s">
        <v>343</v>
      </c>
      <c r="C233" s="1405"/>
      <c r="D233" s="1176">
        <f>'DMC Threads - By Number'!T31</f>
        <v>0</v>
      </c>
      <c r="E233" s="1255"/>
    </row>
    <row r="234" spans="1:5">
      <c r="A234" s="1173">
        <v>793</v>
      </c>
      <c r="B234" s="1173" t="s">
        <v>499</v>
      </c>
      <c r="C234" s="1406"/>
      <c r="D234" s="1176">
        <f>'DMC Threads - By Number'!T32</f>
        <v>0</v>
      </c>
      <c r="E234" s="1255"/>
    </row>
    <row r="235" spans="1:5">
      <c r="A235" s="1173">
        <v>794</v>
      </c>
      <c r="B235" s="1173" t="s">
        <v>591</v>
      </c>
      <c r="C235" s="1407"/>
      <c r="D235" s="1176">
        <f>'DMC Threads - By Number'!T33</f>
        <v>0</v>
      </c>
      <c r="E235" s="1255"/>
    </row>
    <row r="236" spans="1:5">
      <c r="A236" s="1173">
        <v>796</v>
      </c>
      <c r="B236" s="1173" t="s">
        <v>347</v>
      </c>
      <c r="C236" s="1408"/>
      <c r="D236" s="1176">
        <f>'DMC Threads - By Number'!T34</f>
        <v>0</v>
      </c>
      <c r="E236" s="1255"/>
    </row>
    <row r="237" spans="1:5">
      <c r="A237" s="1173">
        <v>797</v>
      </c>
      <c r="B237" s="1173" t="s">
        <v>24</v>
      </c>
      <c r="C237" s="1409"/>
      <c r="D237" s="1176">
        <f>'DMC Threads - By Number'!T35</f>
        <v>0</v>
      </c>
      <c r="E237" s="1255"/>
    </row>
    <row r="238" spans="1:5">
      <c r="A238" s="1173">
        <v>798</v>
      </c>
      <c r="B238" s="1173" t="s">
        <v>350</v>
      </c>
      <c r="C238" s="1410"/>
      <c r="D238" s="1176">
        <f>'DMC Threads - By Number'!T36</f>
        <v>0</v>
      </c>
      <c r="E238" s="1255"/>
    </row>
    <row r="239" spans="1:5">
      <c r="A239" s="1173">
        <v>799</v>
      </c>
      <c r="B239" s="1173" t="s">
        <v>502</v>
      </c>
      <c r="C239" s="1411"/>
      <c r="D239" s="1176">
        <f>'DMC Threads - By Number'!T37</f>
        <v>0</v>
      </c>
      <c r="E239" s="1255"/>
    </row>
    <row r="240" spans="1:5">
      <c r="A240" s="1173">
        <v>800</v>
      </c>
      <c r="B240" s="1173" t="s">
        <v>699</v>
      </c>
      <c r="C240" s="1412"/>
      <c r="D240" s="1176">
        <f>'DMC Threads - By Number'!T38</f>
        <v>0</v>
      </c>
      <c r="E240" s="1255"/>
    </row>
    <row r="241" spans="1:5">
      <c r="A241" s="1173">
        <v>801</v>
      </c>
      <c r="B241" s="1173" t="s">
        <v>356</v>
      </c>
      <c r="C241" s="1413"/>
      <c r="D241" s="1176">
        <f>'DMC Threads - By Number'!T39</f>
        <v>0</v>
      </c>
      <c r="E241" s="1255"/>
    </row>
    <row r="242" spans="1:5">
      <c r="A242" s="1173">
        <v>803</v>
      </c>
      <c r="B242" s="1173" t="s">
        <v>688</v>
      </c>
      <c r="C242" s="1414"/>
      <c r="D242" s="1176">
        <f>'DMC Threads - By Number'!T40</f>
        <v>0</v>
      </c>
      <c r="E242" s="1255"/>
    </row>
    <row r="243" spans="1:5">
      <c r="A243" s="1173" t="s">
        <v>296</v>
      </c>
      <c r="B243" s="1173" t="s">
        <v>360</v>
      </c>
      <c r="C243" s="1415"/>
      <c r="D243" s="1176">
        <f>'DMC Threads - By Number'!T41</f>
        <v>0</v>
      </c>
      <c r="E243" s="1255"/>
    </row>
    <row r="244" spans="1:5">
      <c r="A244" s="1173">
        <v>807</v>
      </c>
      <c r="B244" s="1173" t="s">
        <v>25</v>
      </c>
      <c r="C244" s="1416"/>
      <c r="D244" s="1176">
        <f>'DMC Threads - By Number'!T42</f>
        <v>0</v>
      </c>
      <c r="E244" s="1255"/>
    </row>
    <row r="245" spans="1:5">
      <c r="A245" s="1173">
        <v>809</v>
      </c>
      <c r="B245" s="1173" t="s">
        <v>64</v>
      </c>
      <c r="C245" s="1417"/>
      <c r="D245" s="1176">
        <f>'DMC Threads - By Number'!T43</f>
        <v>0</v>
      </c>
      <c r="E245" s="1255"/>
    </row>
    <row r="246" spans="1:5">
      <c r="A246" s="1256" t="s">
        <v>61</v>
      </c>
      <c r="B246" s="1647" t="s">
        <v>0</v>
      </c>
      <c r="C246" s="1256" t="s">
        <v>1</v>
      </c>
      <c r="D246" s="1256" t="s">
        <v>243</v>
      </c>
      <c r="E246" s="1256" t="s">
        <v>1741</v>
      </c>
    </row>
    <row r="247" spans="1:5">
      <c r="A247" s="1173">
        <v>813</v>
      </c>
      <c r="B247" s="1173" t="s">
        <v>612</v>
      </c>
      <c r="C247" s="1424"/>
      <c r="D247" s="1176">
        <f>'DMC Threads - By Number'!T44</f>
        <v>0</v>
      </c>
      <c r="E247" s="1255"/>
    </row>
    <row r="248" spans="1:5">
      <c r="A248" s="1173">
        <v>814</v>
      </c>
      <c r="B248" s="1173" t="s">
        <v>365</v>
      </c>
      <c r="C248" s="1418"/>
      <c r="D248" s="1176">
        <f>'DMC Threads - By Number'!T45</f>
        <v>0</v>
      </c>
      <c r="E248" s="1255"/>
    </row>
    <row r="249" spans="1:5">
      <c r="A249" s="1173">
        <v>815</v>
      </c>
      <c r="B249" s="1173" t="s">
        <v>511</v>
      </c>
      <c r="C249" s="1419"/>
      <c r="D249" s="1176">
        <f>'DMC Threads - By Number'!T46</f>
        <v>0</v>
      </c>
      <c r="E249" s="1255"/>
    </row>
    <row r="250" spans="1:5">
      <c r="A250" s="1173">
        <v>816</v>
      </c>
      <c r="B250" s="1173" t="s">
        <v>26</v>
      </c>
      <c r="C250" s="1420"/>
      <c r="D250" s="1176">
        <f>'DMC Threads - By Number'!T47</f>
        <v>0</v>
      </c>
      <c r="E250" s="1255"/>
    </row>
    <row r="251" spans="1:5">
      <c r="A251" s="1173">
        <v>817</v>
      </c>
      <c r="B251" s="1173" t="s">
        <v>439</v>
      </c>
      <c r="C251" s="1421"/>
      <c r="D251" s="1176">
        <f>'DMC Threads - By Number'!T48</f>
        <v>0</v>
      </c>
      <c r="E251" s="1255"/>
    </row>
    <row r="252" spans="1:5">
      <c r="A252" s="1173">
        <v>818</v>
      </c>
      <c r="B252" s="1173" t="s">
        <v>27</v>
      </c>
      <c r="C252" s="1422"/>
      <c r="D252" s="1176">
        <f>'DMC Threads - By Number'!T49</f>
        <v>0</v>
      </c>
      <c r="E252" s="1255"/>
    </row>
    <row r="253" spans="1:5">
      <c r="A253" s="1173">
        <v>819</v>
      </c>
      <c r="B253" s="1173" t="s">
        <v>622</v>
      </c>
      <c r="C253" s="1423"/>
      <c r="D253" s="1176">
        <f>'DMC Threads - By Number'!T50</f>
        <v>0</v>
      </c>
      <c r="E253" s="1255"/>
    </row>
    <row r="254" spans="1:5">
      <c r="A254" s="1173">
        <v>820</v>
      </c>
      <c r="B254" s="1173" t="s">
        <v>441</v>
      </c>
      <c r="C254" s="1425"/>
      <c r="D254" s="1176">
        <f>'DMC Threads - By Number'!T51</f>
        <v>0</v>
      </c>
      <c r="E254" s="1255"/>
    </row>
    <row r="255" spans="1:5">
      <c r="A255" s="1173">
        <v>822</v>
      </c>
      <c r="B255" s="1173" t="s">
        <v>628</v>
      </c>
      <c r="C255" s="1426"/>
      <c r="D255" s="1176">
        <f>'DMC Threads - By Number'!T52</f>
        <v>0</v>
      </c>
      <c r="E255" s="1255"/>
    </row>
    <row r="256" spans="1:5">
      <c r="A256" s="1173">
        <v>823</v>
      </c>
      <c r="B256" s="1173" t="s">
        <v>377</v>
      </c>
      <c r="C256" s="1427"/>
      <c r="D256" s="1176">
        <f>'DMC Threads - By Number'!T53</f>
        <v>0</v>
      </c>
      <c r="E256" s="1255"/>
    </row>
    <row r="257" spans="1:5">
      <c r="A257" s="1173">
        <v>824</v>
      </c>
      <c r="B257" s="1173" t="s">
        <v>437</v>
      </c>
      <c r="C257" s="1428"/>
      <c r="D257" s="1176">
        <f>'DMC Threads - By Number'!T54</f>
        <v>0</v>
      </c>
      <c r="E257" s="1255"/>
    </row>
    <row r="258" spans="1:5">
      <c r="A258" s="1173">
        <v>825</v>
      </c>
      <c r="B258" s="1173" t="s">
        <v>377</v>
      </c>
      <c r="C258" s="1429"/>
      <c r="D258" s="1176">
        <f>'DMC Threads - By Number'!T55</f>
        <v>0</v>
      </c>
      <c r="E258" s="1255"/>
    </row>
    <row r="259" spans="1:5">
      <c r="A259" s="1173">
        <v>826</v>
      </c>
      <c r="B259" s="1173" t="s">
        <v>469</v>
      </c>
      <c r="C259" s="1430"/>
      <c r="D259" s="1176">
        <f>'DMC Threads - By Number'!T56</f>
        <v>0</v>
      </c>
      <c r="E259" s="1255"/>
    </row>
    <row r="260" spans="1:5">
      <c r="A260" s="1173">
        <v>827</v>
      </c>
      <c r="B260" s="1173" t="s">
        <v>637</v>
      </c>
      <c r="C260" s="1431"/>
      <c r="D260" s="1176">
        <f>'DMC Threads - By Number'!T57</f>
        <v>0</v>
      </c>
      <c r="E260" s="1255"/>
    </row>
    <row r="261" spans="1:5">
      <c r="A261" s="1173">
        <v>828</v>
      </c>
      <c r="B261" s="1173" t="s">
        <v>681</v>
      </c>
      <c r="C261" s="1432"/>
      <c r="D261" s="1176">
        <f>'DMC Threads - By Number'!T58</f>
        <v>0</v>
      </c>
      <c r="E261" s="1255"/>
    </row>
    <row r="262" spans="1:5">
      <c r="A262" s="1173">
        <v>829</v>
      </c>
      <c r="B262" s="1173" t="s">
        <v>444</v>
      </c>
      <c r="C262" s="1433"/>
      <c r="D262" s="1176">
        <f>'DMC Threads - By Number'!T59</f>
        <v>0</v>
      </c>
      <c r="E262" s="1255"/>
    </row>
    <row r="263" spans="1:5">
      <c r="A263" s="1173">
        <v>830</v>
      </c>
      <c r="B263" s="1173" t="s">
        <v>388</v>
      </c>
      <c r="C263" s="1434"/>
      <c r="D263" s="1176">
        <f>'DMC Threads - By Number'!T60</f>
        <v>0</v>
      </c>
      <c r="E263" s="1255"/>
    </row>
    <row r="264" spans="1:5">
      <c r="A264" s="1173">
        <v>831</v>
      </c>
      <c r="B264" s="1173" t="s">
        <v>525</v>
      </c>
      <c r="C264" s="1435"/>
      <c r="D264" s="1176">
        <f>'DMC Threads - By Number'!T61</f>
        <v>0</v>
      </c>
      <c r="E264" s="1255"/>
    </row>
    <row r="265" spans="1:5">
      <c r="A265" s="1173">
        <v>832</v>
      </c>
      <c r="B265" s="1173" t="s">
        <v>28</v>
      </c>
      <c r="C265" s="1436"/>
      <c r="D265" s="1176">
        <f>'DMC Threads - By Number'!T62</f>
        <v>0</v>
      </c>
      <c r="E265" s="1255"/>
    </row>
    <row r="266" spans="1:5">
      <c r="A266" s="1173">
        <v>833</v>
      </c>
      <c r="B266" s="1173" t="s">
        <v>646</v>
      </c>
      <c r="C266" s="1437"/>
      <c r="D266" s="1176">
        <f>'DMC Threads - By Number'!T63</f>
        <v>0</v>
      </c>
      <c r="E266" s="1255"/>
    </row>
    <row r="267" spans="1:5">
      <c r="A267" s="1173">
        <v>834</v>
      </c>
      <c r="B267" s="1173" t="s">
        <v>649</v>
      </c>
      <c r="C267" s="1438"/>
      <c r="D267" s="1176">
        <f>'DMC Threads - By Number'!T64</f>
        <v>0</v>
      </c>
      <c r="E267" s="1255"/>
    </row>
    <row r="268" spans="1:5">
      <c r="A268" s="1173">
        <v>838</v>
      </c>
      <c r="B268" s="1173" t="s">
        <v>445</v>
      </c>
      <c r="C268" s="1439"/>
      <c r="D268" s="1176">
        <f>'DMC Threads - By Number'!T65</f>
        <v>0</v>
      </c>
      <c r="E268" s="1255"/>
    </row>
    <row r="269" spans="1:5">
      <c r="A269" s="1173">
        <v>839</v>
      </c>
      <c r="B269" s="1173" t="s">
        <v>341</v>
      </c>
      <c r="C269" s="1440"/>
      <c r="D269" s="1176">
        <f>'DMC Threads - By Number'!T66</f>
        <v>0</v>
      </c>
      <c r="E269" s="1255"/>
    </row>
    <row r="270" spans="1:5">
      <c r="A270" s="1173">
        <v>840</v>
      </c>
      <c r="B270" s="1173" t="s">
        <v>531</v>
      </c>
      <c r="C270" s="1441"/>
      <c r="D270" s="1176">
        <f>'DMC Threads - By Number'!T67</f>
        <v>0</v>
      </c>
      <c r="E270" s="1255"/>
    </row>
    <row r="271" spans="1:5">
      <c r="A271" s="1173">
        <v>841</v>
      </c>
      <c r="B271" s="1173" t="s">
        <v>654</v>
      </c>
      <c r="C271" s="1442"/>
      <c r="D271" s="1176">
        <f>'DMC Threads - By Number'!T68</f>
        <v>0</v>
      </c>
      <c r="E271" s="1255"/>
    </row>
    <row r="272" spans="1:5">
      <c r="A272" s="1173">
        <v>842</v>
      </c>
      <c r="B272" s="1173" t="s">
        <v>656</v>
      </c>
      <c r="C272" s="1443"/>
      <c r="D272" s="1176">
        <f>'DMC Threads - By Number'!T69</f>
        <v>0</v>
      </c>
      <c r="E272" s="1255"/>
    </row>
    <row r="273" spans="1:5">
      <c r="A273" s="1173">
        <v>844</v>
      </c>
      <c r="B273" s="1173" t="s">
        <v>685</v>
      </c>
      <c r="C273" s="1444"/>
      <c r="D273" s="1176">
        <f>'DMC Threads - By Number'!T70</f>
        <v>0</v>
      </c>
      <c r="E273" s="1255"/>
    </row>
    <row r="274" spans="1:5">
      <c r="A274" s="1173" t="s">
        <v>297</v>
      </c>
      <c r="B274" s="1173" t="s">
        <v>66</v>
      </c>
      <c r="C274" s="1445"/>
      <c r="D274" s="1176">
        <f>'DMC Threads - By Number'!T71</f>
        <v>0</v>
      </c>
      <c r="E274" s="1255"/>
    </row>
    <row r="275" spans="1:5">
      <c r="A275" s="1173">
        <v>869</v>
      </c>
      <c r="B275" s="1173" t="s">
        <v>451</v>
      </c>
      <c r="C275" s="1446"/>
      <c r="D275" s="1176">
        <f>'DMC Threads - By Number'!T72</f>
        <v>0</v>
      </c>
      <c r="E275" s="1255"/>
    </row>
    <row r="276" spans="1:5">
      <c r="A276" s="1173">
        <v>890</v>
      </c>
      <c r="B276" s="1173" t="s">
        <v>665</v>
      </c>
      <c r="C276" s="1447"/>
      <c r="D276" s="1176">
        <f>'DMC Threads - By Number'!Y6</f>
        <v>0</v>
      </c>
      <c r="E276" s="1255"/>
    </row>
    <row r="277" spans="1:5">
      <c r="A277" s="1173">
        <v>891</v>
      </c>
      <c r="B277" s="1173" t="s">
        <v>316</v>
      </c>
      <c r="C277" s="1448"/>
      <c r="D277" s="1176">
        <f>'DMC Threads - By Number'!Y7</f>
        <v>0</v>
      </c>
      <c r="E277" s="1255"/>
    </row>
    <row r="278" spans="1:5">
      <c r="A278" s="1173">
        <v>892</v>
      </c>
      <c r="B278" s="1173" t="s">
        <v>465</v>
      </c>
      <c r="C278" s="1449"/>
      <c r="D278" s="1176">
        <f>'DMC Threads - By Number'!Y8</f>
        <v>0</v>
      </c>
      <c r="E278" s="1255"/>
    </row>
    <row r="279" spans="1:5">
      <c r="A279" s="1173">
        <v>893</v>
      </c>
      <c r="B279" s="1173" t="s">
        <v>540</v>
      </c>
      <c r="C279" s="1450"/>
      <c r="D279" s="1176">
        <f>'DMC Threads - By Number'!Y9</f>
        <v>0</v>
      </c>
      <c r="E279" s="1255"/>
    </row>
    <row r="280" spans="1:5">
      <c r="A280" s="1173">
        <v>894</v>
      </c>
      <c r="B280" s="1173" t="s">
        <v>542</v>
      </c>
      <c r="C280" s="1451"/>
      <c r="D280" s="1176">
        <f>'DMC Threads - By Number'!Y10</f>
        <v>0</v>
      </c>
      <c r="E280" s="1255"/>
    </row>
    <row r="281" spans="1:5">
      <c r="A281" s="1173">
        <v>895</v>
      </c>
      <c r="B281" s="1173" t="s">
        <v>403</v>
      </c>
      <c r="C281" s="1452"/>
      <c r="D281" s="1176">
        <f>'DMC Threads - By Number'!Y11</f>
        <v>0</v>
      </c>
      <c r="E281" s="1255"/>
    </row>
    <row r="282" spans="1:5">
      <c r="A282" s="1173">
        <v>898</v>
      </c>
      <c r="B282" s="1173" t="s">
        <v>404</v>
      </c>
      <c r="C282" s="1453"/>
      <c r="D282" s="1176">
        <f>'DMC Threads - By Number'!Y12</f>
        <v>0</v>
      </c>
      <c r="E282" s="1255"/>
    </row>
    <row r="283" spans="1:5">
      <c r="A283" s="1173">
        <v>899</v>
      </c>
      <c r="B283" s="1173" t="s">
        <v>471</v>
      </c>
      <c r="C283" s="1454"/>
      <c r="D283" s="1176">
        <f>'DMC Threads - By Number'!Y13</f>
        <v>0</v>
      </c>
      <c r="E283" s="1255"/>
    </row>
    <row r="284" spans="1:5">
      <c r="A284" s="1173">
        <v>900</v>
      </c>
      <c r="B284" s="1173" t="s">
        <v>324</v>
      </c>
      <c r="C284" s="1455"/>
      <c r="D284" s="1176">
        <f>'DMC Threads - By Number'!Y14</f>
        <v>0</v>
      </c>
      <c r="E284" s="1255"/>
    </row>
    <row r="285" spans="1:5">
      <c r="A285" s="1173">
        <v>902</v>
      </c>
      <c r="B285" s="1173" t="s">
        <v>409</v>
      </c>
      <c r="C285" s="1456"/>
      <c r="D285" s="1176">
        <f>'DMC Threads - By Number'!Y15</f>
        <v>0</v>
      </c>
      <c r="E285" s="1255"/>
    </row>
    <row r="286" spans="1:5">
      <c r="A286" s="1173">
        <v>904</v>
      </c>
      <c r="B286" s="1173" t="s">
        <v>410</v>
      </c>
      <c r="C286" s="1457"/>
      <c r="D286" s="1176">
        <f>'DMC Threads - By Number'!Y16</f>
        <v>0</v>
      </c>
      <c r="E286" s="1255"/>
    </row>
    <row r="287" spans="1:5">
      <c r="A287" s="1173">
        <v>905</v>
      </c>
      <c r="B287" s="1173" t="s">
        <v>328</v>
      </c>
      <c r="C287" s="1458"/>
      <c r="D287" s="1176">
        <f>'DMC Threads - By Number'!Y17</f>
        <v>0</v>
      </c>
      <c r="E287" s="1255"/>
    </row>
    <row r="288" spans="1:5">
      <c r="A288" s="1173">
        <v>906</v>
      </c>
      <c r="B288" s="1173" t="s">
        <v>478</v>
      </c>
      <c r="C288" s="1459"/>
      <c r="D288" s="1176">
        <f>'DMC Threads - By Number'!Y18</f>
        <v>0</v>
      </c>
      <c r="E288" s="1255"/>
    </row>
    <row r="289" spans="1:5">
      <c r="A289" s="1173">
        <v>907</v>
      </c>
      <c r="B289" s="1173" t="s">
        <v>562</v>
      </c>
      <c r="C289" s="1460"/>
      <c r="D289" s="1176">
        <f>'DMC Threads - By Number'!Y19</f>
        <v>0</v>
      </c>
      <c r="E289" s="1255"/>
    </row>
    <row r="290" spans="1:5">
      <c r="A290" s="1173">
        <v>909</v>
      </c>
      <c r="B290" s="1173" t="s">
        <v>415</v>
      </c>
      <c r="C290" s="1461"/>
      <c r="D290" s="1176">
        <f>'DMC Threads - By Number'!Y20</f>
        <v>0</v>
      </c>
      <c r="E290" s="1255"/>
    </row>
    <row r="291" spans="1:5">
      <c r="A291" s="1173">
        <v>910</v>
      </c>
      <c r="B291" s="1173" t="s">
        <v>330</v>
      </c>
      <c r="C291" s="1462"/>
      <c r="D291" s="1176">
        <f>'DMC Threads - By Number'!Y21</f>
        <v>0</v>
      </c>
      <c r="E291" s="1255"/>
    </row>
    <row r="292" spans="1:5">
      <c r="A292" s="1173">
        <v>911</v>
      </c>
      <c r="B292" s="1173" t="s">
        <v>485</v>
      </c>
      <c r="C292" s="1463"/>
      <c r="D292" s="1176">
        <f>'DMC Threads - By Number'!Y22</f>
        <v>0</v>
      </c>
      <c r="E292" s="1255"/>
    </row>
    <row r="293" spans="1:5">
      <c r="A293" s="1173">
        <v>912</v>
      </c>
      <c r="B293" s="1173" t="s">
        <v>574</v>
      </c>
      <c r="C293" s="1464"/>
      <c r="D293" s="1176">
        <f>'DMC Threads - By Number'!Y23</f>
        <v>0</v>
      </c>
      <c r="E293" s="1255"/>
    </row>
    <row r="294" spans="1:5">
      <c r="A294" s="1256" t="s">
        <v>61</v>
      </c>
      <c r="B294" s="1647" t="s">
        <v>0</v>
      </c>
      <c r="C294" s="1256" t="s">
        <v>1</v>
      </c>
      <c r="D294" s="1256" t="s">
        <v>243</v>
      </c>
      <c r="E294" s="1256" t="s">
        <v>1741</v>
      </c>
    </row>
    <row r="295" spans="1:5">
      <c r="A295" s="1173">
        <v>913</v>
      </c>
      <c r="B295" s="1173" t="s">
        <v>487</v>
      </c>
      <c r="C295" s="1465"/>
      <c r="D295" s="1176">
        <f>'DMC Threads - By Number'!Y24</f>
        <v>0</v>
      </c>
      <c r="E295" s="1255"/>
    </row>
    <row r="296" spans="1:5">
      <c r="A296" s="1173">
        <v>915</v>
      </c>
      <c r="B296" s="1173" t="s">
        <v>334</v>
      </c>
      <c r="C296" s="1466"/>
      <c r="D296" s="1176">
        <f>'DMC Threads - By Number'!Y25</f>
        <v>0</v>
      </c>
      <c r="E296" s="1255"/>
    </row>
    <row r="297" spans="1:5">
      <c r="A297" s="1173">
        <v>917</v>
      </c>
      <c r="B297" s="1173" t="s">
        <v>490</v>
      </c>
      <c r="C297" s="1467"/>
      <c r="D297" s="1176">
        <f>'DMC Threads - By Number'!Y26</f>
        <v>0</v>
      </c>
      <c r="E297" s="1255"/>
    </row>
    <row r="298" spans="1:5">
      <c r="A298" s="1173">
        <v>918</v>
      </c>
      <c r="B298" s="1173" t="s">
        <v>337</v>
      </c>
      <c r="C298" s="1468"/>
      <c r="D298" s="1176">
        <f>'DMC Threads - By Number'!Y27</f>
        <v>0</v>
      </c>
      <c r="E298" s="1255"/>
    </row>
    <row r="299" spans="1:5">
      <c r="A299" s="1173">
        <v>919</v>
      </c>
      <c r="B299" s="1173" t="s">
        <v>29</v>
      </c>
      <c r="C299" s="1469"/>
      <c r="D299" s="1176">
        <f>'DMC Threads - By Number'!Y28</f>
        <v>0</v>
      </c>
      <c r="E299" s="1255"/>
    </row>
    <row r="300" spans="1:5">
      <c r="A300" s="1173">
        <v>920</v>
      </c>
      <c r="B300" s="1173" t="s">
        <v>495</v>
      </c>
      <c r="C300" s="1470"/>
      <c r="D300" s="1176">
        <f>'DMC Threads - By Number'!Y29</f>
        <v>0</v>
      </c>
      <c r="E300" s="1255"/>
    </row>
    <row r="301" spans="1:5">
      <c r="A301" s="1173">
        <v>921</v>
      </c>
      <c r="B301" s="1173" t="s">
        <v>30</v>
      </c>
      <c r="C301" s="1471"/>
      <c r="D301" s="1176">
        <f>'DMC Threads - By Number'!Y30</f>
        <v>0</v>
      </c>
      <c r="E301" s="1255"/>
    </row>
    <row r="302" spans="1:5">
      <c r="A302" s="1173">
        <v>922</v>
      </c>
      <c r="B302" s="1173" t="s">
        <v>587</v>
      </c>
      <c r="C302" s="1472"/>
      <c r="D302" s="1176">
        <f>'DMC Threads - By Number'!Y31</f>
        <v>0</v>
      </c>
      <c r="E302" s="1255"/>
    </row>
    <row r="303" spans="1:5">
      <c r="A303" s="1173">
        <v>924</v>
      </c>
      <c r="B303" s="1173" t="s">
        <v>427</v>
      </c>
      <c r="C303" s="1473"/>
      <c r="D303" s="1176">
        <f>'DMC Threads - By Number'!Y32</f>
        <v>0</v>
      </c>
      <c r="E303" s="1255"/>
    </row>
    <row r="304" spans="1:5">
      <c r="A304" s="1173">
        <v>926</v>
      </c>
      <c r="B304" s="1173" t="s">
        <v>500</v>
      </c>
      <c r="C304" s="1474"/>
      <c r="D304" s="1176">
        <f>'DMC Threads - By Number'!Y33</f>
        <v>0</v>
      </c>
      <c r="E304" s="1255"/>
    </row>
    <row r="305" spans="1:5">
      <c r="A305" s="1173">
        <v>927</v>
      </c>
      <c r="B305" s="1173" t="s">
        <v>594</v>
      </c>
      <c r="C305" s="1475"/>
      <c r="D305" s="1176">
        <f>'DMC Threads - By Number'!Y34</f>
        <v>0</v>
      </c>
      <c r="E305" s="1255"/>
    </row>
    <row r="306" spans="1:5">
      <c r="A306" s="1173">
        <v>928</v>
      </c>
      <c r="B306" s="1173" t="s">
        <v>598</v>
      </c>
      <c r="C306" s="1476"/>
      <c r="D306" s="1176">
        <f>'DMC Threads - By Number'!Y35</f>
        <v>0</v>
      </c>
      <c r="E306" s="1255"/>
    </row>
    <row r="307" spans="1:5">
      <c r="A307" s="1173">
        <v>930</v>
      </c>
      <c r="B307" s="1173" t="s">
        <v>351</v>
      </c>
      <c r="C307" s="1477"/>
      <c r="D307" s="1176">
        <f>'DMC Threads - By Number'!Y36</f>
        <v>0</v>
      </c>
      <c r="E307" s="1255"/>
    </row>
    <row r="308" spans="1:5">
      <c r="A308" s="1173">
        <v>931</v>
      </c>
      <c r="B308" s="1173" t="s">
        <v>503</v>
      </c>
      <c r="C308" s="1478"/>
      <c r="D308" s="1176">
        <f>'DMC Threads - By Number'!Y37</f>
        <v>0</v>
      </c>
      <c r="E308" s="1255"/>
    </row>
    <row r="309" spans="1:5">
      <c r="A309" s="1173">
        <v>932</v>
      </c>
      <c r="B309" s="1173" t="s">
        <v>604</v>
      </c>
      <c r="C309" s="1479"/>
      <c r="D309" s="1176">
        <f>'DMC Threads - By Number'!Y38</f>
        <v>0</v>
      </c>
      <c r="E309" s="1255"/>
    </row>
    <row r="310" spans="1:5">
      <c r="A310" s="1173">
        <v>934</v>
      </c>
      <c r="B310" s="1173" t="s">
        <v>67</v>
      </c>
      <c r="C310" s="1480"/>
      <c r="D310" s="1176">
        <f>'DMC Threads - By Number'!Y39</f>
        <v>0</v>
      </c>
      <c r="E310" s="1255"/>
    </row>
    <row r="311" spans="1:5">
      <c r="A311" s="1173">
        <v>935</v>
      </c>
      <c r="B311" s="1173" t="s">
        <v>358</v>
      </c>
      <c r="C311" s="1481"/>
      <c r="D311" s="1176">
        <f>'DMC Threads - By Number'!Y40</f>
        <v>0</v>
      </c>
      <c r="E311" s="1255"/>
    </row>
    <row r="312" spans="1:5">
      <c r="A312" s="1173">
        <v>936</v>
      </c>
      <c r="B312" s="1173" t="s">
        <v>435</v>
      </c>
      <c r="C312" s="1482"/>
      <c r="D312" s="1176">
        <f>'DMC Threads - By Number'!Y41</f>
        <v>0</v>
      </c>
      <c r="E312" s="1255"/>
    </row>
    <row r="313" spans="1:5">
      <c r="A313" s="1173">
        <v>937</v>
      </c>
      <c r="B313" s="1173" t="s">
        <v>508</v>
      </c>
      <c r="C313" s="1483"/>
      <c r="D313" s="1176">
        <f>'DMC Threads - By Number'!Y42</f>
        <v>0</v>
      </c>
      <c r="E313" s="1255"/>
    </row>
    <row r="314" spans="1:5">
      <c r="A314" s="1173">
        <v>938</v>
      </c>
      <c r="B314" s="1173" t="s">
        <v>675</v>
      </c>
      <c r="C314" s="1484"/>
      <c r="D314" s="1176">
        <f>'DMC Threads - By Number'!Y43</f>
        <v>0</v>
      </c>
      <c r="E314" s="1255"/>
    </row>
    <row r="315" spans="1:5">
      <c r="A315" s="1173">
        <v>939</v>
      </c>
      <c r="B315" s="1173" t="s">
        <v>437</v>
      </c>
      <c r="C315" s="1485"/>
      <c r="D315" s="1176">
        <f>'DMC Threads - By Number'!Y44</f>
        <v>0</v>
      </c>
      <c r="E315" s="1255"/>
    </row>
    <row r="316" spans="1:5">
      <c r="A316" s="1173">
        <v>943</v>
      </c>
      <c r="B316" s="1173" t="s">
        <v>510</v>
      </c>
      <c r="C316" s="1486"/>
      <c r="D316" s="1176">
        <f>'DMC Threads - By Number'!Y45</f>
        <v>0</v>
      </c>
      <c r="E316" s="1255"/>
    </row>
    <row r="317" spans="1:5">
      <c r="A317" s="1173">
        <v>945</v>
      </c>
      <c r="B317" s="1173" t="s">
        <v>68</v>
      </c>
      <c r="C317" s="1487"/>
      <c r="D317" s="1176">
        <f>'DMC Threads - By Number'!Y46</f>
        <v>0</v>
      </c>
      <c r="E317" s="1255"/>
    </row>
    <row r="318" spans="1:5">
      <c r="A318" s="1173">
        <v>946</v>
      </c>
      <c r="B318" s="1173" t="s">
        <v>513</v>
      </c>
      <c r="C318" s="1488"/>
      <c r="D318" s="1176">
        <f>'DMC Threads - By Number'!Y47</f>
        <v>0</v>
      </c>
      <c r="E318" s="1255"/>
    </row>
    <row r="319" spans="1:5">
      <c r="A319" s="1173">
        <v>947</v>
      </c>
      <c r="B319" s="1173" t="s">
        <v>31</v>
      </c>
      <c r="C319" s="1489"/>
      <c r="D319" s="1176">
        <f>'DMC Threads - By Number'!Y48</f>
        <v>0</v>
      </c>
      <c r="E319" s="1255"/>
    </row>
    <row r="320" spans="1:5">
      <c r="A320" s="1173">
        <v>948</v>
      </c>
      <c r="B320" s="1173" t="s">
        <v>620</v>
      </c>
      <c r="C320" s="1490"/>
      <c r="D320" s="1176">
        <f>'DMC Threads - By Number'!Y49</f>
        <v>0</v>
      </c>
      <c r="E320" s="1255"/>
    </row>
    <row r="321" spans="1:5">
      <c r="A321" s="1173">
        <v>950</v>
      </c>
      <c r="B321" s="1173" t="s">
        <v>623</v>
      </c>
      <c r="C321" s="1491"/>
      <c r="D321" s="1176">
        <f>'DMC Threads - By Number'!Y50</f>
        <v>0</v>
      </c>
      <c r="E321" s="1255"/>
    </row>
    <row r="322" spans="1:5">
      <c r="A322" s="1173">
        <v>951</v>
      </c>
      <c r="B322" s="1173" t="s">
        <v>627</v>
      </c>
      <c r="C322" s="1492"/>
      <c r="D322" s="1176">
        <f>'DMC Threads - By Number'!Y51</f>
        <v>0</v>
      </c>
      <c r="E322" s="1255"/>
    </row>
    <row r="323" spans="1:5">
      <c r="A323" s="1173">
        <v>954</v>
      </c>
      <c r="B323" s="1173" t="s">
        <v>32</v>
      </c>
      <c r="C323" s="1493"/>
      <c r="D323" s="1176">
        <f>'DMC Threads - By Number'!Y52</f>
        <v>0</v>
      </c>
      <c r="E323" s="1255"/>
    </row>
    <row r="324" spans="1:5">
      <c r="A324" s="1173">
        <v>955</v>
      </c>
      <c r="B324" s="1173" t="s">
        <v>632</v>
      </c>
      <c r="C324" s="1494"/>
      <c r="D324" s="1176">
        <f>'DMC Threads - By Number'!Y53</f>
        <v>0</v>
      </c>
      <c r="E324" s="1255"/>
    </row>
    <row r="325" spans="1:5">
      <c r="A325" s="1173">
        <v>956</v>
      </c>
      <c r="B325" s="1173" t="s">
        <v>33</v>
      </c>
      <c r="C325" s="1495"/>
      <c r="D325" s="1176">
        <f>'DMC Threads - By Number'!Y54</f>
        <v>0</v>
      </c>
      <c r="E325" s="1255"/>
    </row>
    <row r="326" spans="1:5">
      <c r="A326" s="1173">
        <v>957</v>
      </c>
      <c r="B326" s="1173" t="s">
        <v>702</v>
      </c>
      <c r="C326" s="1496"/>
      <c r="D326" s="1176">
        <f>'DMC Threads - By Number'!Y55</f>
        <v>0</v>
      </c>
      <c r="E326" s="1255"/>
    </row>
    <row r="327" spans="1:5">
      <c r="A327" s="1173">
        <v>958</v>
      </c>
      <c r="B327" s="1173" t="s">
        <v>380</v>
      </c>
      <c r="C327" s="1497"/>
      <c r="D327" s="1176">
        <f>'DMC Threads - By Number'!Y56</f>
        <v>0</v>
      </c>
      <c r="E327" s="1255"/>
    </row>
    <row r="328" spans="1:5">
      <c r="A328" s="1173">
        <v>959</v>
      </c>
      <c r="B328" s="1173" t="s">
        <v>518</v>
      </c>
      <c r="C328" s="1498"/>
      <c r="D328" s="1176">
        <f>'DMC Threads - By Number'!Y57</f>
        <v>0</v>
      </c>
      <c r="E328" s="1255"/>
    </row>
    <row r="329" spans="1:5">
      <c r="A329" s="1173">
        <v>961</v>
      </c>
      <c r="B329" s="1173" t="s">
        <v>384</v>
      </c>
      <c r="C329" s="1499"/>
      <c r="D329" s="1176">
        <f>'DMC Threads - By Number'!Y58</f>
        <v>0</v>
      </c>
      <c r="E329" s="1255"/>
    </row>
    <row r="330" spans="1:5">
      <c r="A330" s="1173">
        <v>962</v>
      </c>
      <c r="B330" s="1173" t="s">
        <v>520</v>
      </c>
      <c r="C330" s="1500"/>
      <c r="D330" s="1176">
        <f>'DMC Threads - By Number'!Y59</f>
        <v>0</v>
      </c>
      <c r="E330" s="1255"/>
    </row>
    <row r="331" spans="1:5">
      <c r="A331" s="1173">
        <v>963</v>
      </c>
      <c r="B331" s="1173" t="s">
        <v>682</v>
      </c>
      <c r="C331" s="1501"/>
      <c r="D331" s="1176">
        <f>'DMC Threads - By Number'!Y60</f>
        <v>0</v>
      </c>
      <c r="E331" s="1255"/>
    </row>
    <row r="332" spans="1:5">
      <c r="A332" s="1173">
        <v>964</v>
      </c>
      <c r="B332" s="1173" t="s">
        <v>641</v>
      </c>
      <c r="C332" s="1502"/>
      <c r="D332" s="1176">
        <f>'DMC Threads - By Number'!Y61</f>
        <v>0</v>
      </c>
      <c r="E332" s="1255"/>
    </row>
    <row r="333" spans="1:5">
      <c r="A333" s="1173">
        <v>966</v>
      </c>
      <c r="B333" s="1173" t="s">
        <v>526</v>
      </c>
      <c r="C333" s="1503"/>
      <c r="D333" s="1176">
        <f>'DMC Threads - By Number'!Y62</f>
        <v>0</v>
      </c>
      <c r="E333" s="1255"/>
    </row>
    <row r="334" spans="1:5">
      <c r="A334" s="1173">
        <v>967</v>
      </c>
      <c r="B334" s="1173" t="s">
        <v>552</v>
      </c>
      <c r="C334" s="1504"/>
      <c r="D334" s="1176">
        <f>'DMC Threads - By Number'!Y63</f>
        <v>0</v>
      </c>
      <c r="E334" s="1255"/>
    </row>
    <row r="335" spans="1:5">
      <c r="A335" s="1173">
        <v>970</v>
      </c>
      <c r="B335" s="1173" t="s">
        <v>650</v>
      </c>
      <c r="C335" s="1505"/>
      <c r="D335" s="1176">
        <f>'DMC Threads - By Number'!Y64</f>
        <v>0</v>
      </c>
      <c r="E335" s="1255"/>
    </row>
    <row r="336" spans="1:5">
      <c r="A336" s="1173" t="s">
        <v>295</v>
      </c>
      <c r="B336" s="1173" t="s">
        <v>34</v>
      </c>
      <c r="C336" s="1506"/>
      <c r="D336" s="1176">
        <f>'DMC Threads - By Number'!Y65</f>
        <v>0</v>
      </c>
      <c r="E336" s="1255"/>
    </row>
    <row r="337" spans="1:5">
      <c r="A337" s="1173">
        <v>972</v>
      </c>
      <c r="B337" s="1173" t="s">
        <v>690</v>
      </c>
      <c r="C337" s="1507"/>
      <c r="D337" s="1176">
        <f>'DMC Threads - By Number'!Y66</f>
        <v>0</v>
      </c>
      <c r="E337" s="1255"/>
    </row>
    <row r="338" spans="1:5">
      <c r="A338" s="1173">
        <v>973</v>
      </c>
      <c r="B338" s="1173" t="s">
        <v>459</v>
      </c>
      <c r="C338" s="1508"/>
      <c r="D338" s="1176">
        <f>'DMC Threads - By Number'!Y67</f>
        <v>0</v>
      </c>
      <c r="E338" s="1255"/>
    </row>
    <row r="339" spans="1:5">
      <c r="A339" s="1173">
        <v>974</v>
      </c>
      <c r="B339" s="1173" t="s">
        <v>1474</v>
      </c>
      <c r="C339" s="1509"/>
      <c r="D339" s="1176">
        <f>'DMC Threads - By Number'!Y68</f>
        <v>0</v>
      </c>
      <c r="E339" s="1255"/>
    </row>
    <row r="340" spans="1:5">
      <c r="A340" s="1173">
        <v>975</v>
      </c>
      <c r="B340" s="1173" t="s">
        <v>397</v>
      </c>
      <c r="C340" s="1510"/>
      <c r="D340" s="1176">
        <f>'DMC Threads - By Number'!Y69</f>
        <v>0</v>
      </c>
      <c r="E340" s="1255"/>
    </row>
    <row r="341" spans="1:5">
      <c r="A341" s="1173">
        <v>976</v>
      </c>
      <c r="B341" s="1173" t="s">
        <v>533</v>
      </c>
      <c r="C341" s="1511"/>
      <c r="D341" s="1176">
        <f>'DMC Threads - By Number'!Y70</f>
        <v>0</v>
      </c>
      <c r="E341" s="1255"/>
    </row>
    <row r="342" spans="1:5">
      <c r="A342" s="1256" t="s">
        <v>61</v>
      </c>
      <c r="B342" s="1647" t="s">
        <v>0</v>
      </c>
      <c r="C342" s="1256" t="s">
        <v>1</v>
      </c>
      <c r="D342" s="1256" t="s">
        <v>243</v>
      </c>
      <c r="E342" s="1256" t="s">
        <v>1741</v>
      </c>
    </row>
    <row r="343" spans="1:5">
      <c r="A343" s="1173">
        <v>977</v>
      </c>
      <c r="B343" s="1173" t="s">
        <v>658</v>
      </c>
      <c r="C343" s="1512"/>
      <c r="D343" s="1176">
        <f>'DMC Threads - By Number'!Y71</f>
        <v>0</v>
      </c>
      <c r="E343" s="1255"/>
    </row>
    <row r="344" spans="1:5">
      <c r="A344" s="1173">
        <v>986</v>
      </c>
      <c r="B344" s="1173" t="s">
        <v>450</v>
      </c>
      <c r="C344" s="1513"/>
      <c r="D344" s="1176">
        <f>'DMC Threads - By Number'!Y72</f>
        <v>0</v>
      </c>
      <c r="E344" s="1255"/>
    </row>
    <row r="345" spans="1:5">
      <c r="A345" s="1173">
        <v>987</v>
      </c>
      <c r="B345" s="1173" t="s">
        <v>400</v>
      </c>
      <c r="C345" s="1514"/>
      <c r="D345" s="1176">
        <f>'DMC Threads - By Number'!Y73</f>
        <v>0</v>
      </c>
      <c r="E345" s="1255"/>
    </row>
    <row r="346" spans="1:5">
      <c r="A346" s="1173">
        <v>988</v>
      </c>
      <c r="B346" s="1173" t="s">
        <v>460</v>
      </c>
      <c r="C346" s="1515"/>
      <c r="D346" s="1176">
        <f>'DMC Threads - By Number'!AD6</f>
        <v>0</v>
      </c>
      <c r="E346" s="1255"/>
    </row>
    <row r="347" spans="1:5">
      <c r="A347" s="1173">
        <v>989</v>
      </c>
      <c r="B347" s="1173" t="s">
        <v>35</v>
      </c>
      <c r="C347" s="1516"/>
      <c r="D347" s="1176">
        <f>'DMC Threads - By Number'!AD7</f>
        <v>0</v>
      </c>
      <c r="E347" s="1255"/>
    </row>
    <row r="348" spans="1:5">
      <c r="A348" s="1173">
        <v>991</v>
      </c>
      <c r="B348" s="1173" t="s">
        <v>317</v>
      </c>
      <c r="C348" s="1517"/>
      <c r="D348" s="1176">
        <f>'DMC Threads - By Number'!AD8</f>
        <v>0</v>
      </c>
      <c r="E348" s="1255"/>
    </row>
    <row r="349" spans="1:5">
      <c r="A349" s="1173">
        <v>992</v>
      </c>
      <c r="B349" s="1173" t="s">
        <v>541</v>
      </c>
      <c r="C349" s="1518"/>
      <c r="D349" s="1176">
        <f>'DMC Threads - By Number'!AD9</f>
        <v>0</v>
      </c>
      <c r="E349" s="1255"/>
    </row>
    <row r="350" spans="1:5">
      <c r="A350" s="1173">
        <v>993</v>
      </c>
      <c r="B350" s="1173" t="s">
        <v>543</v>
      </c>
      <c r="C350" s="1519"/>
      <c r="D350" s="1176">
        <f>'DMC Threads - By Number'!AD10</f>
        <v>0</v>
      </c>
      <c r="E350" s="1255"/>
    </row>
    <row r="351" spans="1:5">
      <c r="A351" s="1173">
        <v>995</v>
      </c>
      <c r="B351" s="1173" t="s">
        <v>321</v>
      </c>
      <c r="C351" s="1520"/>
      <c r="D351" s="1176">
        <f>'DMC Threads - By Number'!AD11</f>
        <v>0</v>
      </c>
      <c r="E351" s="1255"/>
    </row>
    <row r="352" spans="1:5">
      <c r="A352" s="1173">
        <v>996</v>
      </c>
      <c r="B352" s="1173" t="s">
        <v>470</v>
      </c>
      <c r="C352" s="1521"/>
      <c r="D352" s="1176">
        <f>'DMC Threads - By Number'!AD12</f>
        <v>0</v>
      </c>
      <c r="E352" s="1255"/>
    </row>
    <row r="353" spans="1:5">
      <c r="A353" s="1173">
        <v>3011</v>
      </c>
      <c r="B353" s="1173" t="s">
        <v>323</v>
      </c>
      <c r="C353" s="1522"/>
      <c r="D353" s="1176">
        <f>'DMC Threads - By Number'!AD13</f>
        <v>0</v>
      </c>
      <c r="E353" s="1255"/>
    </row>
    <row r="354" spans="1:5">
      <c r="A354" s="1173">
        <v>3012</v>
      </c>
      <c r="B354" s="1173" t="s">
        <v>473</v>
      </c>
      <c r="C354" s="1523"/>
      <c r="D354" s="1176">
        <f>'DMC Threads - By Number'!AD14</f>
        <v>0</v>
      </c>
      <c r="E354" s="1255"/>
    </row>
    <row r="355" spans="1:5">
      <c r="A355" s="1173">
        <v>3013</v>
      </c>
      <c r="B355" s="1173" t="s">
        <v>553</v>
      </c>
      <c r="C355" s="1524"/>
      <c r="D355" s="1176">
        <f>'DMC Threads - By Number'!AD15</f>
        <v>0</v>
      </c>
      <c r="E355" s="1255"/>
    </row>
    <row r="356" spans="1:5">
      <c r="A356" s="1173">
        <v>3021</v>
      </c>
      <c r="B356" s="1173" t="s">
        <v>411</v>
      </c>
      <c r="C356" s="1525"/>
      <c r="D356" s="1176">
        <f>'DMC Threads - By Number'!AD16</f>
        <v>0</v>
      </c>
      <c r="E356" s="1255"/>
    </row>
    <row r="357" spans="1:5">
      <c r="A357" s="1173">
        <v>3022</v>
      </c>
      <c r="B357" s="1173" t="s">
        <v>477</v>
      </c>
      <c r="C357" s="1526"/>
      <c r="D357" s="1176">
        <f>'DMC Threads - By Number'!AD17</f>
        <v>0</v>
      </c>
      <c r="E357" s="1255"/>
    </row>
    <row r="358" spans="1:5">
      <c r="A358" s="1173">
        <v>3023</v>
      </c>
      <c r="B358" s="1173" t="s">
        <v>560</v>
      </c>
      <c r="C358" s="1527"/>
      <c r="D358" s="1176">
        <f>'DMC Threads - By Number'!AD18</f>
        <v>0</v>
      </c>
      <c r="E358" s="1255"/>
    </row>
    <row r="359" spans="1:5">
      <c r="A359" s="1173">
        <v>3024</v>
      </c>
      <c r="B359" s="1173" t="s">
        <v>563</v>
      </c>
      <c r="C359" s="1528"/>
      <c r="D359" s="1176">
        <f>'DMC Threads - By Number'!AD19</f>
        <v>0</v>
      </c>
      <c r="E359" s="1255"/>
    </row>
    <row r="360" spans="1:5">
      <c r="A360" s="1173">
        <v>3031</v>
      </c>
      <c r="B360" s="1173" t="s">
        <v>416</v>
      </c>
      <c r="C360" s="1529"/>
      <c r="D360" s="1176">
        <f>'DMC Threads - By Number'!AD20</f>
        <v>0</v>
      </c>
      <c r="E360" s="1255"/>
    </row>
    <row r="361" spans="1:5">
      <c r="A361" s="1173">
        <v>3032</v>
      </c>
      <c r="B361" s="1173" t="s">
        <v>483</v>
      </c>
      <c r="C361" s="1530"/>
      <c r="D361" s="1176">
        <f>'DMC Threads - By Number'!AD21</f>
        <v>0</v>
      </c>
      <c r="E361" s="1255"/>
    </row>
    <row r="362" spans="1:5">
      <c r="A362" s="1173">
        <v>3033</v>
      </c>
      <c r="B362" s="1173" t="s">
        <v>571</v>
      </c>
      <c r="C362" s="1531"/>
      <c r="D362" s="1176">
        <f>'DMC Threads - By Number'!AD22</f>
        <v>0</v>
      </c>
      <c r="E362" s="1255"/>
    </row>
    <row r="363" spans="1:5">
      <c r="A363" s="1173">
        <v>3041</v>
      </c>
      <c r="B363" s="1173" t="s">
        <v>486</v>
      </c>
      <c r="C363" s="1532"/>
      <c r="D363" s="1176">
        <f>'DMC Threads - By Number'!AD23</f>
        <v>0</v>
      </c>
      <c r="E363" s="1255"/>
    </row>
    <row r="364" spans="1:5">
      <c r="A364" s="1173">
        <v>3042</v>
      </c>
      <c r="B364" s="1173" t="s">
        <v>576</v>
      </c>
      <c r="C364" s="1533"/>
      <c r="D364" s="1176">
        <f>'DMC Threads - By Number'!AD24</f>
        <v>0</v>
      </c>
      <c r="E364" s="1255"/>
    </row>
    <row r="365" spans="1:5">
      <c r="A365" s="1173">
        <v>3045</v>
      </c>
      <c r="B365" s="1173" t="s">
        <v>335</v>
      </c>
      <c r="C365" s="1534"/>
      <c r="D365" s="1176">
        <f>'DMC Threads - By Number'!AD25</f>
        <v>0</v>
      </c>
      <c r="E365" s="1255"/>
    </row>
    <row r="366" spans="1:5">
      <c r="A366" s="1173">
        <v>3046</v>
      </c>
      <c r="B366" s="1173" t="s">
        <v>491</v>
      </c>
      <c r="C366" s="1535"/>
      <c r="D366" s="1176">
        <f>'DMC Threads - By Number'!AD26</f>
        <v>0</v>
      </c>
      <c r="E366" s="1255"/>
    </row>
    <row r="367" spans="1:5">
      <c r="A367" s="1173">
        <v>3047</v>
      </c>
      <c r="B367" s="1173" t="s">
        <v>580</v>
      </c>
      <c r="C367" s="1536"/>
      <c r="D367" s="1176">
        <f>'DMC Threads - By Number'!AD27</f>
        <v>0</v>
      </c>
      <c r="E367" s="1255"/>
    </row>
    <row r="368" spans="1:5">
      <c r="A368" s="1173">
        <v>3051</v>
      </c>
      <c r="B368" s="1173" t="s">
        <v>340</v>
      </c>
      <c r="C368" s="1537"/>
      <c r="D368" s="1176">
        <f>'DMC Threads - By Number'!AD28</f>
        <v>0</v>
      </c>
      <c r="E368" s="1255"/>
    </row>
    <row r="369" spans="1:5">
      <c r="A369" s="1173">
        <v>3052</v>
      </c>
      <c r="B369" s="1173" t="s">
        <v>496</v>
      </c>
      <c r="C369" s="1538"/>
      <c r="D369" s="1176">
        <f>'DMC Threads - By Number'!AD29</f>
        <v>0</v>
      </c>
      <c r="E369" s="1255"/>
    </row>
    <row r="370" spans="1:5">
      <c r="A370" s="1173">
        <v>3053</v>
      </c>
      <c r="B370" s="1173" t="s">
        <v>69</v>
      </c>
      <c r="C370" s="1539"/>
      <c r="D370" s="1176">
        <f>'DMC Threads - By Number'!AD30</f>
        <v>0</v>
      </c>
      <c r="E370" s="1255"/>
    </row>
    <row r="371" spans="1:5">
      <c r="A371" s="1173">
        <v>3064</v>
      </c>
      <c r="B371" s="1173" t="s">
        <v>70</v>
      </c>
      <c r="C371" s="1540"/>
      <c r="D371" s="1176">
        <f>'DMC Threads - By Number'!AD31</f>
        <v>0</v>
      </c>
      <c r="E371" s="1255"/>
    </row>
    <row r="372" spans="1:5">
      <c r="A372" s="1173">
        <v>3072</v>
      </c>
      <c r="B372" s="1173" t="s">
        <v>590</v>
      </c>
      <c r="C372" s="1541"/>
      <c r="D372" s="1176">
        <f>'DMC Threads - By Number'!AD32</f>
        <v>0</v>
      </c>
      <c r="E372" s="1255"/>
    </row>
    <row r="373" spans="1:5">
      <c r="A373" s="1173">
        <v>3078</v>
      </c>
      <c r="B373" s="1173" t="s">
        <v>592</v>
      </c>
      <c r="C373" s="1542"/>
      <c r="D373" s="1176">
        <f>'DMC Threads - By Number'!AD33</f>
        <v>0</v>
      </c>
      <c r="E373" s="1255"/>
    </row>
    <row r="374" spans="1:5">
      <c r="A374" s="1173">
        <v>3325</v>
      </c>
      <c r="B374" s="1173" t="s">
        <v>595</v>
      </c>
      <c r="C374" s="1543"/>
      <c r="D374" s="1176">
        <f>'DMC Threads - By Number'!AD34</f>
        <v>0</v>
      </c>
      <c r="E374" s="1255"/>
    </row>
    <row r="375" spans="1:5">
      <c r="A375" s="1173">
        <v>3326</v>
      </c>
      <c r="B375" s="1173" t="s">
        <v>599</v>
      </c>
      <c r="C375" s="1544"/>
      <c r="D375" s="1176">
        <f>'DMC Threads - By Number'!AD35</f>
        <v>0</v>
      </c>
      <c r="E375" s="1255"/>
    </row>
    <row r="376" spans="1:5">
      <c r="A376" s="1173">
        <v>3328</v>
      </c>
      <c r="B376" s="1173" t="s">
        <v>352</v>
      </c>
      <c r="C376" s="1545"/>
      <c r="D376" s="1176">
        <f>'DMC Threads - By Number'!AD36</f>
        <v>0</v>
      </c>
      <c r="E376" s="1255"/>
    </row>
    <row r="377" spans="1:5">
      <c r="A377" s="1173">
        <v>3340</v>
      </c>
      <c r="B377" s="1173" t="s">
        <v>504</v>
      </c>
      <c r="C377" s="1546"/>
      <c r="D377" s="1176">
        <f>'DMC Threads - By Number'!AD37</f>
        <v>0</v>
      </c>
      <c r="E377" s="1255"/>
    </row>
    <row r="378" spans="1:5">
      <c r="A378" s="1173">
        <v>3341</v>
      </c>
      <c r="B378" s="1173" t="s">
        <v>37</v>
      </c>
      <c r="C378" s="1547"/>
      <c r="D378" s="1176">
        <f>'DMC Threads - By Number'!AD38</f>
        <v>0</v>
      </c>
      <c r="E378" s="1255"/>
    </row>
    <row r="379" spans="1:5">
      <c r="A379" s="1173">
        <v>3345</v>
      </c>
      <c r="B379" s="1173" t="s">
        <v>357</v>
      </c>
      <c r="C379" s="1548"/>
      <c r="D379" s="1176">
        <f>'DMC Threads - By Number'!AD39</f>
        <v>0</v>
      </c>
      <c r="E379" s="1255"/>
    </row>
    <row r="380" spans="1:5">
      <c r="A380" s="1173">
        <v>3346</v>
      </c>
      <c r="B380" s="1173" t="s">
        <v>38</v>
      </c>
      <c r="C380" s="1549"/>
      <c r="D380" s="1176">
        <f>'DMC Threads - By Number'!AD40</f>
        <v>0</v>
      </c>
      <c r="E380" s="1255"/>
    </row>
    <row r="381" spans="1:5">
      <c r="A381" s="1173">
        <v>3347</v>
      </c>
      <c r="B381" s="1173" t="s">
        <v>506</v>
      </c>
      <c r="C381" s="1550"/>
      <c r="D381" s="1176">
        <f>'DMC Threads - By Number'!AD41</f>
        <v>0</v>
      </c>
      <c r="E381" s="1255"/>
    </row>
    <row r="382" spans="1:5">
      <c r="A382" s="1173">
        <v>3348</v>
      </c>
      <c r="B382" s="1173" t="s">
        <v>609</v>
      </c>
      <c r="C382" s="1551"/>
      <c r="D382" s="1176">
        <f>'DMC Threads - By Number'!AD42</f>
        <v>0</v>
      </c>
      <c r="E382" s="1255"/>
    </row>
    <row r="383" spans="1:5">
      <c r="A383" s="1173">
        <v>3350</v>
      </c>
      <c r="B383" s="1173" t="s">
        <v>676</v>
      </c>
      <c r="C383" s="1552"/>
      <c r="D383" s="1176">
        <f>'DMC Threads - By Number'!AD43</f>
        <v>0</v>
      </c>
      <c r="E383" s="1255"/>
    </row>
    <row r="384" spans="1:5">
      <c r="A384" s="1173">
        <v>3354</v>
      </c>
      <c r="B384" s="1173" t="s">
        <v>613</v>
      </c>
      <c r="C384" s="1553"/>
      <c r="D384" s="1176">
        <f>'DMC Threads - By Number'!AD44</f>
        <v>0</v>
      </c>
      <c r="E384" s="1255"/>
    </row>
    <row r="385" spans="1:5">
      <c r="A385" s="1173">
        <v>3362</v>
      </c>
      <c r="B385" s="1173" t="s">
        <v>366</v>
      </c>
      <c r="C385" s="1554"/>
      <c r="D385" s="1176">
        <f>'DMC Threads - By Number'!AD45</f>
        <v>0</v>
      </c>
      <c r="E385" s="1255"/>
    </row>
    <row r="386" spans="1:5">
      <c r="A386" s="1173">
        <v>3363</v>
      </c>
      <c r="B386" s="1173" t="s">
        <v>512</v>
      </c>
      <c r="C386" s="1555"/>
      <c r="D386" s="1176">
        <f>'DMC Threads - By Number'!AD46</f>
        <v>0</v>
      </c>
      <c r="E386" s="1255"/>
    </row>
    <row r="387" spans="1:5">
      <c r="A387" s="1173">
        <v>3364</v>
      </c>
      <c r="B387" s="1173" t="s">
        <v>39</v>
      </c>
      <c r="C387" s="1556"/>
      <c r="D387" s="1176">
        <f>'DMC Threads - By Number'!AD47</f>
        <v>0</v>
      </c>
      <c r="E387" s="1255"/>
    </row>
    <row r="388" spans="1:5">
      <c r="A388" s="1173">
        <v>3371</v>
      </c>
      <c r="B388" s="1173" t="s">
        <v>40</v>
      </c>
      <c r="C388" s="1557"/>
      <c r="D388" s="1176">
        <f>'DMC Threads - By Number'!AD48</f>
        <v>0</v>
      </c>
      <c r="E388" s="1255"/>
    </row>
    <row r="389" spans="1:5">
      <c r="A389" s="1173">
        <v>3607</v>
      </c>
      <c r="B389" s="1173" t="s">
        <v>621</v>
      </c>
      <c r="C389" s="1558"/>
      <c r="D389" s="1176">
        <f>'DMC Threads - By Number'!AD49</f>
        <v>0</v>
      </c>
      <c r="E389" s="1255"/>
    </row>
    <row r="390" spans="1:5">
      <c r="A390" s="1256" t="s">
        <v>61</v>
      </c>
      <c r="B390" s="1647" t="s">
        <v>0</v>
      </c>
      <c r="C390" s="1256" t="s">
        <v>1</v>
      </c>
      <c r="D390" s="1256" t="s">
        <v>243</v>
      </c>
      <c r="E390" s="1256" t="s">
        <v>1741</v>
      </c>
    </row>
    <row r="391" spans="1:5">
      <c r="A391" s="1173">
        <v>3608</v>
      </c>
      <c r="B391" s="1173" t="s">
        <v>624</v>
      </c>
      <c r="C391" s="1559"/>
      <c r="D391" s="1176">
        <f>'DMC Threads - By Number'!AD50</f>
        <v>0</v>
      </c>
      <c r="E391" s="1255"/>
    </row>
    <row r="392" spans="1:5">
      <c r="A392" s="1173">
        <v>3609</v>
      </c>
      <c r="B392" s="1173" t="s">
        <v>679</v>
      </c>
      <c r="C392" s="1560"/>
      <c r="D392" s="1176">
        <f>'DMC Threads - By Number'!AD51</f>
        <v>0</v>
      </c>
      <c r="E392" s="1255"/>
    </row>
    <row r="393" spans="1:5">
      <c r="A393" s="1173" t="s">
        <v>1475</v>
      </c>
      <c r="B393" s="1173" t="s">
        <v>1476</v>
      </c>
      <c r="C393" s="1561"/>
      <c r="D393" s="1176">
        <f>'DMC Threads - By Number'!AD52</f>
        <v>0</v>
      </c>
      <c r="E393" s="1255"/>
    </row>
    <row r="394" spans="1:5">
      <c r="A394" s="1173">
        <v>3685</v>
      </c>
      <c r="B394" s="1173" t="s">
        <v>428</v>
      </c>
      <c r="C394" s="1562"/>
      <c r="D394" s="1176">
        <f>'DMC Threads - By Number'!AD53</f>
        <v>0</v>
      </c>
      <c r="E394" s="1255"/>
    </row>
    <row r="395" spans="1:5">
      <c r="A395" s="1173">
        <v>3687</v>
      </c>
      <c r="B395" s="1173" t="s">
        <v>41</v>
      </c>
      <c r="C395" s="1563"/>
      <c r="D395" s="1176">
        <f>'DMC Threads - By Number'!AD54</f>
        <v>0</v>
      </c>
      <c r="E395" s="1255"/>
    </row>
    <row r="396" spans="1:5">
      <c r="A396" s="1173">
        <v>3688</v>
      </c>
      <c r="B396" s="1173" t="s">
        <v>516</v>
      </c>
      <c r="C396" s="1564"/>
      <c r="D396" s="1176">
        <f>'DMC Threads - By Number'!AD55</f>
        <v>0</v>
      </c>
      <c r="E396" s="1255"/>
    </row>
    <row r="397" spans="1:5">
      <c r="A397" s="1173">
        <v>3689</v>
      </c>
      <c r="B397" s="1173" t="s">
        <v>635</v>
      </c>
      <c r="C397" s="1565"/>
      <c r="D397" s="1176">
        <f>'DMC Threads - By Number'!AD56</f>
        <v>0</v>
      </c>
      <c r="E397" s="1255"/>
    </row>
    <row r="398" spans="1:5">
      <c r="A398" s="1173">
        <v>3705</v>
      </c>
      <c r="B398" s="1173" t="s">
        <v>381</v>
      </c>
      <c r="C398" s="1566"/>
      <c r="D398" s="1176">
        <f>'DMC Threads - By Number'!AD57</f>
        <v>0</v>
      </c>
      <c r="E398" s="1255"/>
    </row>
    <row r="399" spans="1:5">
      <c r="A399" s="1173">
        <v>3706</v>
      </c>
      <c r="B399" s="1173" t="s">
        <v>519</v>
      </c>
      <c r="C399" s="1567"/>
      <c r="D399" s="1176">
        <f>'DMC Threads - By Number'!AD58</f>
        <v>0</v>
      </c>
      <c r="E399" s="1255"/>
    </row>
    <row r="400" spans="1:5">
      <c r="A400" s="1173">
        <v>3708</v>
      </c>
      <c r="B400" s="1173" t="s">
        <v>638</v>
      </c>
      <c r="C400" s="1568"/>
      <c r="D400" s="1176">
        <f>'DMC Threads - By Number'!AD59</f>
        <v>0</v>
      </c>
      <c r="E400" s="1255"/>
    </row>
    <row r="401" spans="1:5">
      <c r="A401" s="1173">
        <v>3712</v>
      </c>
      <c r="B401" s="1173" t="s">
        <v>521</v>
      </c>
      <c r="C401" s="1569"/>
      <c r="D401" s="1176">
        <f>'DMC Threads - By Number'!AD60</f>
        <v>0</v>
      </c>
      <c r="E401" s="1255"/>
    </row>
    <row r="402" spans="1:5">
      <c r="A402" s="1173">
        <v>3713</v>
      </c>
      <c r="B402" s="1173" t="s">
        <v>639</v>
      </c>
      <c r="C402" s="1570"/>
      <c r="D402" s="1176">
        <f>'DMC Threads - By Number'!AD61</f>
        <v>0</v>
      </c>
      <c r="E402" s="1255"/>
    </row>
    <row r="403" spans="1:5">
      <c r="A403" s="1173">
        <v>3716</v>
      </c>
      <c r="B403" s="1173" t="s">
        <v>642</v>
      </c>
      <c r="C403" s="1571"/>
      <c r="D403" s="1176">
        <f>'DMC Threads - By Number'!AD62</f>
        <v>0</v>
      </c>
      <c r="E403" s="1255"/>
    </row>
    <row r="404" spans="1:5">
      <c r="A404" s="1173">
        <v>3721</v>
      </c>
      <c r="B404" s="1173" t="s">
        <v>389</v>
      </c>
      <c r="C404" s="1572"/>
      <c r="D404" s="1176">
        <f>'DMC Threads - By Number'!AD63</f>
        <v>0</v>
      </c>
      <c r="E404" s="1255"/>
    </row>
    <row r="405" spans="1:5">
      <c r="A405" s="1173">
        <v>3722</v>
      </c>
      <c r="B405" s="1173" t="s">
        <v>527</v>
      </c>
      <c r="C405" s="1573"/>
      <c r="D405" s="1176">
        <f>'DMC Threads - By Number'!AD64</f>
        <v>0</v>
      </c>
      <c r="E405" s="1255"/>
    </row>
    <row r="406" spans="1:5">
      <c r="A406" s="1173">
        <v>3726</v>
      </c>
      <c r="B406" s="1173" t="s">
        <v>391</v>
      </c>
      <c r="C406" s="1574"/>
      <c r="D406" s="1176">
        <f>'DMC Threads - By Number'!AD65</f>
        <v>0</v>
      </c>
      <c r="E406" s="1255"/>
    </row>
    <row r="407" spans="1:5">
      <c r="A407" s="1173">
        <v>3727</v>
      </c>
      <c r="B407" s="1173" t="s">
        <v>652</v>
      </c>
      <c r="C407" s="1575"/>
      <c r="D407" s="1176">
        <f>'DMC Threads - By Number'!AD66</f>
        <v>0</v>
      </c>
      <c r="E407" s="1255"/>
    </row>
    <row r="408" spans="1:5">
      <c r="A408" s="1173">
        <v>3731</v>
      </c>
      <c r="B408" s="1173" t="s">
        <v>446</v>
      </c>
      <c r="C408" s="1576"/>
      <c r="D408" s="1176">
        <f>'DMC Threads - By Number'!AD67</f>
        <v>0</v>
      </c>
      <c r="E408" s="1255"/>
    </row>
    <row r="409" spans="1:5">
      <c r="A409" s="1173">
        <v>3733</v>
      </c>
      <c r="B409" s="1173" t="s">
        <v>42</v>
      </c>
      <c r="C409" s="1577"/>
      <c r="D409" s="1176">
        <f>'DMC Threads - By Number'!AD68</f>
        <v>0</v>
      </c>
      <c r="E409" s="1255"/>
    </row>
    <row r="410" spans="1:5">
      <c r="A410" s="1173">
        <v>3740</v>
      </c>
      <c r="B410" s="1173" t="s">
        <v>353</v>
      </c>
      <c r="C410" s="1578"/>
      <c r="D410" s="1176">
        <f>'DMC Threads - By Number'!AD69</f>
        <v>0</v>
      </c>
      <c r="E410" s="1255"/>
    </row>
    <row r="411" spans="1:5">
      <c r="A411" s="1173">
        <v>3743</v>
      </c>
      <c r="B411" s="1173" t="s">
        <v>657</v>
      </c>
      <c r="C411" s="1579"/>
      <c r="D411" s="1176">
        <f>'DMC Threads - By Number'!AD70</f>
        <v>0</v>
      </c>
      <c r="E411" s="1255"/>
    </row>
    <row r="412" spans="1:5">
      <c r="A412" s="1173">
        <v>3746</v>
      </c>
      <c r="B412" s="1173" t="s">
        <v>398</v>
      </c>
      <c r="C412" s="1580"/>
      <c r="D412" s="1176">
        <f>'DMC Threads - By Number'!AD71</f>
        <v>0</v>
      </c>
      <c r="E412" s="1255"/>
    </row>
    <row r="413" spans="1:5">
      <c r="A413" s="1173">
        <v>3747</v>
      </c>
      <c r="B413" s="1173" t="s">
        <v>662</v>
      </c>
      <c r="C413" s="1581"/>
      <c r="D413" s="1176">
        <f>'DMC Threads - By Number'!AD72</f>
        <v>0</v>
      </c>
      <c r="E413" s="1255"/>
    </row>
    <row r="414" spans="1:5">
      <c r="A414" s="1173">
        <v>3750</v>
      </c>
      <c r="B414" s="1173" t="s">
        <v>452</v>
      </c>
      <c r="C414" s="1582"/>
      <c r="D414" s="1176">
        <f>'DMC Threads - By Number'!AD73</f>
        <v>0</v>
      </c>
      <c r="E414" s="1255"/>
    </row>
    <row r="415" spans="1:5">
      <c r="A415" s="1173">
        <v>3752</v>
      </c>
      <c r="B415" s="1173" t="s">
        <v>536</v>
      </c>
      <c r="C415" s="1583"/>
      <c r="D415" s="1176">
        <f>'DMC Threads - By Number'!AI6</f>
        <v>0</v>
      </c>
      <c r="E415" s="1255"/>
    </row>
    <row r="416" spans="1:5">
      <c r="A416" s="1173">
        <v>3753</v>
      </c>
      <c r="B416" s="1173" t="s">
        <v>666</v>
      </c>
      <c r="C416" s="1584"/>
      <c r="D416" s="1176">
        <f>'DMC Threads - By Number'!AI7</f>
        <v>0</v>
      </c>
      <c r="E416" s="1255"/>
    </row>
    <row r="417" spans="1:5">
      <c r="A417" s="1173">
        <v>3755</v>
      </c>
      <c r="B417" s="1173" t="s">
        <v>43</v>
      </c>
      <c r="C417" s="1585"/>
      <c r="D417" s="1176">
        <f>'DMC Threads - By Number'!AI8</f>
        <v>0</v>
      </c>
      <c r="E417" s="1255"/>
    </row>
    <row r="418" spans="1:5">
      <c r="A418" s="1173">
        <v>3756</v>
      </c>
      <c r="B418" s="1173" t="s">
        <v>595</v>
      </c>
      <c r="C418" s="1586"/>
      <c r="D418" s="1176">
        <f>'DMC Threads - By Number'!AI9</f>
        <v>0</v>
      </c>
      <c r="E418" s="1255"/>
    </row>
    <row r="419" spans="1:5">
      <c r="A419" s="1173">
        <v>3760</v>
      </c>
      <c r="B419" s="1173" t="s">
        <v>468</v>
      </c>
      <c r="C419" s="1587"/>
      <c r="D419" s="1176">
        <f>'DMC Threads - By Number'!AI10</f>
        <v>0</v>
      </c>
      <c r="E419" s="1255"/>
    </row>
    <row r="420" spans="1:5">
      <c r="A420" s="1173">
        <v>3761</v>
      </c>
      <c r="B420" s="1173" t="s">
        <v>546</v>
      </c>
      <c r="C420" s="1588"/>
      <c r="D420" s="1176">
        <f>'DMC Threads - By Number'!AI11</f>
        <v>0</v>
      </c>
      <c r="E420" s="1255"/>
    </row>
    <row r="421" spans="1:5">
      <c r="A421" s="1173">
        <v>3765</v>
      </c>
      <c r="B421" s="1173" t="s">
        <v>405</v>
      </c>
      <c r="C421" s="1589"/>
      <c r="D421" s="1176">
        <f>'DMC Threads - By Number'!AI12</f>
        <v>0</v>
      </c>
      <c r="E421" s="1255"/>
    </row>
    <row r="422" spans="1:5">
      <c r="A422" s="1173">
        <v>3766</v>
      </c>
      <c r="B422" s="1173" t="s">
        <v>550</v>
      </c>
      <c r="C422" s="1590"/>
      <c r="D422" s="1176">
        <f>'DMC Threads - By Number'!AI13</f>
        <v>0</v>
      </c>
      <c r="E422" s="1255"/>
    </row>
    <row r="423" spans="1:5">
      <c r="A423" s="1173">
        <v>3768</v>
      </c>
      <c r="B423" s="1173" t="s">
        <v>325</v>
      </c>
      <c r="C423" s="1591"/>
      <c r="D423" s="1176">
        <f>'DMC Threads - By Number'!AI14</f>
        <v>0</v>
      </c>
      <c r="E423" s="1255"/>
    </row>
    <row r="424" spans="1:5">
      <c r="A424" s="1173">
        <v>3770</v>
      </c>
      <c r="B424" s="1173" t="s">
        <v>554</v>
      </c>
      <c r="C424" s="1592"/>
      <c r="D424" s="1176">
        <f>'DMC Threads - By Number'!AI15</f>
        <v>0</v>
      </c>
      <c r="E424" s="1255"/>
    </row>
    <row r="425" spans="1:5">
      <c r="A425" s="1173">
        <v>3771</v>
      </c>
      <c r="B425" s="1173" t="s">
        <v>327</v>
      </c>
      <c r="C425" s="1593"/>
      <c r="D425" s="1176">
        <f>'DMC Threads - By Number'!AI16</f>
        <v>0</v>
      </c>
      <c r="E425" s="1255"/>
    </row>
    <row r="426" spans="1:5">
      <c r="A426" s="1173">
        <v>3772</v>
      </c>
      <c r="B426" s="1173" t="s">
        <v>412</v>
      </c>
      <c r="C426" s="1594"/>
      <c r="D426" s="1176">
        <f>'DMC Threads - By Number'!AI17</f>
        <v>0</v>
      </c>
      <c r="E426" s="1255"/>
    </row>
    <row r="427" spans="1:5">
      <c r="A427" s="1173" t="s">
        <v>298</v>
      </c>
      <c r="B427" s="1173" t="s">
        <v>479</v>
      </c>
      <c r="C427" s="1595"/>
      <c r="D427" s="1176">
        <f>'DMC Threads - By Number'!AI18</f>
        <v>0</v>
      </c>
      <c r="E427" s="1255"/>
    </row>
    <row r="428" spans="1:5">
      <c r="A428" s="1173">
        <v>3774</v>
      </c>
      <c r="B428" s="1173" t="s">
        <v>564</v>
      </c>
      <c r="C428" s="1596"/>
      <c r="D428" s="1176">
        <f>'DMC Threads - By Number'!AI19</f>
        <v>0</v>
      </c>
      <c r="E428" s="1255"/>
    </row>
    <row r="429" spans="1:5">
      <c r="A429" s="1173">
        <v>3776</v>
      </c>
      <c r="B429" s="1173" t="s">
        <v>566</v>
      </c>
      <c r="C429" s="1597"/>
      <c r="D429" s="1176">
        <f>'DMC Threads - By Number'!AI20</f>
        <v>0</v>
      </c>
      <c r="E429" s="1255"/>
    </row>
    <row r="430" spans="1:5">
      <c r="A430" s="1173">
        <v>3777</v>
      </c>
      <c r="B430" s="1173" t="s">
        <v>417</v>
      </c>
      <c r="C430" s="1598"/>
      <c r="D430" s="1176">
        <f>'DMC Threads - By Number'!AI21</f>
        <v>0</v>
      </c>
      <c r="E430" s="1255"/>
    </row>
    <row r="431" spans="1:5">
      <c r="A431" s="1173">
        <v>3778</v>
      </c>
      <c r="B431" s="1173" t="s">
        <v>572</v>
      </c>
      <c r="C431" s="1599"/>
      <c r="D431" s="1176">
        <f>'DMC Threads - By Number'!AI22</f>
        <v>0</v>
      </c>
      <c r="E431" s="1255"/>
    </row>
    <row r="432" spans="1:5">
      <c r="A432" s="1173">
        <v>3779</v>
      </c>
      <c r="B432" s="1173" t="s">
        <v>669</v>
      </c>
      <c r="C432" s="1648"/>
      <c r="D432" s="1176">
        <f>'DMC Threads - By Number'!AI23</f>
        <v>0</v>
      </c>
      <c r="E432" s="1255"/>
    </row>
    <row r="433" spans="1:5">
      <c r="A433" s="1173">
        <v>3781</v>
      </c>
      <c r="B433" s="1173" t="s">
        <v>333</v>
      </c>
      <c r="C433" s="1649"/>
      <c r="D433" s="1176">
        <f>'DMC Threads - By Number'!AI24</f>
        <v>0</v>
      </c>
      <c r="E433" s="1255"/>
    </row>
    <row r="434" spans="1:5">
      <c r="A434" s="1173">
        <v>3782</v>
      </c>
      <c r="B434" s="1173" t="s">
        <v>577</v>
      </c>
      <c r="C434" s="1650"/>
      <c r="D434" s="1176">
        <f>'DMC Threads - By Number'!AI25</f>
        <v>0</v>
      </c>
      <c r="E434" s="1255"/>
    </row>
    <row r="435" spans="1:5">
      <c r="A435" s="1173">
        <v>3787</v>
      </c>
      <c r="B435" s="1173" t="s">
        <v>336</v>
      </c>
      <c r="C435" s="1651"/>
      <c r="D435" s="1176">
        <f>'DMC Threads - By Number'!AI26</f>
        <v>0</v>
      </c>
      <c r="E435" s="1255"/>
    </row>
    <row r="436" spans="1:5">
      <c r="A436" s="1173">
        <v>3790</v>
      </c>
      <c r="B436" s="1173" t="s">
        <v>671</v>
      </c>
      <c r="C436" s="1652"/>
      <c r="D436" s="1176">
        <f>'DMC Threads - By Number'!AI27</f>
        <v>0</v>
      </c>
      <c r="E436" s="1255"/>
    </row>
    <row r="437" spans="1:5">
      <c r="A437" s="1173">
        <v>3799</v>
      </c>
      <c r="B437" s="1173" t="s">
        <v>422</v>
      </c>
      <c r="C437" s="1653"/>
      <c r="D437" s="1176">
        <f>'DMC Threads - By Number'!AI28</f>
        <v>0</v>
      </c>
      <c r="E437" s="1255"/>
    </row>
    <row r="438" spans="1:5">
      <c r="A438" s="1256" t="s">
        <v>61</v>
      </c>
      <c r="B438" s="1257" t="s">
        <v>0</v>
      </c>
      <c r="C438" s="1258" t="s">
        <v>1</v>
      </c>
      <c r="D438" s="1258" t="s">
        <v>243</v>
      </c>
      <c r="E438" s="1258" t="s">
        <v>1741</v>
      </c>
    </row>
    <row r="439" spans="1:5">
      <c r="A439" s="1173">
        <v>3801</v>
      </c>
      <c r="B439" s="1174" t="s">
        <v>423</v>
      </c>
      <c r="C439" s="1600"/>
      <c r="D439" s="1176">
        <f>'DMC Threads - By Number'!AI29</f>
        <v>0</v>
      </c>
      <c r="E439" s="1255"/>
    </row>
    <row r="440" spans="1:5">
      <c r="A440" s="1173">
        <v>3802</v>
      </c>
      <c r="B440" s="1174" t="s">
        <v>426</v>
      </c>
      <c r="C440" s="1601"/>
      <c r="D440" s="1176">
        <f>'DMC Threads - By Number'!AI30</f>
        <v>0</v>
      </c>
      <c r="E440" s="1255"/>
    </row>
    <row r="441" spans="1:5">
      <c r="A441" s="1173">
        <v>3803</v>
      </c>
      <c r="B441" s="1174" t="s">
        <v>344</v>
      </c>
      <c r="C441" s="1602"/>
      <c r="D441" s="1176">
        <f>'DMC Threads - By Number'!AI31</f>
        <v>0</v>
      </c>
      <c r="E441" s="1255"/>
    </row>
    <row r="442" spans="1:5">
      <c r="A442" s="1173">
        <v>3804</v>
      </c>
      <c r="B442" s="1174" t="s">
        <v>345</v>
      </c>
      <c r="C442" s="1603"/>
      <c r="D442" s="1176">
        <f>'DMC Threads - By Number'!AI32</f>
        <v>0</v>
      </c>
      <c r="E442" s="1255"/>
    </row>
    <row r="443" spans="1:5">
      <c r="A443" s="1173">
        <v>3805</v>
      </c>
      <c r="B443" s="1174" t="s">
        <v>71</v>
      </c>
      <c r="C443" s="1604"/>
      <c r="D443" s="1176">
        <f>'DMC Threads - By Number'!AI33</f>
        <v>0</v>
      </c>
      <c r="E443" s="1255"/>
    </row>
    <row r="444" spans="1:5">
      <c r="A444" s="1173">
        <v>3806</v>
      </c>
      <c r="B444" s="1174" t="s">
        <v>596</v>
      </c>
      <c r="C444" s="1605"/>
      <c r="D444" s="1176">
        <f>'DMC Threads - By Number'!AI34</f>
        <v>0</v>
      </c>
      <c r="E444" s="1255"/>
    </row>
    <row r="445" spans="1:5">
      <c r="A445" s="1173">
        <v>3807</v>
      </c>
      <c r="B445" s="1174" t="s">
        <v>72</v>
      </c>
      <c r="C445" s="1606"/>
      <c r="D445" s="1176">
        <f>'DMC Threads - By Number'!AI35</f>
        <v>0</v>
      </c>
      <c r="E445" s="1255"/>
    </row>
    <row r="446" spans="1:5">
      <c r="A446" s="1173">
        <v>3808</v>
      </c>
      <c r="B446" s="1174" t="s">
        <v>673</v>
      </c>
      <c r="C446" s="1607"/>
      <c r="D446" s="1176">
        <f>'DMC Threads - By Number'!AI36</f>
        <v>0</v>
      </c>
      <c r="E446" s="1255"/>
    </row>
    <row r="447" spans="1:5">
      <c r="A447" s="1173">
        <v>3809</v>
      </c>
      <c r="B447" s="1174" t="s">
        <v>431</v>
      </c>
      <c r="C447" s="1608"/>
      <c r="D447" s="1176">
        <f>'DMC Threads - By Number'!AI37</f>
        <v>0</v>
      </c>
      <c r="E447" s="1255"/>
    </row>
    <row r="448" spans="1:5">
      <c r="A448" s="1173">
        <v>3810</v>
      </c>
      <c r="B448" s="1174" t="s">
        <v>355</v>
      </c>
      <c r="C448" s="1609"/>
      <c r="D448" s="1176">
        <f>'DMC Threads - By Number'!AI38</f>
        <v>0</v>
      </c>
      <c r="E448" s="1255"/>
    </row>
    <row r="449" spans="1:5">
      <c r="A449" s="1173">
        <v>3811</v>
      </c>
      <c r="B449" s="1174" t="s">
        <v>606</v>
      </c>
      <c r="C449" s="1610"/>
      <c r="D449" s="1176">
        <f>'DMC Threads - By Number'!AI39</f>
        <v>0</v>
      </c>
      <c r="E449" s="1255"/>
    </row>
    <row r="450" spans="1:5">
      <c r="A450" s="1173">
        <v>3812</v>
      </c>
      <c r="B450" s="1174" t="s">
        <v>434</v>
      </c>
      <c r="C450" s="1611"/>
      <c r="D450" s="1176">
        <f>'DMC Threads - By Number'!AI40</f>
        <v>0</v>
      </c>
      <c r="E450" s="1255"/>
    </row>
    <row r="451" spans="1:5">
      <c r="A451" s="1173">
        <v>3813</v>
      </c>
      <c r="B451" s="1174" t="s">
        <v>608</v>
      </c>
      <c r="C451" s="1612"/>
      <c r="D451" s="1176">
        <f>'DMC Threads - By Number'!AI41</f>
        <v>0</v>
      </c>
      <c r="E451" s="1255"/>
    </row>
    <row r="452" spans="1:5">
      <c r="A452" s="1173">
        <v>3814</v>
      </c>
      <c r="B452" s="1174" t="s">
        <v>36</v>
      </c>
      <c r="C452" s="1613"/>
      <c r="D452" s="1176">
        <f>'DMC Threads - By Number'!AI42</f>
        <v>0</v>
      </c>
      <c r="E452" s="1255"/>
    </row>
    <row r="453" spans="1:5">
      <c r="A453" s="1173">
        <v>3815</v>
      </c>
      <c r="B453" s="1174" t="s">
        <v>361</v>
      </c>
      <c r="C453" s="1614"/>
      <c r="D453" s="1176">
        <f>'DMC Threads - By Number'!AI43</f>
        <v>0</v>
      </c>
      <c r="E453" s="1255"/>
    </row>
    <row r="454" spans="1:5">
      <c r="A454" s="1173">
        <v>3816</v>
      </c>
      <c r="B454" s="1174" t="s">
        <v>74</v>
      </c>
      <c r="C454" s="1615"/>
      <c r="D454" s="1176">
        <f>'DMC Threads - By Number'!AI44</f>
        <v>0</v>
      </c>
      <c r="E454" s="1255"/>
    </row>
    <row r="455" spans="1:5">
      <c r="A455" s="1173">
        <v>3817</v>
      </c>
      <c r="B455" s="1174" t="s">
        <v>615</v>
      </c>
      <c r="C455" s="1616"/>
      <c r="D455" s="1176">
        <f>'DMC Threads - By Number'!AI45</f>
        <v>0</v>
      </c>
      <c r="E455" s="1255"/>
    </row>
    <row r="456" spans="1:5">
      <c r="A456" s="1173">
        <v>3818</v>
      </c>
      <c r="B456" s="1174" t="s">
        <v>677</v>
      </c>
      <c r="C456" s="1617"/>
      <c r="D456" s="1176">
        <f>'DMC Threads - By Number'!AI46</f>
        <v>0</v>
      </c>
      <c r="E456" s="1255"/>
    </row>
    <row r="457" spans="1:5">
      <c r="A457" s="1173">
        <v>3819</v>
      </c>
      <c r="B457" s="1174" t="s">
        <v>617</v>
      </c>
      <c r="C457" s="1618"/>
      <c r="D457" s="1176">
        <f>'DMC Threads - By Number'!AI47</f>
        <v>0</v>
      </c>
      <c r="E457" s="1255"/>
    </row>
    <row r="458" spans="1:5">
      <c r="A458" s="1173">
        <v>3820</v>
      </c>
      <c r="B458" s="1174" t="s">
        <v>372</v>
      </c>
      <c r="C458" s="1619"/>
      <c r="D458" s="1176">
        <f>'DMC Threads - By Number'!AI48</f>
        <v>0</v>
      </c>
      <c r="E458" s="1255"/>
    </row>
    <row r="459" spans="1:5">
      <c r="A459" s="1173">
        <v>3821</v>
      </c>
      <c r="B459" s="1174" t="s">
        <v>75</v>
      </c>
      <c r="C459" s="1620"/>
      <c r="D459" s="1176">
        <f>'DMC Threads - By Number'!AI49</f>
        <v>0</v>
      </c>
      <c r="E459" s="1255"/>
    </row>
    <row r="460" spans="1:5">
      <c r="A460" s="1173">
        <v>3822</v>
      </c>
      <c r="B460" s="1174" t="s">
        <v>625</v>
      </c>
      <c r="C460" s="1621"/>
      <c r="D460" s="1176">
        <f>'DMC Threads - By Number'!AI50</f>
        <v>0</v>
      </c>
      <c r="E460" s="1255"/>
    </row>
    <row r="461" spans="1:5">
      <c r="A461" s="1173">
        <v>3823</v>
      </c>
      <c r="B461" s="1174" t="s">
        <v>700</v>
      </c>
      <c r="C461" s="1622"/>
      <c r="D461" s="1176">
        <f>'DMC Threads - By Number'!AI51</f>
        <v>0</v>
      </c>
      <c r="E461" s="1255"/>
    </row>
    <row r="462" spans="1:5">
      <c r="A462" s="1173">
        <v>3824</v>
      </c>
      <c r="B462" s="1174" t="s">
        <v>629</v>
      </c>
      <c r="C462" s="1623"/>
      <c r="D462" s="1176">
        <f>'DMC Threads - By Number'!AI52</f>
        <v>0</v>
      </c>
      <c r="E462" s="1255"/>
    </row>
    <row r="463" spans="1:5">
      <c r="A463" s="1173">
        <v>3825</v>
      </c>
      <c r="B463" s="1174" t="s">
        <v>701</v>
      </c>
      <c r="C463" s="1624"/>
      <c r="D463" s="1176">
        <f>'DMC Threads - By Number'!AI53</f>
        <v>0</v>
      </c>
      <c r="E463" s="1255"/>
    </row>
    <row r="464" spans="1:5">
      <c r="A464" s="1173">
        <v>3826</v>
      </c>
      <c r="B464" s="1174" t="s">
        <v>76</v>
      </c>
      <c r="C464" s="1625"/>
      <c r="D464" s="1176">
        <f>'DMC Threads - By Number'!AI54</f>
        <v>0</v>
      </c>
      <c r="E464" s="1255"/>
    </row>
    <row r="465" spans="1:5">
      <c r="A465" s="1173">
        <v>3827</v>
      </c>
      <c r="B465" s="1174" t="s">
        <v>703</v>
      </c>
      <c r="C465" s="1626"/>
      <c r="D465" s="1176">
        <f>'DMC Threads - By Number'!AI55</f>
        <v>0</v>
      </c>
      <c r="E465" s="1255"/>
    </row>
    <row r="466" spans="1:5">
      <c r="A466" s="1173">
        <v>3828</v>
      </c>
      <c r="B466" s="1174" t="s">
        <v>77</v>
      </c>
      <c r="C466" s="1627"/>
      <c r="D466" s="1176">
        <f>'DMC Threads - By Number'!AI56</f>
        <v>0</v>
      </c>
      <c r="E466" s="1255"/>
    </row>
    <row r="467" spans="1:5">
      <c r="A467" s="1173">
        <v>3829</v>
      </c>
      <c r="B467" s="1174" t="s">
        <v>442</v>
      </c>
      <c r="C467" s="1628"/>
      <c r="D467" s="1176">
        <f>'DMC Threads - By Number'!AI57</f>
        <v>0</v>
      </c>
      <c r="E467" s="1255"/>
    </row>
    <row r="468" spans="1:5">
      <c r="A468" s="1173">
        <v>3830</v>
      </c>
      <c r="B468" s="1174" t="s">
        <v>78</v>
      </c>
      <c r="C468" s="1629"/>
      <c r="D468" s="1176">
        <f>'DMC Threads - By Number'!AI58</f>
        <v>0</v>
      </c>
      <c r="E468" s="1255"/>
    </row>
    <row r="469" spans="1:5">
      <c r="A469" s="1173">
        <v>3831</v>
      </c>
      <c r="B469" s="1174" t="s">
        <v>387</v>
      </c>
      <c r="C469" s="1630"/>
      <c r="D469" s="1176">
        <f>'DMC Threads - By Number'!AI59</f>
        <v>0</v>
      </c>
      <c r="E469" s="1255"/>
    </row>
    <row r="470" spans="1:5">
      <c r="A470" s="1173">
        <v>3832</v>
      </c>
      <c r="B470" s="1174" t="s">
        <v>524</v>
      </c>
      <c r="C470" s="1631"/>
      <c r="D470" s="1176">
        <f>'DMC Threads - By Number'!AI60</f>
        <v>0</v>
      </c>
      <c r="E470" s="1255"/>
    </row>
    <row r="471" spans="1:5">
      <c r="A471" s="1173">
        <v>3833</v>
      </c>
      <c r="B471" s="1174" t="s">
        <v>643</v>
      </c>
      <c r="C471" s="1632"/>
      <c r="D471" s="1176">
        <f>'DMC Threads - By Number'!AI61</f>
        <v>0</v>
      </c>
      <c r="E471" s="1255"/>
    </row>
    <row r="472" spans="1:5">
      <c r="A472" s="1173">
        <v>3834</v>
      </c>
      <c r="B472" s="1174" t="s">
        <v>390</v>
      </c>
      <c r="C472" s="1633"/>
      <c r="D472" s="1176">
        <f>'DMC Threads - By Number'!AI62</f>
        <v>0</v>
      </c>
      <c r="E472" s="1255"/>
    </row>
    <row r="473" spans="1:5">
      <c r="A473" s="1173">
        <v>3835</v>
      </c>
      <c r="B473" s="1174" t="s">
        <v>528</v>
      </c>
      <c r="C473" s="1634"/>
      <c r="D473" s="1176">
        <f>'DMC Threads - By Number'!AI63</f>
        <v>0</v>
      </c>
      <c r="E473" s="1255"/>
    </row>
    <row r="474" spans="1:5">
      <c r="A474" s="1173">
        <v>3836</v>
      </c>
      <c r="B474" s="1174" t="s">
        <v>651</v>
      </c>
      <c r="C474" s="1635"/>
      <c r="D474" s="1176">
        <f>'DMC Threads - By Number'!AI64</f>
        <v>0</v>
      </c>
      <c r="E474" s="1255"/>
    </row>
    <row r="475" spans="1:5">
      <c r="A475" s="1173">
        <v>3837</v>
      </c>
      <c r="B475" s="1174" t="s">
        <v>684</v>
      </c>
      <c r="C475" s="1636"/>
      <c r="D475" s="1176">
        <f>'DMC Threads - By Number'!AI65</f>
        <v>0</v>
      </c>
      <c r="E475" s="1255"/>
    </row>
    <row r="476" spans="1:5">
      <c r="A476" s="1173">
        <v>3838</v>
      </c>
      <c r="B476" s="1174" t="s">
        <v>394</v>
      </c>
      <c r="C476" s="1637"/>
      <c r="D476" s="1176">
        <f>'DMC Threads - By Number'!AI66</f>
        <v>0</v>
      </c>
      <c r="E476" s="1255"/>
    </row>
    <row r="477" spans="1:5">
      <c r="A477" s="1173">
        <v>3839</v>
      </c>
      <c r="B477" s="1174" t="s">
        <v>532</v>
      </c>
      <c r="C477" s="1638"/>
      <c r="D477" s="1176">
        <f>'DMC Threads - By Number'!AI67</f>
        <v>0</v>
      </c>
      <c r="E477" s="1255"/>
    </row>
    <row r="478" spans="1:5">
      <c r="A478" s="1173">
        <v>3840</v>
      </c>
      <c r="B478" s="1174" t="s">
        <v>655</v>
      </c>
      <c r="C478" s="1639"/>
      <c r="D478" s="1176">
        <f>'DMC Threads - By Number'!AI68</f>
        <v>0</v>
      </c>
      <c r="E478" s="1255"/>
    </row>
    <row r="479" spans="1:5">
      <c r="A479" s="1173">
        <v>3841</v>
      </c>
      <c r="B479" s="1174" t="s">
        <v>704</v>
      </c>
      <c r="C479" s="1640"/>
      <c r="D479" s="1176">
        <f>'DMC Threads - By Number'!AI69</f>
        <v>0</v>
      </c>
      <c r="E479" s="1255"/>
    </row>
    <row r="480" spans="1:5">
      <c r="A480" s="1173">
        <v>3842</v>
      </c>
      <c r="B480" s="1174" t="s">
        <v>315</v>
      </c>
      <c r="C480" s="1641"/>
      <c r="D480" s="1176">
        <f>'DMC Threads - By Number'!AI70</f>
        <v>0</v>
      </c>
      <c r="E480" s="1255"/>
    </row>
    <row r="481" spans="1:5">
      <c r="A481" s="1173">
        <v>3843</v>
      </c>
      <c r="B481" s="1174" t="s">
        <v>73</v>
      </c>
      <c r="C481" s="1642"/>
      <c r="D481" s="1176">
        <f>'DMC Threads - By Number'!AI71</f>
        <v>0</v>
      </c>
      <c r="E481" s="1255"/>
    </row>
    <row r="482" spans="1:5">
      <c r="A482" s="1173">
        <v>3844</v>
      </c>
      <c r="B482" s="1174" t="s">
        <v>401</v>
      </c>
      <c r="C482" s="1643"/>
      <c r="D482" s="1176">
        <f>'DMC Threads - By Number'!AI72</f>
        <v>0</v>
      </c>
      <c r="E482" s="1255"/>
    </row>
    <row r="483" spans="1:5">
      <c r="A483" s="1173">
        <v>3845</v>
      </c>
      <c r="B483" s="1174" t="s">
        <v>461</v>
      </c>
      <c r="C483" s="1644"/>
      <c r="D483" s="1176">
        <f>'DMC Threads - By Number'!AN6</f>
        <v>0</v>
      </c>
      <c r="E483" s="1255"/>
    </row>
    <row r="484" spans="1:5">
      <c r="A484" s="1173">
        <v>3846</v>
      </c>
      <c r="B484" s="1174" t="s">
        <v>538</v>
      </c>
      <c r="C484" s="1645"/>
      <c r="D484" s="1176">
        <f>'DMC Threads - By Number'!AN7</f>
        <v>0</v>
      </c>
      <c r="E484" s="1255"/>
    </row>
    <row r="485" spans="1:5">
      <c r="A485" s="1173">
        <v>3847</v>
      </c>
      <c r="B485" s="1174" t="s">
        <v>318</v>
      </c>
      <c r="C485" s="1646"/>
      <c r="D485" s="1176">
        <f>'DMC Threads - By Number'!AN8</f>
        <v>0</v>
      </c>
      <c r="E485" s="1255"/>
    </row>
    <row r="486" spans="1:5">
      <c r="A486" s="1256" t="s">
        <v>61</v>
      </c>
      <c r="B486" s="1257" t="s">
        <v>0</v>
      </c>
      <c r="C486" s="1258" t="s">
        <v>1</v>
      </c>
      <c r="D486" s="1258" t="s">
        <v>243</v>
      </c>
      <c r="E486" s="1258" t="s">
        <v>1741</v>
      </c>
    </row>
    <row r="487" spans="1:5">
      <c r="A487" s="1173">
        <v>3848</v>
      </c>
      <c r="B487" s="1174" t="s">
        <v>466</v>
      </c>
      <c r="C487" s="1654"/>
      <c r="D487" s="1176">
        <f>'DMC Threads - By Number'!AN9</f>
        <v>0</v>
      </c>
      <c r="E487" s="1255"/>
    </row>
    <row r="488" spans="1:5">
      <c r="A488" s="1173">
        <v>3849</v>
      </c>
      <c r="B488" s="1174" t="s">
        <v>544</v>
      </c>
      <c r="C488" s="1655"/>
      <c r="D488" s="1176">
        <f>'DMC Threads - By Number'!AN10</f>
        <v>0</v>
      </c>
      <c r="E488" s="1255"/>
    </row>
    <row r="489" spans="1:5">
      <c r="A489" s="1173">
        <v>3850</v>
      </c>
      <c r="B489" s="1174" t="s">
        <v>322</v>
      </c>
      <c r="C489" s="1656"/>
      <c r="D489" s="1176">
        <f>'DMC Threads - By Number'!AN11</f>
        <v>0</v>
      </c>
      <c r="E489" s="1255"/>
    </row>
    <row r="490" spans="1:5">
      <c r="A490" s="1173">
        <v>3851</v>
      </c>
      <c r="B490" s="1174" t="s">
        <v>548</v>
      </c>
      <c r="C490" s="1657"/>
      <c r="D490" s="1176">
        <f>'DMC Threads - By Number'!AN12</f>
        <v>0</v>
      </c>
      <c r="E490" s="1255"/>
    </row>
    <row r="491" spans="1:5">
      <c r="A491" s="1173">
        <v>3852</v>
      </c>
      <c r="B491" s="1174" t="s">
        <v>407</v>
      </c>
      <c r="C491" s="1658"/>
      <c r="D491" s="1176">
        <f>'DMC Threads - By Number'!AN13</f>
        <v>0</v>
      </c>
      <c r="E491" s="1255"/>
    </row>
    <row r="492" spans="1:5">
      <c r="A492" s="1173">
        <v>3853</v>
      </c>
      <c r="B492" s="1174" t="s">
        <v>326</v>
      </c>
      <c r="C492" s="1659"/>
      <c r="D492" s="1176">
        <f>'DMC Threads - By Number'!AN14</f>
        <v>0</v>
      </c>
      <c r="E492" s="1255"/>
    </row>
    <row r="493" spans="1:5">
      <c r="A493" s="1173">
        <v>3854</v>
      </c>
      <c r="B493" s="1174" t="s">
        <v>475</v>
      </c>
      <c r="C493" s="1660"/>
      <c r="D493" s="1176">
        <f>'DMC Threads - By Number'!AN15</f>
        <v>0</v>
      </c>
      <c r="E493" s="1255"/>
    </row>
    <row r="494" spans="1:5">
      <c r="A494" s="1173">
        <v>3855</v>
      </c>
      <c r="B494" s="1174" t="s">
        <v>556</v>
      </c>
      <c r="C494" s="1661"/>
      <c r="D494" s="1176">
        <f>'DMC Threads - By Number'!AN16</f>
        <v>0</v>
      </c>
      <c r="E494" s="1255"/>
    </row>
    <row r="495" spans="1:5">
      <c r="A495" s="1173">
        <v>3856</v>
      </c>
      <c r="B495" s="1174" t="s">
        <v>668</v>
      </c>
      <c r="C495" s="1662"/>
      <c r="D495" s="1176">
        <f>'DMC Threads - By Number'!AN17</f>
        <v>0</v>
      </c>
      <c r="E495" s="1255"/>
    </row>
    <row r="496" spans="1:5">
      <c r="A496" s="1173">
        <v>3857</v>
      </c>
      <c r="B496" s="1174" t="s">
        <v>329</v>
      </c>
      <c r="C496" s="1663"/>
      <c r="D496" s="1176">
        <f>'DMC Threads - By Number'!AN18</f>
        <v>0</v>
      </c>
      <c r="E496" s="1255"/>
    </row>
    <row r="497" spans="1:5">
      <c r="A497" s="1173">
        <v>3858</v>
      </c>
      <c r="B497" s="1174" t="s">
        <v>481</v>
      </c>
      <c r="C497" s="1664"/>
      <c r="D497" s="1176">
        <f>'DMC Threads - By Number'!AN19</f>
        <v>0</v>
      </c>
      <c r="E497" s="1255"/>
    </row>
    <row r="498" spans="1:5">
      <c r="A498" s="1173">
        <v>3859</v>
      </c>
      <c r="B498" s="1174" t="s">
        <v>567</v>
      </c>
      <c r="C498" s="1665"/>
      <c r="D498" s="1176">
        <f>'DMC Threads - By Number'!AN20</f>
        <v>0</v>
      </c>
      <c r="E498" s="1255"/>
    </row>
    <row r="499" spans="1:5">
      <c r="A499" s="1173">
        <v>3860</v>
      </c>
      <c r="B499" s="1174" t="s">
        <v>79</v>
      </c>
      <c r="C499" s="1666"/>
      <c r="D499" s="1176">
        <f>'DMC Threads - By Number'!AN21</f>
        <v>0</v>
      </c>
      <c r="E499" s="1255"/>
    </row>
    <row r="500" spans="1:5">
      <c r="A500" s="1173">
        <v>3861</v>
      </c>
      <c r="B500" s="1174" t="s">
        <v>573</v>
      </c>
      <c r="C500" s="1667"/>
      <c r="D500" s="1176">
        <f>'DMC Threads - By Number'!AN22</f>
        <v>0</v>
      </c>
      <c r="E500" s="1255"/>
    </row>
    <row r="501" spans="1:5">
      <c r="A501" s="1173">
        <v>3862</v>
      </c>
      <c r="B501" s="1174" t="s">
        <v>332</v>
      </c>
      <c r="C501" s="1668"/>
      <c r="D501" s="1176">
        <f>'DMC Threads - By Number'!AN23</f>
        <v>0</v>
      </c>
      <c r="E501" s="1255"/>
    </row>
    <row r="502" spans="1:5">
      <c r="A502" s="1173">
        <v>3863</v>
      </c>
      <c r="B502" s="1174" t="s">
        <v>488</v>
      </c>
      <c r="C502" s="1669"/>
      <c r="D502" s="1176">
        <f>'DMC Threads - By Number'!AN24</f>
        <v>0</v>
      </c>
      <c r="E502" s="1255"/>
    </row>
    <row r="503" spans="1:5">
      <c r="A503" s="1173">
        <v>3864</v>
      </c>
      <c r="B503" s="1174" t="s">
        <v>578</v>
      </c>
      <c r="C503" s="1670"/>
      <c r="D503" s="1176">
        <f>'DMC Threads - By Number'!AN25</f>
        <v>0</v>
      </c>
      <c r="E503" s="1255"/>
    </row>
    <row r="504" spans="1:5">
      <c r="A504" s="1173">
        <v>3865</v>
      </c>
      <c r="B504" s="1174" t="s">
        <v>80</v>
      </c>
      <c r="C504" s="1671"/>
      <c r="D504" s="1176">
        <f>'DMC Threads - By Number'!AN26</f>
        <v>0</v>
      </c>
      <c r="E504" s="1255"/>
    </row>
    <row r="505" spans="1:5">
      <c r="A505" s="1173">
        <v>3866</v>
      </c>
      <c r="B505" s="1174" t="s">
        <v>672</v>
      </c>
      <c r="C505" s="1672"/>
      <c r="D505" s="1176">
        <f>'DMC Threads - By Number'!AN27</f>
        <v>0</v>
      </c>
      <c r="E505" s="1255"/>
    </row>
    <row r="506" spans="1:5">
      <c r="A506" s="1673" t="s">
        <v>299</v>
      </c>
      <c r="B506" s="1174" t="s">
        <v>581</v>
      </c>
      <c r="C506" s="1239"/>
      <c r="D506" s="1176">
        <f>'DMC Threads - By Number'!AN28</f>
        <v>0</v>
      </c>
      <c r="E506" s="1255"/>
    </row>
    <row r="507" spans="1:5">
      <c r="A507" s="1673" t="s">
        <v>300</v>
      </c>
      <c r="B507" s="1174" t="s">
        <v>584</v>
      </c>
      <c r="C507" s="1228"/>
      <c r="D507" s="1176">
        <f>'DMC Threads - By Number'!AN29</f>
        <v>0</v>
      </c>
      <c r="E507" s="1255"/>
    </row>
    <row r="508" spans="1:5">
      <c r="A508" s="1673" t="s">
        <v>301</v>
      </c>
      <c r="B508" s="1174" t="s">
        <v>341</v>
      </c>
      <c r="C508" s="1440"/>
      <c r="D508" s="1176">
        <f>'DMC Threads - By Number'!AN30</f>
        <v>0</v>
      </c>
      <c r="E508" s="1255"/>
    </row>
    <row r="509" spans="1:5">
      <c r="A509" s="1673" t="s">
        <v>302</v>
      </c>
      <c r="B509" s="1174" t="s">
        <v>588</v>
      </c>
      <c r="C509" s="1367"/>
      <c r="D509" s="1176">
        <f>'DMC Threads - By Number'!AN31</f>
        <v>0</v>
      </c>
      <c r="E509" s="1255"/>
    </row>
    <row r="510" spans="1:5">
      <c r="A510" s="1673" t="s">
        <v>303</v>
      </c>
      <c r="B510" s="1174" t="s">
        <v>549</v>
      </c>
      <c r="C510" s="1319"/>
      <c r="D510" s="1176">
        <f>'DMC Threads - By Number'!AN32</f>
        <v>0</v>
      </c>
      <c r="E510" s="1255"/>
    </row>
    <row r="511" spans="1:5">
      <c r="A511" s="1673" t="s">
        <v>304</v>
      </c>
      <c r="B511" s="1174" t="s">
        <v>406</v>
      </c>
      <c r="C511" s="1249"/>
      <c r="D511" s="1176">
        <f>'DMC Threads - By Number'!AN33</f>
        <v>0</v>
      </c>
      <c r="E511" s="1255"/>
    </row>
    <row r="512" spans="1:5">
      <c r="A512" s="1673" t="s">
        <v>305</v>
      </c>
      <c r="B512" s="1174" t="s">
        <v>428</v>
      </c>
      <c r="C512" s="1562"/>
      <c r="D512" s="1176">
        <f>'DMC Threads - By Number'!AN34</f>
        <v>0</v>
      </c>
      <c r="E512" s="1255"/>
    </row>
    <row r="513" spans="1:5">
      <c r="A513" s="1673" t="s">
        <v>306</v>
      </c>
      <c r="B513" s="1174" t="s">
        <v>429</v>
      </c>
      <c r="C513" s="1234"/>
      <c r="D513" s="1176">
        <f>'DMC Threads - By Number'!AN35</f>
        <v>0</v>
      </c>
      <c r="E513" s="1255"/>
    </row>
    <row r="514" spans="1:5">
      <c r="A514" s="1673" t="s">
        <v>307</v>
      </c>
      <c r="B514" s="1174" t="s">
        <v>353</v>
      </c>
      <c r="C514" s="1578"/>
      <c r="D514" s="1176">
        <f>'DMC Threads - By Number'!AN36</f>
        <v>0</v>
      </c>
      <c r="E514" s="1255"/>
    </row>
    <row r="515" spans="1:5">
      <c r="A515" s="1673" t="s">
        <v>314</v>
      </c>
      <c r="B515" s="1174" t="s">
        <v>601</v>
      </c>
      <c r="C515" s="1298"/>
      <c r="D515" s="1176">
        <f>'DMC Threads - By Number'!AN37</f>
        <v>0</v>
      </c>
      <c r="E515" s="1255"/>
    </row>
    <row r="516" spans="1:5">
      <c r="A516" s="1673" t="s">
        <v>308</v>
      </c>
      <c r="B516" s="1174" t="s">
        <v>550</v>
      </c>
      <c r="C516" s="1590"/>
      <c r="D516" s="1176">
        <f>'DMC Threads - By Number'!AN38</f>
        <v>0</v>
      </c>
      <c r="E516" s="1255"/>
    </row>
    <row r="517" spans="1:5">
      <c r="A517" s="1673" t="s">
        <v>309</v>
      </c>
      <c r="B517" s="1174" t="s">
        <v>321</v>
      </c>
      <c r="C517" s="1520"/>
      <c r="D517" s="1176">
        <f>'DMC Threads - By Number'!AN39</f>
        <v>0</v>
      </c>
      <c r="E517" s="1255"/>
    </row>
    <row r="518" spans="1:5">
      <c r="A518" s="1673" t="s">
        <v>310</v>
      </c>
      <c r="B518" s="1174" t="s">
        <v>21</v>
      </c>
      <c r="C518" s="1381"/>
      <c r="D518" s="1176">
        <f>'DMC Threads - By Number'!AN40</f>
        <v>0</v>
      </c>
      <c r="E518" s="1255"/>
    </row>
    <row r="519" spans="1:5">
      <c r="A519" s="1673" t="s">
        <v>311</v>
      </c>
      <c r="B519" s="1174" t="s">
        <v>667</v>
      </c>
      <c r="C519" s="1320"/>
      <c r="D519" s="1176">
        <f>'DMC Threads - By Number'!AN41</f>
        <v>0</v>
      </c>
      <c r="E519" s="1255"/>
    </row>
    <row r="520" spans="1:5">
      <c r="A520" s="1673" t="s">
        <v>312</v>
      </c>
      <c r="B520" s="1174" t="s">
        <v>562</v>
      </c>
      <c r="C520" s="1460"/>
      <c r="D520" s="1176">
        <f>'DMC Threads - By Number'!AN42</f>
        <v>0</v>
      </c>
      <c r="E520" s="1255"/>
    </row>
    <row r="521" spans="1:5">
      <c r="A521" s="1673" t="s">
        <v>313</v>
      </c>
      <c r="B521" s="1174" t="s">
        <v>362</v>
      </c>
      <c r="C521" s="1350"/>
      <c r="D521" s="1176">
        <f>'DMC Threads - By Number'!AN43</f>
        <v>0</v>
      </c>
      <c r="E521" s="1255"/>
    </row>
    <row r="522" spans="1:5">
      <c r="A522" s="1673">
        <v>48</v>
      </c>
      <c r="B522" s="1675" t="s">
        <v>131</v>
      </c>
      <c r="C522" s="1675"/>
      <c r="D522" s="1176">
        <f>'DMC Threads - By Number'!AN44</f>
        <v>0</v>
      </c>
      <c r="E522" s="1255"/>
    </row>
    <row r="523" spans="1:5">
      <c r="A523" s="1673">
        <v>51</v>
      </c>
      <c r="B523" s="1675" t="s">
        <v>132</v>
      </c>
      <c r="C523" s="1675"/>
      <c r="D523" s="1176">
        <f>'DMC Threads - By Number'!AN45</f>
        <v>0</v>
      </c>
      <c r="E523" s="1255"/>
    </row>
    <row r="524" spans="1:5">
      <c r="A524" s="1673">
        <v>52</v>
      </c>
      <c r="B524" s="1675" t="s">
        <v>133</v>
      </c>
      <c r="C524" s="1675"/>
      <c r="D524" s="1176">
        <f>'DMC Threads - By Number'!AN46</f>
        <v>0</v>
      </c>
      <c r="E524" s="1255"/>
    </row>
    <row r="525" spans="1:5">
      <c r="A525" s="1673">
        <v>53</v>
      </c>
      <c r="B525" s="1675" t="s">
        <v>134</v>
      </c>
      <c r="C525" s="1675"/>
      <c r="D525" s="1176">
        <f>'DMC Threads - By Number'!AN47</f>
        <v>0</v>
      </c>
      <c r="E525" s="1255"/>
    </row>
    <row r="526" spans="1:5">
      <c r="A526" s="1673">
        <v>67</v>
      </c>
      <c r="B526" s="1675" t="s">
        <v>135</v>
      </c>
      <c r="C526" s="1675"/>
      <c r="D526" s="1176">
        <f>'DMC Threads - By Number'!AN48</f>
        <v>0</v>
      </c>
      <c r="E526" s="1255"/>
    </row>
    <row r="527" spans="1:5">
      <c r="A527" s="1673">
        <v>69</v>
      </c>
      <c r="B527" s="1675" t="s">
        <v>136</v>
      </c>
      <c r="C527" s="1675"/>
      <c r="D527" s="1176">
        <f>'DMC Threads - By Number'!AN49</f>
        <v>0</v>
      </c>
      <c r="E527" s="1255"/>
    </row>
    <row r="528" spans="1:5">
      <c r="A528" s="1673">
        <v>90</v>
      </c>
      <c r="B528" s="1675" t="s">
        <v>137</v>
      </c>
      <c r="C528" s="1675"/>
      <c r="D528" s="1176">
        <f>'DMC Threads - By Number'!AN50</f>
        <v>0</v>
      </c>
      <c r="E528" s="1255"/>
    </row>
    <row r="529" spans="1:5">
      <c r="A529" s="1673">
        <v>92</v>
      </c>
      <c r="B529" s="1675" t="s">
        <v>138</v>
      </c>
      <c r="C529" s="1675"/>
      <c r="D529" s="1176">
        <f>'DMC Threads - By Number'!AN51</f>
        <v>0</v>
      </c>
      <c r="E529" s="1255"/>
    </row>
    <row r="530" spans="1:5">
      <c r="A530" s="1673">
        <v>93</v>
      </c>
      <c r="B530" s="1675" t="s">
        <v>139</v>
      </c>
      <c r="C530" s="1675"/>
      <c r="D530" s="1176">
        <f>'DMC Threads - By Number'!AN52</f>
        <v>0</v>
      </c>
      <c r="E530" s="1255"/>
    </row>
    <row r="531" spans="1:5">
      <c r="A531" s="1673">
        <v>94</v>
      </c>
      <c r="B531" s="1675" t="s">
        <v>140</v>
      </c>
      <c r="C531" s="1675"/>
      <c r="D531" s="1176">
        <f>'DMC Threads - By Number'!AN53</f>
        <v>0</v>
      </c>
      <c r="E531" s="1255"/>
    </row>
    <row r="532" spans="1:5">
      <c r="A532" s="1673">
        <v>99</v>
      </c>
      <c r="B532" s="1675" t="s">
        <v>141</v>
      </c>
      <c r="C532" s="1675"/>
      <c r="D532" s="1176">
        <f>'DMC Threads - By Number'!AN54</f>
        <v>0</v>
      </c>
      <c r="E532" s="1255"/>
    </row>
    <row r="533" spans="1:5">
      <c r="A533" s="1673">
        <v>105</v>
      </c>
      <c r="B533" s="1675" t="s">
        <v>142</v>
      </c>
      <c r="C533" s="1675"/>
      <c r="D533" s="1176">
        <f>'DMC Threads - By Number'!AN55</f>
        <v>0</v>
      </c>
      <c r="E533" s="1255"/>
    </row>
    <row r="534" spans="1:5">
      <c r="A534" s="1256" t="s">
        <v>61</v>
      </c>
      <c r="B534" s="1647" t="s">
        <v>0</v>
      </c>
      <c r="C534" s="1256"/>
      <c r="D534" s="1256" t="s">
        <v>243</v>
      </c>
      <c r="E534" s="1256" t="s">
        <v>1741</v>
      </c>
    </row>
    <row r="535" spans="1:5">
      <c r="A535" s="1673">
        <v>106</v>
      </c>
      <c r="B535" s="1675" t="s">
        <v>143</v>
      </c>
      <c r="C535" s="1675"/>
      <c r="D535" s="1674">
        <f>'DMC Threads - By Number'!AN56</f>
        <v>0</v>
      </c>
      <c r="E535" s="1255"/>
    </row>
    <row r="536" spans="1:5">
      <c r="A536" s="1673">
        <v>107</v>
      </c>
      <c r="B536" s="1675" t="s">
        <v>144</v>
      </c>
      <c r="C536" s="1675"/>
      <c r="D536" s="1674">
        <f>'DMC Threads - By Number'!AN57</f>
        <v>0</v>
      </c>
      <c r="E536" s="1255"/>
    </row>
    <row r="537" spans="1:5">
      <c r="A537" s="1673">
        <v>111</v>
      </c>
      <c r="B537" s="1675" t="s">
        <v>145</v>
      </c>
      <c r="C537" s="1675"/>
      <c r="D537" s="1674">
        <f>'DMC Threads - By Number'!AN58</f>
        <v>0</v>
      </c>
      <c r="E537" s="1255"/>
    </row>
    <row r="538" spans="1:5">
      <c r="A538" s="1673">
        <v>115</v>
      </c>
      <c r="B538" s="1675" t="s">
        <v>146</v>
      </c>
      <c r="C538" s="1675"/>
      <c r="D538" s="1674">
        <f>'DMC Threads - By Number'!AN59</f>
        <v>0</v>
      </c>
      <c r="E538" s="1255"/>
    </row>
    <row r="539" spans="1:5">
      <c r="A539" s="1673">
        <v>121</v>
      </c>
      <c r="B539" s="1675" t="s">
        <v>147</v>
      </c>
      <c r="C539" s="1675"/>
      <c r="D539" s="1674">
        <f>'DMC Threads - By Number'!AN60</f>
        <v>0</v>
      </c>
      <c r="E539" s="1255"/>
    </row>
    <row r="540" spans="1:5">
      <c r="A540" s="1673">
        <v>125</v>
      </c>
      <c r="B540" s="1675" t="s">
        <v>148</v>
      </c>
      <c r="C540" s="1675"/>
      <c r="D540" s="1674">
        <f>'DMC Threads - By Number'!AN61</f>
        <v>0</v>
      </c>
      <c r="E540" s="1255"/>
    </row>
    <row r="541" spans="1:5">
      <c r="A541" s="1673">
        <v>127</v>
      </c>
      <c r="B541" s="1675" t="s">
        <v>1392</v>
      </c>
      <c r="C541" s="1255"/>
      <c r="D541" s="1674">
        <f>'DMC Threads - By Number'!AN62</f>
        <v>0</v>
      </c>
      <c r="E541" s="1255"/>
    </row>
    <row r="542" spans="1:5">
      <c r="A542" s="1673" t="s">
        <v>113</v>
      </c>
      <c r="B542" s="1675" t="s">
        <v>184</v>
      </c>
      <c r="C542" s="1255"/>
      <c r="D542" s="1674">
        <f>'DMC Threads - By Number'!AN63</f>
        <v>0</v>
      </c>
      <c r="E542" s="1255"/>
    </row>
    <row r="543" spans="1:5">
      <c r="A543" s="1673" t="s">
        <v>81</v>
      </c>
      <c r="B543" s="1675" t="s">
        <v>185</v>
      </c>
      <c r="C543" s="1675"/>
      <c r="D543" s="1674">
        <f>'DMC Threads - By Number'!AN64</f>
        <v>0</v>
      </c>
      <c r="E543" s="1255"/>
    </row>
    <row r="544" spans="1:5">
      <c r="A544" s="1673" t="s">
        <v>915</v>
      </c>
      <c r="B544" s="1675" t="s">
        <v>917</v>
      </c>
      <c r="C544" s="1677"/>
      <c r="D544" s="1674">
        <f>'DMC Threads - By Number'!AN65</f>
        <v>0</v>
      </c>
      <c r="E544" s="1255"/>
    </row>
    <row r="545" spans="1:5">
      <c r="A545" s="1673" t="s">
        <v>916</v>
      </c>
      <c r="B545" s="1675" t="s">
        <v>918</v>
      </c>
      <c r="C545" s="1677"/>
      <c r="D545" s="1674">
        <f>'DMC Threads - By Number'!AN66</f>
        <v>0</v>
      </c>
      <c r="E545" s="1255"/>
    </row>
    <row r="546" spans="1:5">
      <c r="A546" s="1673" t="s">
        <v>82</v>
      </c>
      <c r="B546" s="1675" t="s">
        <v>186</v>
      </c>
      <c r="C546" s="1675"/>
      <c r="D546" s="1674">
        <f>'DMC Threads - By Number'!AN67</f>
        <v>0</v>
      </c>
      <c r="E546" s="1255"/>
    </row>
    <row r="547" spans="1:5">
      <c r="A547" s="1673" t="s">
        <v>919</v>
      </c>
      <c r="B547" s="1675" t="s">
        <v>929</v>
      </c>
      <c r="C547" s="1677"/>
      <c r="D547" s="1674">
        <f>'DMC Threads - By Number'!AN68</f>
        <v>0</v>
      </c>
      <c r="E547" s="1255"/>
    </row>
    <row r="548" spans="1:5">
      <c r="A548" s="1673" t="s">
        <v>920</v>
      </c>
      <c r="B548" s="1675" t="s">
        <v>930</v>
      </c>
      <c r="C548" s="1677"/>
      <c r="D548" s="1674">
        <f>'DMC Threads - By Number'!AN69</f>
        <v>0</v>
      </c>
      <c r="E548" s="1255"/>
    </row>
    <row r="549" spans="1:5">
      <c r="A549" s="1673" t="s">
        <v>921</v>
      </c>
      <c r="B549" s="1675" t="s">
        <v>931</v>
      </c>
      <c r="C549" s="1677"/>
      <c r="D549" s="1674">
        <f>'DMC Threads - By Number'!AN70</f>
        <v>0</v>
      </c>
      <c r="E549" s="1255"/>
    </row>
    <row r="550" spans="1:5">
      <c r="A550" s="1673" t="s">
        <v>922</v>
      </c>
      <c r="B550" s="1675" t="s">
        <v>932</v>
      </c>
      <c r="C550" s="1677"/>
      <c r="D550" s="1674">
        <f>'DMC Threads - By Number'!AN71</f>
        <v>0</v>
      </c>
      <c r="E550" s="1255"/>
    </row>
    <row r="551" spans="1:5">
      <c r="A551" s="1673" t="s">
        <v>924</v>
      </c>
      <c r="B551" s="1675" t="s">
        <v>933</v>
      </c>
      <c r="C551" s="1677"/>
      <c r="D551" s="1674">
        <f>'DMC Threads - By Number'!AN72</f>
        <v>0</v>
      </c>
      <c r="E551" s="1255"/>
    </row>
    <row r="552" spans="1:5">
      <c r="A552" s="1673" t="s">
        <v>923</v>
      </c>
      <c r="B552" s="1675" t="s">
        <v>934</v>
      </c>
      <c r="C552" s="1677"/>
      <c r="D552" s="1176">
        <f>'DMC Threads - By Number'!AS6</f>
        <v>0</v>
      </c>
      <c r="E552" s="1255"/>
    </row>
    <row r="553" spans="1:5">
      <c r="A553" s="1673" t="s">
        <v>925</v>
      </c>
      <c r="B553" s="1675" t="s">
        <v>935</v>
      </c>
      <c r="C553" s="1677"/>
      <c r="D553" s="1176">
        <f>'DMC Threads - By Number'!AS7</f>
        <v>0</v>
      </c>
      <c r="E553" s="1255"/>
    </row>
    <row r="554" spans="1:5">
      <c r="A554" s="1673" t="s">
        <v>926</v>
      </c>
      <c r="B554" s="1675" t="s">
        <v>936</v>
      </c>
      <c r="C554" s="1678"/>
      <c r="D554" s="1176">
        <f>'DMC Threads - By Number'!AS8</f>
        <v>0</v>
      </c>
      <c r="E554" s="1255"/>
    </row>
    <row r="555" spans="1:5">
      <c r="A555" s="1673" t="s">
        <v>927</v>
      </c>
      <c r="B555" s="1675" t="s">
        <v>937</v>
      </c>
      <c r="C555" s="1216"/>
      <c r="D555" s="1176">
        <f>'DMC Threads - By Number'!AS9</f>
        <v>0</v>
      </c>
      <c r="E555" s="1255"/>
    </row>
    <row r="556" spans="1:5">
      <c r="A556" s="1673" t="s">
        <v>928</v>
      </c>
      <c r="B556" s="1675" t="s">
        <v>938</v>
      </c>
      <c r="C556" s="1218"/>
      <c r="D556" s="1176">
        <f>'DMC Threads - By Number'!AS10</f>
        <v>0</v>
      </c>
      <c r="E556" s="1255"/>
    </row>
    <row r="557" spans="1:5">
      <c r="A557" s="1673" t="s">
        <v>83</v>
      </c>
      <c r="B557" s="1675" t="s">
        <v>187</v>
      </c>
      <c r="C557" s="1219"/>
      <c r="D557" s="1176">
        <f>'DMC Threads - By Number'!AS11</f>
        <v>0</v>
      </c>
      <c r="E557" s="1255"/>
    </row>
    <row r="558" spans="1:5">
      <c r="A558" s="1673" t="s">
        <v>95</v>
      </c>
      <c r="B558" s="1675" t="s">
        <v>188</v>
      </c>
      <c r="C558" s="1232"/>
      <c r="D558" s="1176">
        <f>'DMC Threads - By Number'!AS12</f>
        <v>0</v>
      </c>
      <c r="E558" s="1255"/>
    </row>
    <row r="559" spans="1:5">
      <c r="A559" s="1673" t="s">
        <v>106</v>
      </c>
      <c r="B559" s="1675" t="s">
        <v>189</v>
      </c>
      <c r="C559" s="1237"/>
      <c r="D559" s="1176">
        <f>'DMC Threads - By Number'!AS13</f>
        <v>0</v>
      </c>
      <c r="E559" s="1255"/>
    </row>
    <row r="560" spans="1:5">
      <c r="A560" s="1673" t="s">
        <v>96</v>
      </c>
      <c r="B560" s="1675" t="s">
        <v>190</v>
      </c>
      <c r="C560" s="1243"/>
      <c r="D560" s="1176">
        <f>'DMC Threads - By Number'!AS14</f>
        <v>0</v>
      </c>
      <c r="E560" s="1255"/>
    </row>
    <row r="561" spans="1:5">
      <c r="A561" s="1673" t="s">
        <v>104</v>
      </c>
      <c r="B561" s="1675" t="s">
        <v>191</v>
      </c>
      <c r="C561" s="1247"/>
      <c r="D561" s="1176">
        <f>'DMC Threads - By Number'!AS15</f>
        <v>0</v>
      </c>
      <c r="E561" s="1255"/>
    </row>
    <row r="562" spans="1:5">
      <c r="A562" s="1673" t="s">
        <v>89</v>
      </c>
      <c r="B562" s="1675" t="s">
        <v>192</v>
      </c>
      <c r="C562" s="1251"/>
      <c r="D562" s="1176">
        <f>'DMC Threads - By Number'!AS16</f>
        <v>0</v>
      </c>
      <c r="E562" s="1255"/>
    </row>
    <row r="563" spans="1:5">
      <c r="A563" s="1673" t="s">
        <v>97</v>
      </c>
      <c r="B563" s="1675" t="s">
        <v>193</v>
      </c>
      <c r="C563" s="1252"/>
      <c r="D563" s="1176">
        <f>'DMC Threads - By Number'!AS17</f>
        <v>0</v>
      </c>
      <c r="E563" s="1255"/>
    </row>
    <row r="564" spans="1:5">
      <c r="A564" s="1673" t="s">
        <v>84</v>
      </c>
      <c r="B564" s="1675" t="s">
        <v>194</v>
      </c>
      <c r="C564" s="1260"/>
      <c r="D564" s="1176">
        <f>'DMC Threads - By Number'!AS18</f>
        <v>0</v>
      </c>
      <c r="E564" s="1255"/>
    </row>
    <row r="565" spans="1:5">
      <c r="A565" s="1673" t="s">
        <v>85</v>
      </c>
      <c r="B565" s="1675" t="s">
        <v>195</v>
      </c>
      <c r="C565" s="1265"/>
      <c r="D565" s="1176">
        <f>'DMC Threads - By Number'!AS19</f>
        <v>0</v>
      </c>
      <c r="E565" s="1255"/>
    </row>
    <row r="566" spans="1:5">
      <c r="A566" s="1673" t="s">
        <v>105</v>
      </c>
      <c r="B566" s="1675" t="s">
        <v>196</v>
      </c>
      <c r="C566" s="1289"/>
      <c r="D566" s="1176">
        <f>'DMC Threads - By Number'!AS20</f>
        <v>0</v>
      </c>
      <c r="E566" s="1255"/>
    </row>
    <row r="567" spans="1:5">
      <c r="A567" s="1673" t="s">
        <v>102</v>
      </c>
      <c r="B567" s="1675" t="s">
        <v>197</v>
      </c>
      <c r="C567" s="1295"/>
      <c r="D567" s="1176">
        <f>'DMC Threads - By Number'!AS21</f>
        <v>0</v>
      </c>
      <c r="E567" s="1255"/>
    </row>
    <row r="568" spans="1:5">
      <c r="A568" s="1673" t="s">
        <v>98</v>
      </c>
      <c r="B568" s="1675" t="s">
        <v>198</v>
      </c>
      <c r="C568" s="1355"/>
      <c r="D568" s="1176">
        <f>'DMC Threads - By Number'!AS22</f>
        <v>0</v>
      </c>
      <c r="E568" s="1255"/>
    </row>
    <row r="569" spans="1:5">
      <c r="A569" s="1673" t="s">
        <v>86</v>
      </c>
      <c r="B569" s="1675" t="s">
        <v>199</v>
      </c>
      <c r="C569" s="1357"/>
      <c r="D569" s="1176">
        <f>'DMC Threads - By Number'!AS23</f>
        <v>0</v>
      </c>
      <c r="E569" s="1255"/>
    </row>
    <row r="570" spans="1:5">
      <c r="A570" s="1673" t="s">
        <v>91</v>
      </c>
      <c r="B570" s="1675" t="s">
        <v>200</v>
      </c>
      <c r="C570" s="1361"/>
      <c r="D570" s="1176">
        <f>'DMC Threads - By Number'!AS24</f>
        <v>0</v>
      </c>
      <c r="E570" s="1255"/>
    </row>
    <row r="571" spans="1:5">
      <c r="A571" s="1673" t="s">
        <v>92</v>
      </c>
      <c r="B571" s="1675" t="s">
        <v>201</v>
      </c>
      <c r="C571" s="1364"/>
      <c r="D571" s="1176">
        <f>'DMC Threads - By Number'!AS25</f>
        <v>0</v>
      </c>
      <c r="E571" s="1255"/>
    </row>
    <row r="572" spans="1:5">
      <c r="A572" s="1673" t="s">
        <v>107</v>
      </c>
      <c r="B572" s="1675" t="s">
        <v>202</v>
      </c>
      <c r="C572" s="1387"/>
      <c r="D572" s="1176">
        <f>'DMC Threads - By Number'!AS26</f>
        <v>0</v>
      </c>
      <c r="E572" s="1255"/>
    </row>
    <row r="573" spans="1:5">
      <c r="A573" s="1673" t="s">
        <v>110</v>
      </c>
      <c r="B573" s="1675" t="s">
        <v>203</v>
      </c>
      <c r="C573" s="1388"/>
      <c r="D573" s="1176">
        <f>'DMC Threads - By Number'!AS27</f>
        <v>0</v>
      </c>
      <c r="E573" s="1255"/>
    </row>
    <row r="574" spans="1:5">
      <c r="A574" s="1673" t="s">
        <v>93</v>
      </c>
      <c r="B574" s="1675" t="s">
        <v>204</v>
      </c>
      <c r="C574" s="1419"/>
      <c r="D574" s="1176">
        <f>'DMC Threads - By Number'!AS28</f>
        <v>0</v>
      </c>
      <c r="E574" s="1255"/>
    </row>
    <row r="575" spans="1:5">
      <c r="A575" s="1673" t="s">
        <v>109</v>
      </c>
      <c r="B575" s="1675" t="s">
        <v>205</v>
      </c>
      <c r="C575" s="1422"/>
      <c r="D575" s="1176">
        <f>'DMC Threads - By Number'!AS29</f>
        <v>0</v>
      </c>
      <c r="E575" s="1255"/>
    </row>
    <row r="576" spans="1:5">
      <c r="A576" s="1673" t="s">
        <v>94</v>
      </c>
      <c r="B576" s="1675" t="s">
        <v>206</v>
      </c>
      <c r="C576" s="1429"/>
      <c r="D576" s="1176">
        <f>'DMC Threads - By Number'!AS30</f>
        <v>0</v>
      </c>
      <c r="E576" s="1255"/>
    </row>
    <row r="577" spans="1:5">
      <c r="A577" s="1673" t="s">
        <v>101</v>
      </c>
      <c r="B577" s="1675" t="s">
        <v>207</v>
      </c>
      <c r="C577" s="1453"/>
      <c r="D577" s="1176">
        <f>'DMC Threads - By Number'!AS31</f>
        <v>0</v>
      </c>
      <c r="E577" s="1255"/>
    </row>
    <row r="578" spans="1:5">
      <c r="A578" s="1673" t="s">
        <v>108</v>
      </c>
      <c r="B578" s="1675" t="s">
        <v>208</v>
      </c>
      <c r="C578" s="1503"/>
      <c r="D578" s="1176">
        <f>'DMC Threads - By Number'!AS32</f>
        <v>0</v>
      </c>
      <c r="E578" s="1255"/>
    </row>
    <row r="579" spans="1:5">
      <c r="A579" s="1673" t="s">
        <v>111</v>
      </c>
      <c r="B579" s="1675" t="s">
        <v>209</v>
      </c>
      <c r="C579" s="1504"/>
      <c r="D579" s="1176">
        <f>'DMC Threads - By Number'!AS33</f>
        <v>0</v>
      </c>
      <c r="E579" s="1255"/>
    </row>
    <row r="580" spans="1:5">
      <c r="A580" s="1673" t="s">
        <v>103</v>
      </c>
      <c r="B580" s="1675" t="s">
        <v>210</v>
      </c>
      <c r="C580" s="1562"/>
      <c r="D580" s="1176">
        <f>'DMC Threads - By Number'!AS34</f>
        <v>0</v>
      </c>
      <c r="E580" s="1255"/>
    </row>
    <row r="581" spans="1:5">
      <c r="A581" s="1673" t="s">
        <v>112</v>
      </c>
      <c r="B581" s="1675" t="s">
        <v>211</v>
      </c>
      <c r="C581" s="1679"/>
      <c r="D581" s="1176">
        <f>'DMC Threads - By Number'!AS35</f>
        <v>0</v>
      </c>
      <c r="E581" s="1255"/>
    </row>
    <row r="582" spans="1:5">
      <c r="A582" s="1256" t="s">
        <v>61</v>
      </c>
      <c r="B582" s="1257" t="s">
        <v>0</v>
      </c>
      <c r="C582" s="1258" t="s">
        <v>1</v>
      </c>
      <c r="D582" s="1258" t="s">
        <v>243</v>
      </c>
      <c r="E582" s="1258" t="s">
        <v>1741</v>
      </c>
    </row>
    <row r="583" spans="1:5">
      <c r="A583" s="1673" t="s">
        <v>99</v>
      </c>
      <c r="B583" s="1675" t="s">
        <v>212</v>
      </c>
      <c r="C583" s="1680"/>
      <c r="D583" s="1674">
        <f>'DMC Threads - By Number'!AS36</f>
        <v>0</v>
      </c>
      <c r="E583" s="1255"/>
    </row>
    <row r="584" spans="1:5">
      <c r="A584" s="1673" t="s">
        <v>87</v>
      </c>
      <c r="B584" s="1675" t="s">
        <v>213</v>
      </c>
      <c r="C584" s="1681"/>
      <c r="D584" s="1674">
        <f>'DMC Threads - By Number'!AS37</f>
        <v>0</v>
      </c>
      <c r="E584" s="1255"/>
    </row>
    <row r="585" spans="1:5">
      <c r="A585" s="1673" t="s">
        <v>88</v>
      </c>
      <c r="B585" s="1675" t="s">
        <v>214</v>
      </c>
      <c r="C585" s="1682"/>
      <c r="D585" s="1674">
        <f>'DMC Threads - By Number'!AS38</f>
        <v>0</v>
      </c>
      <c r="E585" s="1255"/>
    </row>
    <row r="586" spans="1:5">
      <c r="A586" s="1673" t="s">
        <v>90</v>
      </c>
      <c r="B586" s="1675" t="s">
        <v>215</v>
      </c>
      <c r="C586" s="1683"/>
      <c r="D586" s="1674">
        <f>'DMC Threads - By Number'!AS39</f>
        <v>0</v>
      </c>
      <c r="E586" s="1255"/>
    </row>
    <row r="587" spans="1:5">
      <c r="A587" s="1673" t="s">
        <v>100</v>
      </c>
      <c r="B587" s="1675" t="s">
        <v>216</v>
      </c>
      <c r="C587" s="1684"/>
      <c r="D587" s="1674">
        <f>'DMC Threads - By Number'!AS40</f>
        <v>0</v>
      </c>
      <c r="E587" s="1255"/>
    </row>
    <row r="588" spans="1:5">
      <c r="A588" s="1673" t="s">
        <v>114</v>
      </c>
      <c r="B588" s="1675" t="s">
        <v>939</v>
      </c>
      <c r="C588" s="1685"/>
      <c r="D588" s="1674">
        <f>'DMC Threads - By Number'!AS41</f>
        <v>0</v>
      </c>
      <c r="E588" s="1255"/>
    </row>
    <row r="589" spans="1:5">
      <c r="A589" s="1673" t="s">
        <v>115</v>
      </c>
      <c r="B589" s="1675" t="s">
        <v>940</v>
      </c>
      <c r="C589" s="1686"/>
      <c r="D589" s="1674">
        <f>'DMC Threads - By Number'!AS42</f>
        <v>0</v>
      </c>
      <c r="E589" s="1255"/>
    </row>
    <row r="590" spans="1:5">
      <c r="A590" s="1673" t="s">
        <v>948</v>
      </c>
      <c r="B590" s="1675" t="s">
        <v>951</v>
      </c>
      <c r="C590" s="1687"/>
      <c r="D590" s="1674">
        <f>'DMC Threads - By Number'!AS43</f>
        <v>0</v>
      </c>
      <c r="E590" s="1255"/>
    </row>
    <row r="591" spans="1:5">
      <c r="A591" s="1673" t="s">
        <v>949</v>
      </c>
      <c r="B591" s="1675" t="s">
        <v>952</v>
      </c>
      <c r="C591" s="1688"/>
      <c r="D591" s="1674">
        <f>'DMC Threads - By Number'!AS44</f>
        <v>0</v>
      </c>
      <c r="E591" s="1255"/>
    </row>
    <row r="592" spans="1:5">
      <c r="A592" s="1673" t="s">
        <v>950</v>
      </c>
      <c r="B592" s="1675" t="s">
        <v>953</v>
      </c>
      <c r="C592" s="1689"/>
      <c r="D592" s="1674">
        <f>'DMC Threads - By Number'!AS45</f>
        <v>0</v>
      </c>
      <c r="E592" s="1255"/>
    </row>
    <row r="593" spans="1:5">
      <c r="A593" s="1673" t="s">
        <v>941</v>
      </c>
      <c r="B593" s="1675" t="s">
        <v>954</v>
      </c>
      <c r="C593" s="1690"/>
      <c r="D593" s="1674">
        <f>'DMC Threads - By Number'!AS46</f>
        <v>0</v>
      </c>
      <c r="E593" s="1255"/>
    </row>
    <row r="594" spans="1:5">
      <c r="A594" s="1673" t="s">
        <v>942</v>
      </c>
      <c r="B594" s="1675" t="s">
        <v>955</v>
      </c>
      <c r="C594" s="1691"/>
      <c r="D594" s="1674">
        <f>'DMC Threads - By Number'!AS47</f>
        <v>0</v>
      </c>
      <c r="E594" s="1255"/>
    </row>
    <row r="595" spans="1:5">
      <c r="A595" s="1673" t="s">
        <v>943</v>
      </c>
      <c r="B595" s="1675" t="s">
        <v>956</v>
      </c>
      <c r="C595" s="1692"/>
      <c r="D595" s="1674">
        <f>'DMC Threads - By Number'!AS48</f>
        <v>0</v>
      </c>
      <c r="E595" s="1255"/>
    </row>
    <row r="596" spans="1:5">
      <c r="A596" s="1673" t="s">
        <v>944</v>
      </c>
      <c r="B596" s="1675" t="s">
        <v>957</v>
      </c>
      <c r="C596" s="1693"/>
      <c r="D596" s="1674">
        <f>'DMC Threads - By Number'!AS49</f>
        <v>0</v>
      </c>
      <c r="E596" s="1255"/>
    </row>
    <row r="597" spans="1:5">
      <c r="A597" s="1673" t="s">
        <v>945</v>
      </c>
      <c r="B597" s="1675" t="s">
        <v>958</v>
      </c>
      <c r="C597" s="1694"/>
      <c r="D597" s="1674">
        <f>'DMC Threads - By Number'!AS50</f>
        <v>0</v>
      </c>
      <c r="E597" s="1255"/>
    </row>
    <row r="598" spans="1:5">
      <c r="A598" s="1673" t="s">
        <v>946</v>
      </c>
      <c r="B598" s="1675" t="s">
        <v>959</v>
      </c>
      <c r="C598" s="1695"/>
      <c r="D598" s="1674">
        <f>'DMC Threads - By Number'!AS51</f>
        <v>0</v>
      </c>
      <c r="E598" s="1255"/>
    </row>
    <row r="599" spans="1:5">
      <c r="A599" s="1673" t="s">
        <v>947</v>
      </c>
      <c r="B599" s="1675" t="s">
        <v>960</v>
      </c>
      <c r="C599" s="1696"/>
      <c r="D599" s="1674">
        <f>'DMC Threads - By Number'!AS52</f>
        <v>0</v>
      </c>
      <c r="E599" s="1255"/>
    </row>
    <row r="600" spans="1:5">
      <c r="A600" s="1673" t="s">
        <v>116</v>
      </c>
      <c r="B600" s="1675" t="s">
        <v>117</v>
      </c>
      <c r="C600" s="1173"/>
      <c r="D600" s="1674">
        <f>'DMC Threads - By Number'!AS53</f>
        <v>0</v>
      </c>
      <c r="E600" s="1255"/>
    </row>
    <row r="601" spans="1:5">
      <c r="A601" s="1673">
        <v>5282</v>
      </c>
      <c r="B601" s="1174" t="s">
        <v>217</v>
      </c>
      <c r="C601" s="1372"/>
      <c r="D601" s="1674">
        <f>'DMC Threads - By Number'!AS54</f>
        <v>0</v>
      </c>
      <c r="E601" s="1255"/>
    </row>
    <row r="602" spans="1:5">
      <c r="A602" s="1673">
        <v>5283</v>
      </c>
      <c r="B602" s="1174" t="s">
        <v>218</v>
      </c>
      <c r="C602" s="1180"/>
      <c r="D602" s="1674">
        <f>'DMC Threads - By Number'!AS55</f>
        <v>0</v>
      </c>
      <c r="E602" s="1255"/>
    </row>
    <row r="603" spans="1:5">
      <c r="A603" s="1673">
        <v>4010</v>
      </c>
      <c r="B603" s="1174" t="s">
        <v>869</v>
      </c>
      <c r="C603" s="1675"/>
      <c r="D603" s="1674">
        <f>'DMC Threads - By Number'!AS56</f>
        <v>0</v>
      </c>
      <c r="E603" s="1255"/>
    </row>
    <row r="604" spans="1:5">
      <c r="A604" s="1673">
        <v>4015</v>
      </c>
      <c r="B604" s="1174" t="s">
        <v>149</v>
      </c>
      <c r="C604" s="1675"/>
      <c r="D604" s="1674">
        <f>'DMC Threads - By Number'!AS57</f>
        <v>0</v>
      </c>
      <c r="E604" s="1255"/>
    </row>
    <row r="605" spans="1:5">
      <c r="A605" s="1673">
        <v>4020</v>
      </c>
      <c r="B605" s="1174" t="s">
        <v>168</v>
      </c>
      <c r="C605" s="1675"/>
      <c r="D605" s="1674">
        <f>'DMC Threads - By Number'!AS58</f>
        <v>0</v>
      </c>
      <c r="E605" s="1255"/>
    </row>
    <row r="606" spans="1:5">
      <c r="A606" s="1673">
        <v>4025</v>
      </c>
      <c r="B606" s="1174" t="s">
        <v>169</v>
      </c>
      <c r="C606" s="1675"/>
      <c r="D606" s="1674">
        <f>'DMC Threads - By Number'!AS59</f>
        <v>0</v>
      </c>
      <c r="E606" s="1255"/>
    </row>
    <row r="607" spans="1:5">
      <c r="A607" s="1673">
        <v>4030</v>
      </c>
      <c r="B607" s="1174" t="s">
        <v>170</v>
      </c>
      <c r="C607" s="1675"/>
      <c r="D607" s="1674">
        <f>'DMC Threads - By Number'!AS60</f>
        <v>0</v>
      </c>
      <c r="E607" s="1255"/>
    </row>
    <row r="608" spans="1:5">
      <c r="A608" s="1673">
        <v>4040</v>
      </c>
      <c r="B608" s="1174" t="s">
        <v>171</v>
      </c>
      <c r="C608" s="1675"/>
      <c r="D608" s="1674">
        <f>'DMC Threads - By Number'!AS61</f>
        <v>0</v>
      </c>
      <c r="E608" s="1255"/>
    </row>
    <row r="609" spans="1:5">
      <c r="A609" s="1673">
        <v>4045</v>
      </c>
      <c r="B609" s="1174" t="s">
        <v>172</v>
      </c>
      <c r="C609" s="1675"/>
      <c r="D609" s="1674">
        <f>'DMC Threads - By Number'!AS62</f>
        <v>0</v>
      </c>
      <c r="E609" s="1255"/>
    </row>
    <row r="610" spans="1:5">
      <c r="A610" s="1673">
        <v>4050</v>
      </c>
      <c r="B610" s="1174" t="s">
        <v>173</v>
      </c>
      <c r="C610" s="1675"/>
      <c r="D610" s="1674">
        <f>'DMC Threads - By Number'!AS63</f>
        <v>0</v>
      </c>
      <c r="E610" s="1255"/>
    </row>
    <row r="611" spans="1:5">
      <c r="A611" s="1673">
        <v>4060</v>
      </c>
      <c r="B611" s="1174" t="s">
        <v>174</v>
      </c>
      <c r="C611" s="1675"/>
      <c r="D611" s="1674">
        <f>'DMC Threads - By Number'!AS64</f>
        <v>0</v>
      </c>
      <c r="E611" s="1255"/>
    </row>
    <row r="612" spans="1:5">
      <c r="A612" s="1673">
        <v>4065</v>
      </c>
      <c r="B612" s="1174" t="s">
        <v>175</v>
      </c>
      <c r="C612" s="1675"/>
      <c r="D612" s="1674">
        <f>'DMC Threads - By Number'!AS65</f>
        <v>0</v>
      </c>
      <c r="E612" s="1255"/>
    </row>
    <row r="613" spans="1:5">
      <c r="A613" s="1673">
        <v>4070</v>
      </c>
      <c r="B613" s="1174" t="s">
        <v>176</v>
      </c>
      <c r="C613" s="1675"/>
      <c r="D613" s="1674">
        <f>'DMC Threads - By Number'!AS66</f>
        <v>0</v>
      </c>
      <c r="E613" s="1255"/>
    </row>
    <row r="614" spans="1:5">
      <c r="A614" s="1673">
        <v>4075</v>
      </c>
      <c r="B614" s="1174" t="s">
        <v>177</v>
      </c>
      <c r="C614" s="1675"/>
      <c r="D614" s="1674">
        <f>'DMC Threads - By Number'!AS67</f>
        <v>0</v>
      </c>
      <c r="E614" s="1255"/>
    </row>
    <row r="615" spans="1:5">
      <c r="A615" s="1673">
        <v>4077</v>
      </c>
      <c r="B615" s="1174" t="s">
        <v>178</v>
      </c>
      <c r="C615" s="1675"/>
      <c r="D615" s="1674">
        <f>'DMC Threads - By Number'!AS68</f>
        <v>0</v>
      </c>
      <c r="E615" s="1255"/>
    </row>
    <row r="616" spans="1:5">
      <c r="A616" s="1673">
        <v>4080</v>
      </c>
      <c r="B616" s="1174" t="s">
        <v>179</v>
      </c>
      <c r="C616" s="1675"/>
      <c r="D616" s="1674">
        <f>'DMC Threads - By Number'!AS69</f>
        <v>0</v>
      </c>
      <c r="E616" s="1255"/>
    </row>
    <row r="617" spans="1:5">
      <c r="A617" s="1673">
        <v>4090</v>
      </c>
      <c r="B617" s="1174" t="s">
        <v>180</v>
      </c>
      <c r="C617" s="1675"/>
      <c r="D617" s="1674">
        <f>'DMC Threads - By Number'!AS70</f>
        <v>0</v>
      </c>
      <c r="E617" s="1255"/>
    </row>
    <row r="618" spans="1:5">
      <c r="A618" s="1673">
        <v>4100</v>
      </c>
      <c r="B618" s="1174" t="s">
        <v>181</v>
      </c>
      <c r="C618" s="1675"/>
      <c r="D618" s="1674">
        <f>'DMC Threads - By Number'!AS71</f>
        <v>0</v>
      </c>
      <c r="E618" s="1255"/>
    </row>
    <row r="619" spans="1:5">
      <c r="A619" s="1673">
        <v>4110</v>
      </c>
      <c r="B619" s="1174" t="s">
        <v>182</v>
      </c>
      <c r="C619" s="1675"/>
      <c r="D619" s="1674">
        <f>'DMC Threads - By Number'!AS72</f>
        <v>0</v>
      </c>
      <c r="E619" s="1255"/>
    </row>
    <row r="620" spans="1:5">
      <c r="A620" s="1673">
        <v>4120</v>
      </c>
      <c r="B620" s="1174" t="s">
        <v>183</v>
      </c>
      <c r="C620" s="1675"/>
      <c r="D620" s="1697">
        <f>'DMC Threads - By Number'!AX6</f>
        <v>0</v>
      </c>
      <c r="E620" s="1255"/>
    </row>
    <row r="621" spans="1:5">
      <c r="A621" s="1673">
        <v>4124</v>
      </c>
      <c r="B621" s="1174" t="s">
        <v>150</v>
      </c>
      <c r="C621" s="1675"/>
      <c r="D621" s="1697">
        <f>'DMC Threads - By Number'!AX7</f>
        <v>0</v>
      </c>
      <c r="E621" s="1255"/>
    </row>
    <row r="622" spans="1:5">
      <c r="A622" s="1673">
        <v>4126</v>
      </c>
      <c r="B622" s="1174" t="s">
        <v>151</v>
      </c>
      <c r="C622" s="1255"/>
      <c r="D622" s="1697">
        <f>'DMC Threads - By Number'!AX8</f>
        <v>0</v>
      </c>
      <c r="E622" s="1255"/>
    </row>
    <row r="623" spans="1:5">
      <c r="A623" s="1673">
        <v>4128</v>
      </c>
      <c r="B623" s="1174" t="s">
        <v>152</v>
      </c>
      <c r="C623" s="1675"/>
      <c r="D623" s="1697">
        <f>'DMC Threads - By Number'!AX9</f>
        <v>0</v>
      </c>
      <c r="E623" s="1255"/>
    </row>
    <row r="624" spans="1:5">
      <c r="A624" s="1673">
        <v>4130</v>
      </c>
      <c r="B624" s="1174" t="s">
        <v>153</v>
      </c>
      <c r="C624" s="1675"/>
      <c r="D624" s="1697">
        <f>'DMC Threads - By Number'!AX10</f>
        <v>0</v>
      </c>
      <c r="E624" s="1255"/>
    </row>
    <row r="625" spans="1:5">
      <c r="A625" s="1673">
        <v>4140</v>
      </c>
      <c r="B625" s="1174" t="s">
        <v>154</v>
      </c>
      <c r="C625" s="1675"/>
      <c r="D625" s="1697">
        <f>'DMC Threads - By Number'!AX11</f>
        <v>0</v>
      </c>
      <c r="E625" s="1255"/>
    </row>
    <row r="626" spans="1:5">
      <c r="A626" s="1673">
        <v>4145</v>
      </c>
      <c r="B626" s="1174" t="s">
        <v>155</v>
      </c>
      <c r="C626" s="1675"/>
      <c r="D626" s="1697">
        <f>'DMC Threads - By Number'!AX12</f>
        <v>0</v>
      </c>
      <c r="E626" s="1255"/>
    </row>
    <row r="627" spans="1:5">
      <c r="A627" s="1673">
        <v>4150</v>
      </c>
      <c r="B627" s="1174" t="s">
        <v>156</v>
      </c>
      <c r="C627" s="1675"/>
      <c r="D627" s="1676">
        <f>'DMC Threads - By Number'!AX13</f>
        <v>0</v>
      </c>
      <c r="E627" s="1255"/>
    </row>
    <row r="628" spans="1:5">
      <c r="A628" s="1673">
        <v>4160</v>
      </c>
      <c r="B628" s="1174" t="s">
        <v>157</v>
      </c>
      <c r="C628" s="1675"/>
      <c r="D628" s="1674">
        <f>'DMC Threads - By Number'!AX14</f>
        <v>0</v>
      </c>
      <c r="E628" s="1255"/>
    </row>
    <row r="629" spans="1:5">
      <c r="A629" s="1673">
        <v>4170</v>
      </c>
      <c r="B629" s="1174" t="s">
        <v>158</v>
      </c>
      <c r="C629" s="1675"/>
      <c r="D629" s="1674">
        <f>'DMC Threads - By Number'!AX15</f>
        <v>0</v>
      </c>
      <c r="E629" s="1255"/>
    </row>
    <row r="630" spans="1:5">
      <c r="A630" s="1256" t="s">
        <v>61</v>
      </c>
      <c r="B630" s="1257" t="s">
        <v>0</v>
      </c>
      <c r="C630" s="1258" t="s">
        <v>1</v>
      </c>
      <c r="D630" s="1258" t="s">
        <v>243</v>
      </c>
      <c r="E630" s="1258" t="s">
        <v>1741</v>
      </c>
    </row>
    <row r="631" spans="1:5">
      <c r="A631" s="1673">
        <v>4180</v>
      </c>
      <c r="B631" s="1174" t="s">
        <v>159</v>
      </c>
      <c r="C631" s="1675"/>
      <c r="D631" s="1674">
        <f>'DMC Threads - By Number'!AX16</f>
        <v>0</v>
      </c>
      <c r="E631" s="1255"/>
    </row>
    <row r="632" spans="1:5">
      <c r="A632" s="1673">
        <v>4190</v>
      </c>
      <c r="B632" s="1174" t="s">
        <v>160</v>
      </c>
      <c r="C632" s="1675"/>
      <c r="D632" s="1674">
        <f>'DMC Threads - By Number'!AX17</f>
        <v>0</v>
      </c>
      <c r="E632" s="1255"/>
    </row>
    <row r="633" spans="1:5">
      <c r="A633" s="1673">
        <v>4200</v>
      </c>
      <c r="B633" s="1174" t="s">
        <v>161</v>
      </c>
      <c r="C633" s="1675"/>
      <c r="D633" s="1674">
        <f>'DMC Threads - By Number'!AX18</f>
        <v>0</v>
      </c>
      <c r="E633" s="1255"/>
    </row>
    <row r="634" spans="1:5">
      <c r="A634" s="1673">
        <v>4210</v>
      </c>
      <c r="B634" s="1174" t="s">
        <v>162</v>
      </c>
      <c r="C634" s="1675"/>
      <c r="D634" s="1674">
        <f>'DMC Threads - By Number'!AX19</f>
        <v>0</v>
      </c>
      <c r="E634" s="1255"/>
    </row>
    <row r="635" spans="1:5">
      <c r="A635" s="1673">
        <v>4215</v>
      </c>
      <c r="B635" s="1174" t="s">
        <v>163</v>
      </c>
      <c r="C635" s="1675"/>
      <c r="D635" s="1674">
        <f>'DMC Threads - By Number'!AX20</f>
        <v>0</v>
      </c>
      <c r="E635" s="1255"/>
    </row>
    <row r="636" spans="1:5">
      <c r="A636" s="1673">
        <v>4220</v>
      </c>
      <c r="B636" s="1174" t="s">
        <v>164</v>
      </c>
      <c r="C636" s="1675"/>
      <c r="D636" s="1674">
        <f>'DMC Threads - By Number'!AX21</f>
        <v>0</v>
      </c>
      <c r="E636" s="1255"/>
    </row>
    <row r="637" spans="1:5">
      <c r="A637" s="1673">
        <v>4230</v>
      </c>
      <c r="B637" s="1174" t="s">
        <v>165</v>
      </c>
      <c r="C637" s="1675"/>
      <c r="D637" s="1674">
        <f>'DMC Threads - By Number'!AX22</f>
        <v>0</v>
      </c>
      <c r="E637" s="1255"/>
    </row>
    <row r="638" spans="1:5">
      <c r="A638" s="1673">
        <v>4235</v>
      </c>
      <c r="B638" s="1174" t="s">
        <v>166</v>
      </c>
      <c r="C638" s="1675"/>
      <c r="D638" s="1674">
        <f>'DMC Threads - By Number'!AX23</f>
        <v>0</v>
      </c>
      <c r="E638" s="1255"/>
    </row>
    <row r="639" spans="1:5">
      <c r="A639" s="1673">
        <v>4240</v>
      </c>
      <c r="B639" s="1174" t="s">
        <v>167</v>
      </c>
      <c r="C639" s="1675"/>
      <c r="D639" s="1674">
        <f>'DMC Threads - By Number'!AX24</f>
        <v>0</v>
      </c>
      <c r="E639" s="1255"/>
    </row>
    <row r="678" spans="1:5">
      <c r="A678" s="1698" t="s">
        <v>61</v>
      </c>
      <c r="B678" s="1699" t="s">
        <v>0</v>
      </c>
      <c r="C678" s="1700" t="s">
        <v>1</v>
      </c>
      <c r="D678" s="1700" t="s">
        <v>243</v>
      </c>
      <c r="E678" s="1700" t="s">
        <v>1741</v>
      </c>
    </row>
    <row r="679" spans="1:5">
      <c r="A679" s="1673">
        <v>4500</v>
      </c>
      <c r="B679" s="1174" t="s">
        <v>219</v>
      </c>
      <c r="C679" s="1675"/>
      <c r="D679" s="1674">
        <f>'DMC Threads - By Number'!BC6</f>
        <v>0</v>
      </c>
      <c r="E679" s="1255"/>
    </row>
    <row r="680" spans="1:5">
      <c r="A680" s="1673">
        <v>4501</v>
      </c>
      <c r="B680" s="1174" t="s">
        <v>220</v>
      </c>
      <c r="C680" s="1675"/>
      <c r="D680" s="1674">
        <f>'DMC Threads - By Number'!BC7</f>
        <v>0</v>
      </c>
      <c r="E680" s="1255"/>
    </row>
    <row r="681" spans="1:5">
      <c r="A681" s="1673">
        <v>4502</v>
      </c>
      <c r="B681" s="1174" t="s">
        <v>221</v>
      </c>
      <c r="C681" s="1255"/>
      <c r="D681" s="1674">
        <f>'DMC Threads - By Number'!BC8</f>
        <v>0</v>
      </c>
      <c r="E681" s="1255"/>
    </row>
    <row r="682" spans="1:5">
      <c r="A682" s="1673">
        <v>4503</v>
      </c>
      <c r="B682" s="1174" t="s">
        <v>222</v>
      </c>
      <c r="C682" s="1675"/>
      <c r="D682" s="1674">
        <f>'DMC Threads - By Number'!BC9</f>
        <v>0</v>
      </c>
      <c r="E682" s="1255"/>
    </row>
    <row r="683" spans="1:5">
      <c r="A683" s="1673">
        <v>4504</v>
      </c>
      <c r="B683" s="1174" t="s">
        <v>223</v>
      </c>
      <c r="C683" s="1675"/>
      <c r="D683" s="1674">
        <f>'DMC Threads - By Number'!BC10</f>
        <v>0</v>
      </c>
      <c r="E683" s="1255"/>
    </row>
    <row r="684" spans="1:5">
      <c r="A684" s="1673">
        <v>4505</v>
      </c>
      <c r="B684" s="1174" t="s">
        <v>224</v>
      </c>
      <c r="C684" s="1675"/>
      <c r="D684" s="1674">
        <f>'DMC Threads - By Number'!BC11</f>
        <v>0</v>
      </c>
      <c r="E684" s="1255"/>
    </row>
    <row r="685" spans="1:5">
      <c r="A685" s="1673">
        <v>4506</v>
      </c>
      <c r="B685" s="1174" t="s">
        <v>225</v>
      </c>
      <c r="C685" s="1675"/>
      <c r="D685" s="1674">
        <f>'DMC Threads - By Number'!BC12</f>
        <v>0</v>
      </c>
      <c r="E685" s="1255"/>
    </row>
    <row r="686" spans="1:5">
      <c r="A686" s="1673">
        <v>4507</v>
      </c>
      <c r="B686" s="1174" t="s">
        <v>226</v>
      </c>
      <c r="C686" s="1675"/>
      <c r="D686" s="1674">
        <f>'DMC Threads - By Number'!BC13</f>
        <v>0</v>
      </c>
      <c r="E686" s="1255"/>
    </row>
    <row r="687" spans="1:5">
      <c r="A687" s="1673">
        <v>4508</v>
      </c>
      <c r="B687" s="1174" t="s">
        <v>227</v>
      </c>
      <c r="C687" s="1675"/>
      <c r="D687" s="1674">
        <f>'DMC Threads - By Number'!BC14</f>
        <v>0</v>
      </c>
      <c r="E687" s="1255"/>
    </row>
    <row r="688" spans="1:5">
      <c r="A688" s="1673">
        <v>4509</v>
      </c>
      <c r="B688" s="1174" t="s">
        <v>228</v>
      </c>
      <c r="C688" s="1675"/>
      <c r="D688" s="1674">
        <f>'DMC Threads - By Number'!BC15</f>
        <v>0</v>
      </c>
      <c r="E688" s="1255"/>
    </row>
    <row r="689" spans="1:5">
      <c r="A689" s="1673">
        <v>4510</v>
      </c>
      <c r="B689" s="1174" t="s">
        <v>229</v>
      </c>
      <c r="C689" s="1675"/>
      <c r="D689" s="1674">
        <f>'DMC Threads - By Number'!BC16</f>
        <v>0</v>
      </c>
      <c r="E689" s="1255"/>
    </row>
    <row r="690" spans="1:5">
      <c r="A690" s="1673">
        <v>4511</v>
      </c>
      <c r="B690" s="1174" t="s">
        <v>230</v>
      </c>
      <c r="C690" s="1675"/>
      <c r="D690" s="1674">
        <f>'DMC Threads - By Number'!BC17</f>
        <v>0</v>
      </c>
      <c r="E690" s="1255"/>
    </row>
    <row r="691" spans="1:5">
      <c r="A691" s="1673">
        <v>4512</v>
      </c>
      <c r="B691" s="1174" t="s">
        <v>231</v>
      </c>
      <c r="C691" s="1675"/>
      <c r="D691" s="1674">
        <f>'DMC Threads - By Number'!BC18</f>
        <v>0</v>
      </c>
      <c r="E691" s="1255"/>
    </row>
    <row r="692" spans="1:5">
      <c r="A692" s="1673">
        <v>4513</v>
      </c>
      <c r="B692" s="1174" t="s">
        <v>232</v>
      </c>
      <c r="C692" s="1675"/>
      <c r="D692" s="1674">
        <f>'DMC Threads - By Number'!BC19</f>
        <v>0</v>
      </c>
      <c r="E692" s="1255"/>
    </row>
    <row r="693" spans="1:5">
      <c r="A693" s="1673">
        <v>4514</v>
      </c>
      <c r="B693" s="1174" t="s">
        <v>233</v>
      </c>
      <c r="C693" s="1675"/>
      <c r="D693" s="1674">
        <f>'DMC Threads - By Number'!BC20</f>
        <v>0</v>
      </c>
      <c r="E693" s="1255"/>
    </row>
    <row r="694" spans="1:5">
      <c r="A694" s="1673">
        <v>4515</v>
      </c>
      <c r="B694" s="1174" t="s">
        <v>234</v>
      </c>
      <c r="C694" s="1675"/>
      <c r="D694" s="1674">
        <f>'DMC Threads - By Number'!BC21</f>
        <v>0</v>
      </c>
      <c r="E694" s="1255"/>
    </row>
    <row r="695" spans="1:5">
      <c r="A695" s="1673">
        <v>4516</v>
      </c>
      <c r="B695" s="1174" t="s">
        <v>235</v>
      </c>
      <c r="C695" s="1255"/>
      <c r="D695" s="1674">
        <f>'DMC Threads - By Number'!BC22</f>
        <v>0</v>
      </c>
      <c r="E695" s="1255"/>
    </row>
    <row r="696" spans="1:5">
      <c r="A696" s="1673">
        <v>4517</v>
      </c>
      <c r="B696" s="1174" t="s">
        <v>236</v>
      </c>
      <c r="C696" s="1675"/>
      <c r="D696" s="1674">
        <f>'DMC Threads - By Number'!BC23</f>
        <v>0</v>
      </c>
      <c r="E696" s="1255"/>
    </row>
    <row r="697" spans="1:5">
      <c r="A697" s="1673">
        <v>4518</v>
      </c>
      <c r="B697" s="1174" t="s">
        <v>237</v>
      </c>
      <c r="C697" s="1675"/>
      <c r="D697" s="1674">
        <f>'DMC Threads - By Number'!BC24</f>
        <v>0</v>
      </c>
      <c r="E697" s="1255"/>
    </row>
    <row r="698" spans="1:5">
      <c r="A698" s="1673">
        <v>4519</v>
      </c>
      <c r="B698" s="1174" t="s">
        <v>238</v>
      </c>
      <c r="C698" s="1255"/>
      <c r="D698" s="1674">
        <f>'DMC Threads - By Number'!BC25</f>
        <v>0</v>
      </c>
      <c r="E698" s="1255"/>
    </row>
    <row r="699" spans="1:5">
      <c r="A699" s="1673">
        <v>4520</v>
      </c>
      <c r="B699" s="1174" t="s">
        <v>239</v>
      </c>
      <c r="C699" s="1255"/>
      <c r="D699" s="1674">
        <f>'DMC Threads - By Number'!BC26</f>
        <v>0</v>
      </c>
      <c r="E699" s="1255"/>
    </row>
    <row r="700" spans="1:5">
      <c r="A700" s="1673">
        <v>4521</v>
      </c>
      <c r="B700" s="1174" t="s">
        <v>240</v>
      </c>
      <c r="C700" s="1673"/>
      <c r="D700" s="1674">
        <f>'DMC Threads - By Number'!BC27</f>
        <v>0</v>
      </c>
      <c r="E700" s="1255"/>
    </row>
    <row r="701" spans="1:5">
      <c r="A701" s="1673">
        <v>4522</v>
      </c>
      <c r="B701" s="1174" t="s">
        <v>241</v>
      </c>
      <c r="C701" s="1673"/>
      <c r="D701" s="1674">
        <f>'DMC Threads - By Number'!BC28</f>
        <v>0</v>
      </c>
      <c r="E701" s="1255"/>
    </row>
    <row r="702" spans="1:5">
      <c r="A702" s="1673">
        <v>4523</v>
      </c>
      <c r="B702" s="1174" t="s">
        <v>242</v>
      </c>
      <c r="C702" s="1673"/>
      <c r="D702" s="1674">
        <f>'DMC Threads - By Number'!BC29</f>
        <v>0</v>
      </c>
      <c r="E702" s="1255"/>
    </row>
    <row r="726" spans="1:5">
      <c r="A726" s="1256" t="s">
        <v>61</v>
      </c>
      <c r="B726" s="1257" t="s">
        <v>0</v>
      </c>
      <c r="C726" s="1258" t="s">
        <v>1</v>
      </c>
      <c r="D726" s="1258" t="s">
        <v>243</v>
      </c>
      <c r="E726" s="1258" t="s">
        <v>1741</v>
      </c>
    </row>
    <row r="727" spans="1:5">
      <c r="A727" s="1673" t="s">
        <v>276</v>
      </c>
      <c r="B727" s="1174" t="s">
        <v>278</v>
      </c>
      <c r="C727" s="1178"/>
      <c r="D727" s="1674">
        <f>'DMC Threads - By Number'!BC30</f>
        <v>0</v>
      </c>
      <c r="E727" s="1255"/>
    </row>
    <row r="728" spans="1:5">
      <c r="A728" s="1673" t="s">
        <v>277</v>
      </c>
      <c r="B728" s="1174" t="s">
        <v>279</v>
      </c>
      <c r="C728" s="1175"/>
      <c r="D728" s="1674">
        <f>'DMC Threads - By Number'!BC31</f>
        <v>0</v>
      </c>
      <c r="E728" s="1255"/>
    </row>
    <row r="729" spans="1:5">
      <c r="A729" s="1673" t="s">
        <v>244</v>
      </c>
      <c r="B729" s="1174" t="s">
        <v>280</v>
      </c>
      <c r="C729" s="1247"/>
      <c r="D729" s="1674">
        <f>'DMC Threads - By Number'!BC32</f>
        <v>0</v>
      </c>
      <c r="E729" s="1255"/>
    </row>
    <row r="730" spans="1:5">
      <c r="A730" s="1673" t="s">
        <v>245</v>
      </c>
      <c r="B730" s="1174" t="s">
        <v>582</v>
      </c>
      <c r="C730" s="1253"/>
      <c r="D730" s="1674">
        <f>'DMC Threads - By Number'!BC33</f>
        <v>0</v>
      </c>
      <c r="E730" s="1255"/>
    </row>
    <row r="731" spans="1:5">
      <c r="A731" s="1673" t="s">
        <v>246</v>
      </c>
      <c r="B731" s="1174" t="s">
        <v>281</v>
      </c>
      <c r="C731" s="1260"/>
      <c r="D731" s="1674">
        <f>'DMC Threads - By Number'!BC34</f>
        <v>0</v>
      </c>
      <c r="E731" s="1255"/>
    </row>
    <row r="732" spans="1:5">
      <c r="A732" s="1673" t="s">
        <v>247</v>
      </c>
      <c r="B732" s="1174" t="s">
        <v>282</v>
      </c>
      <c r="C732" s="1289"/>
      <c r="D732" s="1674">
        <f>'DMC Threads - By Number'!BC35</f>
        <v>0</v>
      </c>
      <c r="E732" s="1255"/>
    </row>
    <row r="733" spans="1:5">
      <c r="A733" s="1673" t="s">
        <v>248</v>
      </c>
      <c r="B733" s="1174" t="s">
        <v>497</v>
      </c>
      <c r="C733" s="1292"/>
      <c r="D733" s="1674">
        <f>'DMC Threads - By Number'!BC36</f>
        <v>0</v>
      </c>
      <c r="E733" s="1255"/>
    </row>
    <row r="734" spans="1:5">
      <c r="A734" s="1673" t="s">
        <v>249</v>
      </c>
      <c r="B734" s="1174" t="s">
        <v>283</v>
      </c>
      <c r="C734" s="1295"/>
      <c r="D734" s="1674">
        <f>'DMC Threads - By Number'!BC37</f>
        <v>0</v>
      </c>
      <c r="E734" s="1255"/>
    </row>
    <row r="735" spans="1:5">
      <c r="A735" s="1673" t="s">
        <v>250</v>
      </c>
      <c r="B735" s="1174" t="s">
        <v>346</v>
      </c>
      <c r="C735" s="1297"/>
      <c r="D735" s="1674">
        <f>'DMC Threads - By Number'!BC38</f>
        <v>0</v>
      </c>
      <c r="E735" s="1255"/>
    </row>
    <row r="736" spans="1:5">
      <c r="A736" s="1673" t="s">
        <v>251</v>
      </c>
      <c r="B736" s="1174" t="s">
        <v>597</v>
      </c>
      <c r="C736" s="1303"/>
      <c r="D736" s="1674">
        <f>'DMC Threads - By Number'!BC39</f>
        <v>0</v>
      </c>
      <c r="E736" s="1255"/>
    </row>
    <row r="737" spans="1:5">
      <c r="A737" s="1673" t="s">
        <v>252</v>
      </c>
      <c r="B737" s="1174" t="s">
        <v>284</v>
      </c>
      <c r="C737" s="1314"/>
      <c r="D737" s="1674">
        <f>'DMC Threads - By Number'!BC40</f>
        <v>0</v>
      </c>
      <c r="E737" s="1255"/>
    </row>
    <row r="738" spans="1:5">
      <c r="A738" s="1673" t="s">
        <v>253</v>
      </c>
      <c r="B738" s="1174" t="s">
        <v>430</v>
      </c>
      <c r="C738" s="1321"/>
      <c r="D738" s="1674">
        <f>'DMC Threads - By Number'!BC41</f>
        <v>0</v>
      </c>
      <c r="E738" s="1255"/>
    </row>
    <row r="739" spans="1:5">
      <c r="A739" s="1673" t="s">
        <v>254</v>
      </c>
      <c r="B739" s="1174" t="s">
        <v>602</v>
      </c>
      <c r="C739" s="1324"/>
      <c r="D739" s="1674">
        <f>'DMC Threads - By Number'!BC42</f>
        <v>0</v>
      </c>
      <c r="E739" s="1255"/>
    </row>
    <row r="740" spans="1:5">
      <c r="A740" s="1673" t="s">
        <v>255</v>
      </c>
      <c r="B740" s="1174" t="s">
        <v>432</v>
      </c>
      <c r="C740" s="1333"/>
      <c r="D740" s="1674">
        <f>'DMC Threads - By Number'!BC43</f>
        <v>0</v>
      </c>
      <c r="E740" s="1255"/>
    </row>
    <row r="741" spans="1:5">
      <c r="A741" s="1673" t="s">
        <v>792</v>
      </c>
      <c r="B741" s="1174" t="s">
        <v>793</v>
      </c>
      <c r="C741" s="1701"/>
      <c r="D741" s="1674">
        <f>'DMC Threads - By Number'!BC44</f>
        <v>0</v>
      </c>
      <c r="E741" s="1255"/>
    </row>
    <row r="742" spans="1:5">
      <c r="A742" s="1673" t="s">
        <v>256</v>
      </c>
      <c r="B742" s="1174" t="s">
        <v>455</v>
      </c>
      <c r="C742" s="1353"/>
      <c r="D742" s="1674">
        <f>'DMC Threads - By Number'!BC45</f>
        <v>0</v>
      </c>
      <c r="E742" s="1255"/>
    </row>
    <row r="743" spans="1:5">
      <c r="A743" s="1673" t="s">
        <v>257</v>
      </c>
      <c r="B743" s="1174" t="s">
        <v>285</v>
      </c>
      <c r="C743" s="1357"/>
      <c r="D743" s="1674">
        <f>'DMC Threads - By Number'!BC46</f>
        <v>0</v>
      </c>
      <c r="E743" s="1255"/>
    </row>
    <row r="744" spans="1:5">
      <c r="A744" s="1673" t="s">
        <v>258</v>
      </c>
      <c r="B744" s="1174" t="s">
        <v>286</v>
      </c>
      <c r="C744" s="1369"/>
      <c r="D744" s="1674">
        <f>'DMC Threads - By Number'!BC47</f>
        <v>0</v>
      </c>
      <c r="E744" s="1255"/>
    </row>
    <row r="745" spans="1:5">
      <c r="A745" s="1673" t="s">
        <v>259</v>
      </c>
      <c r="B745" s="1174" t="s">
        <v>610</v>
      </c>
      <c r="C745" s="1379"/>
      <c r="D745" s="1674">
        <f>'DMC Threads - By Number'!BC48</f>
        <v>0</v>
      </c>
      <c r="E745" s="1255"/>
    </row>
    <row r="746" spans="1:5">
      <c r="A746" s="1673" t="s">
        <v>260</v>
      </c>
      <c r="B746" s="1174" t="s">
        <v>287</v>
      </c>
      <c r="C746" s="1381"/>
      <c r="D746" s="1674">
        <f>'DMC Threads - By Number'!BC49</f>
        <v>0</v>
      </c>
      <c r="E746" s="1255"/>
    </row>
    <row r="747" spans="1:5">
      <c r="A747" s="1673" t="s">
        <v>261</v>
      </c>
      <c r="B747" s="1174" t="s">
        <v>364</v>
      </c>
      <c r="C747" s="1410"/>
      <c r="D747" s="1674">
        <f>'DMC Threads - By Number'!BC50</f>
        <v>0</v>
      </c>
      <c r="E747" s="1255"/>
    </row>
    <row r="748" spans="1:5">
      <c r="A748" s="1673" t="s">
        <v>262</v>
      </c>
      <c r="B748" s="1174" t="s">
        <v>367</v>
      </c>
      <c r="C748" s="1418"/>
      <c r="D748" s="1674">
        <f>'DMC Threads - By Number'!BC51</f>
        <v>0</v>
      </c>
      <c r="E748" s="1255"/>
    </row>
    <row r="749" spans="1:5">
      <c r="A749" s="1673" t="s">
        <v>263</v>
      </c>
      <c r="B749" s="1174" t="s">
        <v>288</v>
      </c>
      <c r="C749" s="1420"/>
      <c r="D749" s="1674">
        <f>'DMC Threads - By Number'!BC52</f>
        <v>0</v>
      </c>
      <c r="E749" s="1255"/>
    </row>
    <row r="750" spans="1:5">
      <c r="A750" s="1673" t="s">
        <v>264</v>
      </c>
      <c r="B750" s="1174" t="s">
        <v>438</v>
      </c>
      <c r="C750" s="1425"/>
      <c r="D750" s="1674">
        <f>'DMC Threads - By Number'!BC53</f>
        <v>0</v>
      </c>
      <c r="E750" s="1255"/>
    </row>
    <row r="751" spans="1:5">
      <c r="A751" s="1673" t="s">
        <v>265</v>
      </c>
      <c r="B751" s="1174" t="s">
        <v>373</v>
      </c>
      <c r="C751" s="1427"/>
      <c r="D751" s="1674">
        <f>'DMC Threads - By Number'!BC54</f>
        <v>0</v>
      </c>
      <c r="E751" s="1255"/>
    </row>
    <row r="752" spans="1:5">
      <c r="A752" s="1673" t="s">
        <v>266</v>
      </c>
      <c r="B752" s="1174" t="s">
        <v>514</v>
      </c>
      <c r="C752" s="1441"/>
      <c r="D752" s="1674">
        <f>'DMC Threads - By Number'!BC55</f>
        <v>0</v>
      </c>
      <c r="E752" s="1255"/>
    </row>
    <row r="753" spans="1:5">
      <c r="A753" s="1673" t="s">
        <v>267</v>
      </c>
      <c r="B753" s="1174" t="s">
        <v>678</v>
      </c>
      <c r="C753" s="1447"/>
      <c r="D753" s="1674">
        <f>'DMC Threads - By Number'!BC56</f>
        <v>0</v>
      </c>
      <c r="E753" s="1255"/>
    </row>
    <row r="754" spans="1:5">
      <c r="A754" s="1673" t="s">
        <v>268</v>
      </c>
      <c r="B754" s="1174" t="s">
        <v>376</v>
      </c>
      <c r="C754" s="1455"/>
      <c r="D754" s="1674">
        <f>'DMC Threads - By Number'!BC57</f>
        <v>0</v>
      </c>
      <c r="E754" s="1255"/>
    </row>
    <row r="755" spans="1:5">
      <c r="A755" s="1673" t="s">
        <v>269</v>
      </c>
      <c r="B755" s="1174" t="s">
        <v>630</v>
      </c>
      <c r="C755" s="1460"/>
      <c r="D755" s="1674">
        <f>'DMC Threads - By Number'!BC58</f>
        <v>0</v>
      </c>
      <c r="E755" s="1255"/>
    </row>
    <row r="756" spans="1:5">
      <c r="A756" s="1673" t="s">
        <v>270</v>
      </c>
      <c r="B756" s="1174" t="s">
        <v>378</v>
      </c>
      <c r="C756" s="1466"/>
      <c r="D756" s="1674">
        <f>'DMC Threads - By Number'!BC59</f>
        <v>0</v>
      </c>
      <c r="E756" s="1255"/>
    </row>
    <row r="757" spans="1:5">
      <c r="A757" s="1673" t="s">
        <v>271</v>
      </c>
      <c r="B757" s="1174" t="s">
        <v>680</v>
      </c>
      <c r="C757" s="1484"/>
      <c r="D757" s="1674">
        <f>'DMC Threads - By Number'!BC60</f>
        <v>0</v>
      </c>
      <c r="E757" s="1255"/>
    </row>
    <row r="758" spans="1:5">
      <c r="A758" s="1673" t="s">
        <v>272</v>
      </c>
      <c r="B758" s="1174" t="s">
        <v>689</v>
      </c>
      <c r="C758" s="1507"/>
      <c r="D758" s="1674">
        <f>'DMC Threads - By Number'!BC61</f>
        <v>0</v>
      </c>
      <c r="E758" s="1255"/>
    </row>
    <row r="759" spans="1:5">
      <c r="A759" s="1673" t="s">
        <v>273</v>
      </c>
      <c r="B759" s="1174" t="s">
        <v>382</v>
      </c>
      <c r="C759" s="1520"/>
      <c r="D759" s="1674">
        <f>'DMC Threads - By Number'!BC62</f>
        <v>0</v>
      </c>
      <c r="E759" s="1255"/>
    </row>
    <row r="760" spans="1:5">
      <c r="A760" s="1673" t="s">
        <v>274</v>
      </c>
      <c r="B760" s="1174" t="s">
        <v>289</v>
      </c>
      <c r="C760" s="1557"/>
      <c r="D760" s="1674">
        <f>'DMC Threads - By Number'!BC63</f>
        <v>0</v>
      </c>
      <c r="E760" s="1255"/>
    </row>
    <row r="761" spans="1:5">
      <c r="A761" s="1673" t="s">
        <v>275</v>
      </c>
      <c r="B761" s="1174" t="s">
        <v>443</v>
      </c>
      <c r="C761" s="1653"/>
      <c r="D761" s="1674">
        <f>'DMC Threads - By Number'!BC64</f>
        <v>0</v>
      </c>
      <c r="E761" s="1255"/>
    </row>
    <row r="774" spans="1:5">
      <c r="A774" s="1698" t="s">
        <v>61</v>
      </c>
      <c r="B774" s="1699" t="s">
        <v>0</v>
      </c>
      <c r="C774" s="1700" t="s">
        <v>1</v>
      </c>
      <c r="D774" s="1700" t="s">
        <v>243</v>
      </c>
      <c r="E774" s="1700" t="s">
        <v>1741</v>
      </c>
    </row>
    <row r="775" spans="1:5">
      <c r="A775" s="1673" t="s">
        <v>812</v>
      </c>
      <c r="B775" s="1675" t="s">
        <v>813</v>
      </c>
      <c r="C775" s="1178"/>
      <c r="D775" s="1176">
        <f>'DMC Threads - By Number'!BH6</f>
        <v>0</v>
      </c>
      <c r="E775" s="1255"/>
    </row>
    <row r="776" spans="1:5">
      <c r="A776" s="1673" t="s">
        <v>795</v>
      </c>
      <c r="B776" s="1174" t="s">
        <v>798</v>
      </c>
      <c r="C776" s="1237"/>
      <c r="D776" s="1176">
        <f>'DMC Threads - By Number'!BH7</f>
        <v>0</v>
      </c>
      <c r="E776" s="1255"/>
    </row>
    <row r="777" spans="1:5">
      <c r="A777" s="1673" t="s">
        <v>796</v>
      </c>
      <c r="B777" s="1675" t="s">
        <v>799</v>
      </c>
      <c r="C777" s="1245"/>
      <c r="D777" s="1176">
        <f>'DMC Threads - By Number'!BH8</f>
        <v>0</v>
      </c>
      <c r="E777" s="1255"/>
    </row>
    <row r="778" spans="1:5">
      <c r="A778" s="1673" t="s">
        <v>797</v>
      </c>
      <c r="B778" s="1675" t="s">
        <v>800</v>
      </c>
      <c r="C778" s="1702"/>
      <c r="D778" s="1176">
        <f>'DMC Threads - By Number'!BH9</f>
        <v>0</v>
      </c>
      <c r="E778" s="1255"/>
    </row>
    <row r="779" spans="1:5">
      <c r="A779" s="1673" t="s">
        <v>801</v>
      </c>
      <c r="B779" s="1675" t="s">
        <v>802</v>
      </c>
      <c r="C779" s="1260"/>
      <c r="D779" s="1176">
        <f>'DMC Threads - By Number'!BH10</f>
        <v>0</v>
      </c>
      <c r="E779" s="1255"/>
    </row>
    <row r="780" spans="1:5">
      <c r="A780" s="1673" t="s">
        <v>803</v>
      </c>
      <c r="B780" s="1675" t="s">
        <v>835</v>
      </c>
      <c r="C780" s="1262"/>
      <c r="D780" s="1176">
        <f>'DMC Threads - By Number'!BH11</f>
        <v>0</v>
      </c>
      <c r="E780" s="1255"/>
    </row>
    <row r="781" spans="1:5">
      <c r="A781" s="1673" t="s">
        <v>871</v>
      </c>
      <c r="B781" s="1675" t="s">
        <v>892</v>
      </c>
      <c r="C781" s="1703"/>
      <c r="D781" s="1176">
        <f>'DMC Threads - By Number'!BH12</f>
        <v>0</v>
      </c>
      <c r="E781" s="1255"/>
    </row>
    <row r="782" spans="1:5">
      <c r="A782" s="1673" t="s">
        <v>804</v>
      </c>
      <c r="B782" s="1675" t="s">
        <v>836</v>
      </c>
      <c r="C782" s="1273"/>
      <c r="D782" s="1176">
        <f>'DMC Threads - By Number'!BH13</f>
        <v>0</v>
      </c>
      <c r="E782" s="1255"/>
    </row>
    <row r="783" spans="1:5">
      <c r="A783" s="1673" t="s">
        <v>805</v>
      </c>
      <c r="B783" s="1675" t="s">
        <v>837</v>
      </c>
      <c r="C783" s="1274"/>
      <c r="D783" s="1176">
        <f>'DMC Threads - By Number'!BH14</f>
        <v>0</v>
      </c>
      <c r="E783" s="1255"/>
    </row>
    <row r="784" spans="1:5">
      <c r="A784" s="1673" t="s">
        <v>838</v>
      </c>
      <c r="B784" s="1675" t="s">
        <v>839</v>
      </c>
      <c r="C784" s="1278"/>
      <c r="D784" s="1176">
        <f>'DMC Threads - By Number'!BH15</f>
        <v>0</v>
      </c>
      <c r="E784" s="1255"/>
    </row>
    <row r="785" spans="1:5">
      <c r="A785" s="1673" t="s">
        <v>865</v>
      </c>
      <c r="B785" s="1675" t="s">
        <v>864</v>
      </c>
      <c r="C785" s="1288"/>
      <c r="D785" s="1176">
        <f>'DMC Threads - By Number'!BH16</f>
        <v>0</v>
      </c>
      <c r="E785" s="1255"/>
    </row>
    <row r="786" spans="1:5">
      <c r="A786" s="1673" t="s">
        <v>808</v>
      </c>
      <c r="B786" s="1675" t="s">
        <v>840</v>
      </c>
      <c r="C786" s="1289"/>
      <c r="D786" s="1176">
        <f>'DMC Threads - By Number'!BH17</f>
        <v>0</v>
      </c>
      <c r="E786" s="1255"/>
    </row>
    <row r="787" spans="1:5">
      <c r="A787" s="1673" t="s">
        <v>873</v>
      </c>
      <c r="B787" s="1675" t="s">
        <v>893</v>
      </c>
      <c r="C787" s="1704"/>
      <c r="D787" s="1176">
        <f>'DMC Threads - By Number'!BH18</f>
        <v>0</v>
      </c>
      <c r="E787" s="1255"/>
    </row>
    <row r="788" spans="1:5">
      <c r="A788" s="1673" t="s">
        <v>874</v>
      </c>
      <c r="B788" s="1675" t="s">
        <v>894</v>
      </c>
      <c r="C788" s="1705"/>
      <c r="D788" s="1176">
        <f>'DMC Threads - By Number'!BH19</f>
        <v>0</v>
      </c>
      <c r="E788" s="1255"/>
    </row>
    <row r="789" spans="1:5">
      <c r="A789" s="1673" t="s">
        <v>809</v>
      </c>
      <c r="B789" s="1675" t="s">
        <v>895</v>
      </c>
      <c r="C789" s="1303"/>
      <c r="D789" s="1176">
        <f>'DMC Threads - By Number'!BH20</f>
        <v>0</v>
      </c>
      <c r="E789" s="1255"/>
    </row>
    <row r="790" spans="1:5">
      <c r="A790" s="1673" t="s">
        <v>810</v>
      </c>
      <c r="B790" s="1675" t="s">
        <v>896</v>
      </c>
      <c r="C790" s="1304"/>
      <c r="D790" s="1176">
        <f>'DMC Threads - By Number'!BH21</f>
        <v>0</v>
      </c>
      <c r="E790" s="1255"/>
    </row>
    <row r="791" spans="1:5">
      <c r="A791" s="1673" t="s">
        <v>875</v>
      </c>
      <c r="B791" s="1675" t="s">
        <v>897</v>
      </c>
      <c r="C791" s="1706"/>
      <c r="D791" s="1176">
        <f>'DMC Threads - By Number'!BH22</f>
        <v>0</v>
      </c>
      <c r="E791" s="1255"/>
    </row>
    <row r="792" spans="1:5">
      <c r="A792" s="1673" t="s">
        <v>811</v>
      </c>
      <c r="B792" s="1675" t="s">
        <v>841</v>
      </c>
      <c r="C792" s="1310"/>
      <c r="D792" s="1176">
        <f>'DMC Threads - By Number'!BH23</f>
        <v>0</v>
      </c>
      <c r="E792" s="1255"/>
    </row>
    <row r="793" spans="1:5">
      <c r="A793" s="1673" t="s">
        <v>814</v>
      </c>
      <c r="B793" s="1675" t="s">
        <v>843</v>
      </c>
      <c r="C793" s="1321"/>
      <c r="D793" s="1176">
        <f>'DMC Threads - By Number'!BH24</f>
        <v>0</v>
      </c>
      <c r="E793" s="1255"/>
    </row>
    <row r="794" spans="1:5">
      <c r="A794" s="1673" t="s">
        <v>815</v>
      </c>
      <c r="B794" s="1675" t="s">
        <v>898</v>
      </c>
      <c r="C794" s="1322"/>
      <c r="D794" s="1176">
        <f>'DMC Threads - By Number'!BH25</f>
        <v>0</v>
      </c>
      <c r="E794" s="1255"/>
    </row>
    <row r="795" spans="1:5">
      <c r="A795" s="1673" t="s">
        <v>876</v>
      </c>
      <c r="B795" s="1675" t="s">
        <v>842</v>
      </c>
      <c r="C795" s="1707"/>
      <c r="D795" s="1176">
        <f>'DMC Threads - By Number'!BH26</f>
        <v>0</v>
      </c>
      <c r="E795" s="1255"/>
    </row>
    <row r="796" spans="1:5">
      <c r="A796" s="1673" t="s">
        <v>816</v>
      </c>
      <c r="B796" s="1675" t="s">
        <v>844</v>
      </c>
      <c r="C796" s="1334"/>
      <c r="D796" s="1176">
        <f>'DMC Threads - By Number'!BH27</f>
        <v>0</v>
      </c>
      <c r="E796" s="1255"/>
    </row>
    <row r="797" spans="1:5">
      <c r="A797" s="1673" t="s">
        <v>817</v>
      </c>
      <c r="B797" s="1675" t="s">
        <v>845</v>
      </c>
      <c r="C797" s="1335"/>
      <c r="D797" s="1176">
        <f>'DMC Threads - By Number'!BH28</f>
        <v>0</v>
      </c>
      <c r="E797" s="1255"/>
    </row>
    <row r="798" spans="1:5">
      <c r="A798" s="1673" t="s">
        <v>818</v>
      </c>
      <c r="B798" s="1675" t="s">
        <v>846</v>
      </c>
      <c r="C798" s="1339"/>
      <c r="D798" s="1176">
        <f>'DMC Threads - By Number'!BH29</f>
        <v>0</v>
      </c>
      <c r="E798" s="1255"/>
    </row>
    <row r="799" spans="1:5">
      <c r="A799" s="1673" t="s">
        <v>877</v>
      </c>
      <c r="B799" s="1675" t="s">
        <v>899</v>
      </c>
      <c r="C799" s="1708"/>
      <c r="D799" s="1176">
        <f>'DMC Threads - By Number'!BH30</f>
        <v>0</v>
      </c>
      <c r="E799" s="1255"/>
    </row>
    <row r="800" spans="1:5">
      <c r="A800" s="1673" t="s">
        <v>878</v>
      </c>
      <c r="B800" s="1675" t="s">
        <v>900</v>
      </c>
      <c r="C800" s="1709"/>
      <c r="D800" s="1176">
        <f>'DMC Threads - By Number'!BH31</f>
        <v>0</v>
      </c>
      <c r="E800" s="1255"/>
    </row>
    <row r="801" spans="1:5">
      <c r="A801" s="1673" t="s">
        <v>819</v>
      </c>
      <c r="B801" s="1675" t="s">
        <v>847</v>
      </c>
      <c r="C801" s="1358"/>
      <c r="D801" s="1176">
        <f>'DMC Threads - By Number'!BH32</f>
        <v>0</v>
      </c>
      <c r="E801" s="1255"/>
    </row>
    <row r="802" spans="1:5">
      <c r="A802" s="1673" t="s">
        <v>879</v>
      </c>
      <c r="B802" s="1174" t="s">
        <v>912</v>
      </c>
      <c r="C802" s="1360"/>
      <c r="D802" s="1176">
        <f>'DMC Threads - By Number'!BH33</f>
        <v>0</v>
      </c>
      <c r="E802" s="1255"/>
    </row>
    <row r="803" spans="1:5">
      <c r="A803" s="1673" t="s">
        <v>880</v>
      </c>
      <c r="B803" s="1174" t="s">
        <v>913</v>
      </c>
      <c r="C803" s="1363"/>
      <c r="D803" s="1176">
        <f>'DMC Threads - By Number'!BH34</f>
        <v>0</v>
      </c>
      <c r="E803" s="1255"/>
    </row>
    <row r="804" spans="1:5">
      <c r="A804" s="1673" t="s">
        <v>881</v>
      </c>
      <c r="B804" s="1174" t="s">
        <v>911</v>
      </c>
      <c r="C804" s="1370"/>
      <c r="D804" s="1176">
        <f>'DMC Threads - By Number'!BH35</f>
        <v>0</v>
      </c>
      <c r="E804" s="1255"/>
    </row>
    <row r="805" spans="1:5">
      <c r="A805" s="1673" t="s">
        <v>882</v>
      </c>
      <c r="B805" s="1675" t="s">
        <v>910</v>
      </c>
      <c r="C805" s="1710"/>
      <c r="D805" s="1176">
        <f>'DMC Threads - By Number'!BH36</f>
        <v>0</v>
      </c>
      <c r="E805" s="1255"/>
    </row>
    <row r="806" spans="1:5">
      <c r="A806" s="1673" t="s">
        <v>883</v>
      </c>
      <c r="B806" s="1675" t="s">
        <v>909</v>
      </c>
      <c r="C806" s="1711"/>
      <c r="D806" s="1176">
        <f>'DMC Threads - By Number'!BH37</f>
        <v>0</v>
      </c>
      <c r="E806" s="1255"/>
    </row>
    <row r="807" spans="1:5">
      <c r="A807" s="1673" t="s">
        <v>820</v>
      </c>
      <c r="B807" s="1675" t="s">
        <v>848</v>
      </c>
      <c r="C807" s="1382"/>
      <c r="D807" s="1176">
        <f>'DMC Threads - By Number'!BH38</f>
        <v>0</v>
      </c>
      <c r="E807" s="1255"/>
    </row>
    <row r="808" spans="1:5">
      <c r="A808" s="1673" t="s">
        <v>884</v>
      </c>
      <c r="B808" s="1174" t="s">
        <v>907</v>
      </c>
      <c r="C808" s="1385"/>
      <c r="D808" s="1176">
        <f>'DMC Threads - By Number'!BH39</f>
        <v>0</v>
      </c>
      <c r="E808" s="1255"/>
    </row>
    <row r="809" spans="1:5">
      <c r="A809" s="1673" t="s">
        <v>885</v>
      </c>
      <c r="B809" s="1174" t="s">
        <v>908</v>
      </c>
      <c r="C809" s="1386"/>
      <c r="D809" s="1176">
        <f>'DMC Threads - By Number'!BH40</f>
        <v>0</v>
      </c>
      <c r="E809" s="1255"/>
    </row>
    <row r="810" spans="1:5">
      <c r="A810" s="1673" t="s">
        <v>866</v>
      </c>
      <c r="B810" s="1675" t="s">
        <v>840</v>
      </c>
      <c r="C810" s="1393"/>
      <c r="D810" s="1176">
        <f>'DMC Threads - By Number'!BH41</f>
        <v>0</v>
      </c>
      <c r="E810" s="1255"/>
    </row>
    <row r="811" spans="1:5">
      <c r="A811" s="1673" t="s">
        <v>886</v>
      </c>
      <c r="B811" s="1174" t="s">
        <v>906</v>
      </c>
      <c r="C811" s="1396"/>
      <c r="D811" s="1176">
        <f>'DMC Threads - By Number'!BH42</f>
        <v>0</v>
      </c>
      <c r="E811" s="1255"/>
    </row>
    <row r="812" spans="1:5">
      <c r="A812" s="1673" t="s">
        <v>887</v>
      </c>
      <c r="B812" s="1675" t="s">
        <v>853</v>
      </c>
      <c r="C812" s="1409"/>
      <c r="D812" s="1176">
        <f>'DMC Threads - By Number'!BH43</f>
        <v>0</v>
      </c>
      <c r="E812" s="1255"/>
    </row>
    <row r="813" spans="1:5">
      <c r="A813" s="1673" t="s">
        <v>821</v>
      </c>
      <c r="B813" s="1675" t="s">
        <v>850</v>
      </c>
      <c r="C813" s="1410"/>
      <c r="D813" s="1176">
        <f>'DMC Threads - By Number'!BH44</f>
        <v>0</v>
      </c>
      <c r="E813" s="1255"/>
    </row>
    <row r="814" spans="1:5">
      <c r="A814" s="1673" t="s">
        <v>822</v>
      </c>
      <c r="B814" s="1675" t="s">
        <v>849</v>
      </c>
      <c r="C814" s="1411"/>
      <c r="D814" s="1176">
        <f>'DMC Threads - By Number'!BH45</f>
        <v>0</v>
      </c>
      <c r="E814" s="1255"/>
    </row>
    <row r="815" spans="1:5">
      <c r="A815" s="1673" t="s">
        <v>823</v>
      </c>
      <c r="B815" s="1675" t="s">
        <v>851</v>
      </c>
      <c r="C815" s="1412"/>
      <c r="D815" s="1176">
        <f>'DMC Threads - By Number'!BH46</f>
        <v>0</v>
      </c>
      <c r="E815" s="1255"/>
    </row>
    <row r="816" spans="1:5">
      <c r="A816" s="1673" t="s">
        <v>824</v>
      </c>
      <c r="B816" s="1675" t="s">
        <v>852</v>
      </c>
      <c r="C816" s="1422"/>
      <c r="D816" s="1176">
        <f>'DMC Threads - By Number'!BH47</f>
        <v>0</v>
      </c>
      <c r="E816" s="1255"/>
    </row>
    <row r="817" spans="1:5">
      <c r="A817" s="1673" t="s">
        <v>825</v>
      </c>
      <c r="B817" s="1675" t="s">
        <v>905</v>
      </c>
      <c r="C817" s="1425"/>
      <c r="D817" s="1176">
        <f>'DMC Threads - By Number'!BH48</f>
        <v>0</v>
      </c>
      <c r="E817" s="1255"/>
    </row>
    <row r="818" spans="1:5">
      <c r="A818" s="1673" t="s">
        <v>826</v>
      </c>
      <c r="B818" s="1675" t="s">
        <v>854</v>
      </c>
      <c r="C818" s="1442"/>
      <c r="D818" s="1176">
        <f>'DMC Threads - By Number'!BH49</f>
        <v>0</v>
      </c>
      <c r="E818" s="1255"/>
    </row>
    <row r="819" spans="1:5">
      <c r="A819" s="1673" t="s">
        <v>827</v>
      </c>
      <c r="B819" s="1675" t="s">
        <v>855</v>
      </c>
      <c r="C819" s="1453"/>
      <c r="D819" s="1176">
        <f>'DMC Threads - By Number'!BH50</f>
        <v>0</v>
      </c>
      <c r="E819" s="1255"/>
    </row>
    <row r="820" spans="1:5">
      <c r="A820" s="1673" t="s">
        <v>828</v>
      </c>
      <c r="B820" s="1675" t="s">
        <v>835</v>
      </c>
      <c r="C820" s="1454"/>
      <c r="D820" s="1176">
        <f>'DMC Threads - By Number'!BH51</f>
        <v>0</v>
      </c>
      <c r="E820" s="1255"/>
    </row>
    <row r="821" spans="1:5">
      <c r="A821" s="1673" t="s">
        <v>872</v>
      </c>
      <c r="B821" s="1675" t="s">
        <v>870</v>
      </c>
      <c r="C821" s="1712"/>
      <c r="D821" s="1176">
        <f>'DMC Threads - By Number'!BH52</f>
        <v>0</v>
      </c>
      <c r="E821" s="1255"/>
    </row>
    <row r="822" spans="1:5">
      <c r="A822" s="1256" t="s">
        <v>61</v>
      </c>
      <c r="B822" s="1257" t="s">
        <v>0</v>
      </c>
      <c r="C822" s="1258" t="s">
        <v>1</v>
      </c>
      <c r="D822" s="1258" t="s">
        <v>243</v>
      </c>
      <c r="E822" s="1258" t="s">
        <v>1741</v>
      </c>
    </row>
    <row r="823" spans="1:5">
      <c r="A823" s="1673" t="s">
        <v>888</v>
      </c>
      <c r="B823" s="1675" t="s">
        <v>904</v>
      </c>
      <c r="C823" s="1713"/>
      <c r="D823" s="1176">
        <f>'DMC Threads - By Number'!BH53</f>
        <v>0</v>
      </c>
      <c r="E823" s="1255"/>
    </row>
    <row r="824" spans="1:5">
      <c r="A824" s="1673" t="s">
        <v>829</v>
      </c>
      <c r="B824" s="1675" t="s">
        <v>856</v>
      </c>
      <c r="C824" s="1478"/>
      <c r="D824" s="1176">
        <f>'DMC Threads - By Number'!BH54</f>
        <v>0</v>
      </c>
      <c r="E824" s="1255"/>
    </row>
    <row r="825" spans="1:5">
      <c r="A825" s="1673" t="s">
        <v>889</v>
      </c>
      <c r="B825" s="1675" t="s">
        <v>903</v>
      </c>
      <c r="C825" s="1714"/>
      <c r="D825" s="1176">
        <f>'DMC Threads - By Number'!BH55</f>
        <v>0</v>
      </c>
      <c r="E825" s="1255"/>
    </row>
    <row r="826" spans="1:5">
      <c r="A826" s="1673" t="s">
        <v>830</v>
      </c>
      <c r="B826" s="1675" t="s">
        <v>857</v>
      </c>
      <c r="C826" s="1486"/>
      <c r="D826" s="1176">
        <f>'DMC Threads - By Number'!BH56</f>
        <v>0</v>
      </c>
      <c r="E826" s="1255"/>
    </row>
    <row r="827" spans="1:5">
      <c r="A827" s="1673" t="s">
        <v>831</v>
      </c>
      <c r="B827" s="1675" t="s">
        <v>858</v>
      </c>
      <c r="C827" s="1498"/>
      <c r="D827" s="1176">
        <f>'DMC Threads - By Number'!BH57</f>
        <v>0</v>
      </c>
      <c r="E827" s="1255"/>
    </row>
    <row r="828" spans="1:5">
      <c r="A828" s="1673" t="s">
        <v>890</v>
      </c>
      <c r="B828" s="1675" t="s">
        <v>902</v>
      </c>
      <c r="C828" s="1715"/>
      <c r="D828" s="1176">
        <f>'DMC Threads - By Number'!BH58</f>
        <v>0</v>
      </c>
      <c r="E828" s="1255"/>
    </row>
    <row r="829" spans="1:5">
      <c r="A829" s="1673" t="s">
        <v>832</v>
      </c>
      <c r="B829" s="1675" t="s">
        <v>859</v>
      </c>
      <c r="C829" s="1511"/>
      <c r="D829" s="1176">
        <f>'DMC Threads - By Number'!BH59</f>
        <v>0</v>
      </c>
      <c r="E829" s="1255"/>
    </row>
    <row r="830" spans="1:5">
      <c r="A830" s="1673" t="s">
        <v>833</v>
      </c>
      <c r="B830" s="1675" t="s">
        <v>860</v>
      </c>
      <c r="C830" s="1517"/>
      <c r="D830" s="1176">
        <f>'DMC Threads - By Number'!BH60</f>
        <v>0</v>
      </c>
      <c r="E830" s="1255"/>
    </row>
    <row r="831" spans="1:5">
      <c r="A831" s="1673" t="s">
        <v>834</v>
      </c>
      <c r="B831" s="1675" t="s">
        <v>861</v>
      </c>
      <c r="C831" s="1520"/>
      <c r="D831" s="1176">
        <f>'DMC Threads - By Number'!BH61</f>
        <v>0</v>
      </c>
      <c r="E831" s="1255"/>
    </row>
    <row r="832" spans="1:5">
      <c r="A832" s="1673" t="s">
        <v>867</v>
      </c>
      <c r="B832" s="1675" t="s">
        <v>868</v>
      </c>
      <c r="C832" s="1557"/>
      <c r="D832" s="1176">
        <f>'DMC Threads - By Number'!BH62</f>
        <v>0</v>
      </c>
      <c r="E832" s="1255"/>
    </row>
    <row r="833" spans="1:5">
      <c r="A833" s="1673" t="s">
        <v>891</v>
      </c>
      <c r="B833" s="1675" t="s">
        <v>901</v>
      </c>
      <c r="C833" s="1716"/>
      <c r="D833" s="1176">
        <f>'DMC Threads - By Number'!BH63</f>
        <v>0</v>
      </c>
      <c r="E833" s="1255"/>
    </row>
    <row r="834" spans="1:5">
      <c r="A834" s="1673" t="s">
        <v>806</v>
      </c>
      <c r="B834" s="1675" t="s">
        <v>862</v>
      </c>
      <c r="C834" s="1562"/>
      <c r="D834" s="1176">
        <f>'DMC Threads - By Number'!BH64</f>
        <v>0</v>
      </c>
      <c r="E834" s="1255"/>
    </row>
    <row r="835" spans="1:5">
      <c r="A835" s="1673" t="s">
        <v>807</v>
      </c>
      <c r="B835" s="1675" t="s">
        <v>863</v>
      </c>
      <c r="C835" s="1619"/>
      <c r="D835" s="1176">
        <f>'DMC Threads - By Number'!BH65</f>
        <v>0</v>
      </c>
      <c r="E835" s="1255"/>
    </row>
  </sheetData>
  <sheetProtection algorithmName="SHA-512" hashValue="N6o4TUNWVFh4UZN3Iv6Xdzrr8gdkkLONwawlqP3+5j8tomprJ9wIXBjPfM0mD9YFEM12VzVRka8oYlcavS/ltw==" saltValue="rCJ5F16TzR+cpRsoHSNJIA==" spinCount="100000" sheet="1" objects="1" scenarios="1"/>
  <pageMargins left="0.7" right="0.7" top="0.75" bottom="0.75" header="0.3" footer="0.3"/>
  <pageSetup paperSize="9" orientation="portrait" r:id="rId1"/>
  <headerFooter>
    <oddHeader>&amp;CDMC COLOR CHART INVENTORY SHEETS</oddHeader>
    <oddFooter>&amp;L&amp;"Calibri (Body)_x0000_,Regular"&amp;8By Lord Libidan&amp;R&amp;"Calibri (Body)_x0000_,Regular"&amp;9Page 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BEB9-C66D-404D-8E09-60D3B5F7A1D1}">
  <sheetPr>
    <tabColor theme="6"/>
  </sheetPr>
  <dimension ref="A1:E835"/>
  <sheetViews>
    <sheetView showRuler="0" view="pageLayout" zoomScaleNormal="100" workbookViewId="0">
      <selection activeCell="D2" sqref="D2"/>
    </sheetView>
  </sheetViews>
  <sheetFormatPr baseColWidth="10" defaultColWidth="11.1640625" defaultRowHeight="16"/>
  <cols>
    <col min="1" max="1" width="8.33203125" customWidth="1"/>
    <col min="2" max="2" width="27.5" customWidth="1"/>
    <col min="3" max="3" width="9.5" customWidth="1"/>
    <col min="4" max="4" width="10.1640625" customWidth="1"/>
    <col min="5" max="5" width="25" customWidth="1"/>
  </cols>
  <sheetData>
    <row r="1" spans="1:5" ht="15" customHeight="1">
      <c r="A1" s="1256" t="s">
        <v>61</v>
      </c>
      <c r="B1" s="1647" t="s">
        <v>0</v>
      </c>
      <c r="C1" s="1256" t="s">
        <v>1</v>
      </c>
      <c r="D1" s="1256" t="s">
        <v>243</v>
      </c>
      <c r="E1" s="1256" t="s">
        <v>1741</v>
      </c>
    </row>
    <row r="2" spans="1:5" ht="15" customHeight="1">
      <c r="A2" s="1173" t="s">
        <v>44</v>
      </c>
      <c r="B2" s="1173" t="s">
        <v>45</v>
      </c>
      <c r="C2" s="1175"/>
      <c r="D2" s="1176"/>
      <c r="E2" s="1255"/>
    </row>
    <row r="3" spans="1:5" ht="15" customHeight="1">
      <c r="A3" s="1173" t="s">
        <v>962</v>
      </c>
      <c r="B3" s="1173" t="s">
        <v>46</v>
      </c>
      <c r="C3" s="1177"/>
      <c r="D3" s="1176"/>
      <c r="E3" s="1255"/>
    </row>
    <row r="4" spans="1:5" ht="15" customHeight="1">
      <c r="A4" s="1173" t="s">
        <v>961</v>
      </c>
      <c r="B4" s="1173" t="s">
        <v>46</v>
      </c>
      <c r="C4" s="1177"/>
      <c r="D4" s="1176"/>
      <c r="E4" s="1255"/>
    </row>
    <row r="5" spans="1:5" ht="15" customHeight="1">
      <c r="A5" s="1173" t="s">
        <v>47</v>
      </c>
      <c r="B5" s="1173" t="s">
        <v>48</v>
      </c>
      <c r="C5" s="1178"/>
      <c r="D5" s="1176"/>
      <c r="E5" s="1255"/>
    </row>
    <row r="6" spans="1:5" ht="15" customHeight="1">
      <c r="A6" s="1173">
        <v>1</v>
      </c>
      <c r="B6" s="1173" t="s">
        <v>118</v>
      </c>
      <c r="C6" s="1179"/>
      <c r="D6" s="1176"/>
      <c r="E6" s="1255"/>
    </row>
    <row r="7" spans="1:5" ht="15" customHeight="1">
      <c r="A7" s="1173">
        <v>2</v>
      </c>
      <c r="B7" s="1173" t="s">
        <v>119</v>
      </c>
      <c r="C7" s="1180"/>
      <c r="D7" s="1176"/>
      <c r="E7" s="1255"/>
    </row>
    <row r="8" spans="1:5" ht="15" customHeight="1">
      <c r="A8" s="1173">
        <v>3</v>
      </c>
      <c r="B8" s="1173" t="s">
        <v>720</v>
      </c>
      <c r="C8" s="1181"/>
      <c r="D8" s="1176"/>
      <c r="E8" s="1255"/>
    </row>
    <row r="9" spans="1:5" ht="15" customHeight="1">
      <c r="A9" s="1173">
        <v>4</v>
      </c>
      <c r="B9" s="1173" t="s">
        <v>719</v>
      </c>
      <c r="C9" s="1182"/>
      <c r="D9" s="1176"/>
      <c r="E9" s="1255"/>
    </row>
    <row r="10" spans="1:5" ht="15" customHeight="1">
      <c r="A10" s="1173">
        <v>5</v>
      </c>
      <c r="B10" s="1173" t="s">
        <v>718</v>
      </c>
      <c r="C10" s="1183"/>
      <c r="D10" s="1176"/>
      <c r="E10" s="1255"/>
    </row>
    <row r="11" spans="1:5" ht="15" customHeight="1">
      <c r="A11" s="1173">
        <v>6</v>
      </c>
      <c r="B11" s="1173" t="s">
        <v>717</v>
      </c>
      <c r="C11" s="1184"/>
      <c r="D11" s="1176"/>
      <c r="E11" s="1255"/>
    </row>
    <row r="12" spans="1:5" ht="15" customHeight="1">
      <c r="A12" s="1173">
        <v>7</v>
      </c>
      <c r="B12" s="1173" t="s">
        <v>691</v>
      </c>
      <c r="C12" s="1185"/>
      <c r="D12" s="1176"/>
      <c r="E12" s="1255"/>
    </row>
    <row r="13" spans="1:5" ht="15" customHeight="1">
      <c r="A13" s="1173">
        <v>8</v>
      </c>
      <c r="B13" s="1173" t="s">
        <v>716</v>
      </c>
      <c r="C13" s="1186"/>
      <c r="D13" s="1176"/>
      <c r="E13" s="1255"/>
    </row>
    <row r="14" spans="1:5" ht="15" customHeight="1">
      <c r="A14" s="1173">
        <v>9</v>
      </c>
      <c r="B14" s="1173" t="s">
        <v>715</v>
      </c>
      <c r="C14" s="1187"/>
      <c r="D14" s="1176"/>
      <c r="E14" s="1255"/>
    </row>
    <row r="15" spans="1:5" ht="15" customHeight="1">
      <c r="A15" s="1173">
        <v>10</v>
      </c>
      <c r="B15" s="1173" t="s">
        <v>714</v>
      </c>
      <c r="C15" s="1188"/>
      <c r="D15" s="1176"/>
      <c r="E15" s="1255"/>
    </row>
    <row r="16" spans="1:5" ht="15" customHeight="1">
      <c r="A16" s="1173">
        <v>11</v>
      </c>
      <c r="B16" s="1173" t="s">
        <v>695</v>
      </c>
      <c r="C16" s="1189"/>
      <c r="D16" s="1176"/>
      <c r="E16" s="1255"/>
    </row>
    <row r="17" spans="1:5" ht="15" customHeight="1">
      <c r="A17" s="1173">
        <v>12</v>
      </c>
      <c r="B17" s="1173" t="s">
        <v>120</v>
      </c>
      <c r="C17" s="1190"/>
      <c r="D17" s="1176"/>
      <c r="E17" s="1255"/>
    </row>
    <row r="18" spans="1:5" ht="15" customHeight="1">
      <c r="A18" s="1173">
        <v>13</v>
      </c>
      <c r="B18" s="1173" t="s">
        <v>694</v>
      </c>
      <c r="C18" s="1191"/>
      <c r="D18" s="1176"/>
      <c r="E18" s="1255"/>
    </row>
    <row r="19" spans="1:5" ht="15" customHeight="1">
      <c r="A19" s="1173">
        <v>14</v>
      </c>
      <c r="B19" s="1173" t="s">
        <v>696</v>
      </c>
      <c r="C19" s="1192"/>
      <c r="D19" s="1176"/>
      <c r="E19" s="1255"/>
    </row>
    <row r="20" spans="1:5" ht="15" customHeight="1">
      <c r="A20" s="1173">
        <v>15</v>
      </c>
      <c r="B20" s="1173" t="s">
        <v>121</v>
      </c>
      <c r="C20" s="1193"/>
      <c r="D20" s="1176"/>
      <c r="E20" s="1255"/>
    </row>
    <row r="21" spans="1:5" ht="15" customHeight="1">
      <c r="A21" s="1173">
        <v>16</v>
      </c>
      <c r="B21" s="1173" t="s">
        <v>693</v>
      </c>
      <c r="C21" s="1194"/>
      <c r="D21" s="1176"/>
      <c r="E21" s="1255"/>
    </row>
    <row r="22" spans="1:5" ht="15" customHeight="1">
      <c r="A22" s="1173">
        <v>17</v>
      </c>
      <c r="B22" s="1173" t="s">
        <v>692</v>
      </c>
      <c r="C22" s="1195"/>
      <c r="D22" s="1176"/>
      <c r="E22" s="1255"/>
    </row>
    <row r="23" spans="1:5" ht="15" customHeight="1">
      <c r="A23" s="1173">
        <v>18</v>
      </c>
      <c r="B23" s="1173" t="s">
        <v>122</v>
      </c>
      <c r="C23" s="1196"/>
      <c r="D23" s="1176"/>
      <c r="E23" s="1255"/>
    </row>
    <row r="24" spans="1:5" ht="15" customHeight="1">
      <c r="A24" s="1173">
        <v>19</v>
      </c>
      <c r="B24" s="1173" t="s">
        <v>713</v>
      </c>
      <c r="C24" s="1197"/>
      <c r="D24" s="1176"/>
      <c r="E24" s="1255"/>
    </row>
    <row r="25" spans="1:5" ht="15" customHeight="1">
      <c r="A25" s="1173">
        <v>20</v>
      </c>
      <c r="B25" s="1173" t="s">
        <v>123</v>
      </c>
      <c r="C25" s="1198"/>
      <c r="D25" s="1176"/>
      <c r="E25" s="1255"/>
    </row>
    <row r="26" spans="1:5" ht="15" customHeight="1">
      <c r="A26" s="1173">
        <v>21</v>
      </c>
      <c r="B26" s="1173" t="s">
        <v>712</v>
      </c>
      <c r="C26" s="1199"/>
      <c r="D26" s="1176"/>
      <c r="E26" s="1255"/>
    </row>
    <row r="27" spans="1:5" ht="15" customHeight="1">
      <c r="A27" s="1173">
        <v>22</v>
      </c>
      <c r="B27" s="1173" t="s">
        <v>124</v>
      </c>
      <c r="C27" s="1200"/>
      <c r="D27" s="1176"/>
      <c r="E27" s="1255"/>
    </row>
    <row r="28" spans="1:5" ht="15" customHeight="1">
      <c r="A28" s="1173">
        <v>23</v>
      </c>
      <c r="B28" s="1173" t="s">
        <v>125</v>
      </c>
      <c r="C28" s="1201"/>
      <c r="D28" s="1176"/>
      <c r="E28" s="1255"/>
    </row>
    <row r="29" spans="1:5" ht="15" customHeight="1">
      <c r="A29" s="1173">
        <v>24</v>
      </c>
      <c r="B29" s="1173" t="s">
        <v>126</v>
      </c>
      <c r="C29" s="1202"/>
      <c r="D29" s="1176"/>
      <c r="E29" s="1255"/>
    </row>
    <row r="30" spans="1:5" ht="15" customHeight="1">
      <c r="A30" s="1173">
        <v>25</v>
      </c>
      <c r="B30" s="1173" t="s">
        <v>711</v>
      </c>
      <c r="C30" s="1203"/>
      <c r="D30" s="1176"/>
      <c r="E30" s="1255"/>
    </row>
    <row r="31" spans="1:5" ht="15" customHeight="1">
      <c r="A31" s="1173">
        <v>26</v>
      </c>
      <c r="B31" s="1173" t="s">
        <v>710</v>
      </c>
      <c r="C31" s="1204"/>
      <c r="D31" s="1176"/>
      <c r="E31" s="1255"/>
    </row>
    <row r="32" spans="1:5" ht="15" customHeight="1">
      <c r="A32" s="1173">
        <v>27</v>
      </c>
      <c r="B32" s="1173" t="s">
        <v>127</v>
      </c>
      <c r="C32" s="1205"/>
      <c r="D32" s="1176"/>
      <c r="E32" s="1255"/>
    </row>
    <row r="33" spans="1:5" ht="15" customHeight="1">
      <c r="A33" s="1173">
        <v>28</v>
      </c>
      <c r="B33" s="1173" t="s">
        <v>709</v>
      </c>
      <c r="C33" s="1206"/>
      <c r="D33" s="1176"/>
      <c r="E33" s="1255"/>
    </row>
    <row r="34" spans="1:5" ht="15" customHeight="1">
      <c r="A34" s="1173">
        <v>29</v>
      </c>
      <c r="B34" s="1173" t="s">
        <v>128</v>
      </c>
      <c r="C34" s="1207"/>
      <c r="D34" s="1176"/>
      <c r="E34" s="1255"/>
    </row>
    <row r="35" spans="1:5" ht="15" customHeight="1">
      <c r="A35" s="1173">
        <v>30</v>
      </c>
      <c r="B35" s="1173" t="s">
        <v>708</v>
      </c>
      <c r="C35" s="1208"/>
      <c r="D35" s="1176"/>
      <c r="E35" s="1255"/>
    </row>
    <row r="36" spans="1:5" ht="15" customHeight="1">
      <c r="A36" s="1173">
        <v>31</v>
      </c>
      <c r="B36" s="1173" t="s">
        <v>129</v>
      </c>
      <c r="C36" s="1209"/>
      <c r="D36" s="1176"/>
      <c r="E36" s="1255"/>
    </row>
    <row r="37" spans="1:5" ht="15" customHeight="1">
      <c r="A37" s="1173">
        <v>32</v>
      </c>
      <c r="B37" s="1173" t="s">
        <v>707</v>
      </c>
      <c r="C37" s="1210"/>
      <c r="D37" s="1176"/>
      <c r="E37" s="1255"/>
    </row>
    <row r="38" spans="1:5" ht="15" customHeight="1">
      <c r="A38" s="1173">
        <v>33</v>
      </c>
      <c r="B38" s="1173" t="s">
        <v>130</v>
      </c>
      <c r="C38" s="1211"/>
      <c r="D38" s="1176"/>
      <c r="E38" s="1255"/>
    </row>
    <row r="39" spans="1:5" ht="15" customHeight="1">
      <c r="A39" s="1173">
        <v>34</v>
      </c>
      <c r="B39" s="1173" t="s">
        <v>706</v>
      </c>
      <c r="C39" s="1212"/>
      <c r="D39" s="1176"/>
      <c r="E39" s="1255"/>
    </row>
    <row r="40" spans="1:5" ht="15" customHeight="1">
      <c r="A40" s="1173">
        <v>35</v>
      </c>
      <c r="B40" s="1173" t="s">
        <v>705</v>
      </c>
      <c r="C40" s="1213"/>
      <c r="D40" s="1176"/>
      <c r="E40" s="1255"/>
    </row>
    <row r="41" spans="1:5" ht="15" customHeight="1">
      <c r="A41" s="1173">
        <v>150</v>
      </c>
      <c r="B41" s="1173" t="s">
        <v>456</v>
      </c>
      <c r="C41" s="1214"/>
      <c r="D41" s="1176"/>
      <c r="E41" s="1255"/>
    </row>
    <row r="42" spans="1:5" ht="15" customHeight="1">
      <c r="A42" s="1173">
        <v>151</v>
      </c>
      <c r="B42" s="1173" t="s">
        <v>50</v>
      </c>
      <c r="C42" s="1215"/>
      <c r="D42" s="1176"/>
      <c r="E42" s="1255"/>
    </row>
    <row r="43" spans="1:5" ht="15" customHeight="1">
      <c r="A43" s="1173">
        <v>152</v>
      </c>
      <c r="B43" s="1173" t="s">
        <v>369</v>
      </c>
      <c r="C43" s="1216"/>
      <c r="D43" s="1176"/>
      <c r="E43" s="1255"/>
    </row>
    <row r="44" spans="1:5" ht="15" customHeight="1">
      <c r="A44" s="1173">
        <v>153</v>
      </c>
      <c r="B44" s="1173" t="s">
        <v>52</v>
      </c>
      <c r="C44" s="1217"/>
      <c r="D44" s="1176"/>
      <c r="E44" s="1255"/>
    </row>
    <row r="45" spans="1:5" ht="15" customHeight="1">
      <c r="A45" s="1173">
        <v>154</v>
      </c>
      <c r="B45" s="1173" t="s">
        <v>440</v>
      </c>
      <c r="C45" s="1218"/>
      <c r="D45" s="1176"/>
      <c r="E45" s="1255"/>
    </row>
    <row r="46" spans="1:5" ht="15" customHeight="1">
      <c r="A46" s="1173">
        <v>155</v>
      </c>
      <c r="B46" s="1173" t="s">
        <v>53</v>
      </c>
      <c r="C46" s="1219"/>
      <c r="D46" s="1176"/>
      <c r="E46" s="1255"/>
    </row>
    <row r="47" spans="1:5" ht="15" customHeight="1">
      <c r="A47" s="1173">
        <v>156</v>
      </c>
      <c r="B47" s="1173" t="s">
        <v>469</v>
      </c>
      <c r="C47" s="1220"/>
      <c r="D47" s="1176"/>
      <c r="E47" s="1255"/>
    </row>
    <row r="48" spans="1:5" ht="15" customHeight="1">
      <c r="A48" s="1173">
        <v>157</v>
      </c>
      <c r="B48" s="1173" t="s">
        <v>612</v>
      </c>
      <c r="C48" s="1221"/>
      <c r="D48" s="1176"/>
      <c r="E48" s="1255"/>
    </row>
    <row r="49" spans="1:5" ht="15" customHeight="1">
      <c r="A49" s="1173">
        <v>158</v>
      </c>
      <c r="B49" s="1173" t="s">
        <v>377</v>
      </c>
      <c r="C49" s="1222"/>
      <c r="D49" s="1176"/>
      <c r="E49" s="1255"/>
    </row>
    <row r="50" spans="1:5" ht="15" customHeight="1">
      <c r="A50" s="1173">
        <v>159</v>
      </c>
      <c r="B50" s="1173" t="s">
        <v>633</v>
      </c>
      <c r="C50" s="1223"/>
      <c r="D50" s="1176"/>
      <c r="E50" s="1255"/>
    </row>
    <row r="51" spans="1:5" ht="15" customHeight="1">
      <c r="A51" s="1173">
        <v>160</v>
      </c>
      <c r="B51" s="1173" t="s">
        <v>517</v>
      </c>
      <c r="C51" s="1224"/>
      <c r="D51" s="1176"/>
      <c r="E51" s="1255"/>
    </row>
    <row r="52" spans="1:5" ht="15" customHeight="1">
      <c r="A52" s="1173">
        <v>161</v>
      </c>
      <c r="B52" s="1173" t="s">
        <v>379</v>
      </c>
      <c r="C52" s="1225"/>
      <c r="D52" s="1176"/>
      <c r="E52" s="1255"/>
    </row>
    <row r="53" spans="1:5" ht="15" customHeight="1">
      <c r="A53" s="1256" t="s">
        <v>61</v>
      </c>
      <c r="B53" s="1647" t="s">
        <v>0</v>
      </c>
      <c r="C53" s="1256" t="s">
        <v>1</v>
      </c>
      <c r="D53" s="1256" t="s">
        <v>243</v>
      </c>
      <c r="E53" s="1256" t="s">
        <v>1741</v>
      </c>
    </row>
    <row r="54" spans="1:5" ht="15" customHeight="1">
      <c r="A54" s="1173">
        <v>162</v>
      </c>
      <c r="B54" s="1173" t="s">
        <v>595</v>
      </c>
      <c r="C54" s="1226"/>
      <c r="D54" s="1176"/>
      <c r="E54" s="1255"/>
    </row>
    <row r="55" spans="1:5" ht="15" customHeight="1">
      <c r="A55" s="1173">
        <v>163</v>
      </c>
      <c r="B55" s="1173" t="s">
        <v>55</v>
      </c>
      <c r="C55" s="1227"/>
      <c r="D55" s="1176"/>
      <c r="E55" s="1255"/>
    </row>
    <row r="56" spans="1:5" ht="15" customHeight="1">
      <c r="A56" s="1173">
        <v>164</v>
      </c>
      <c r="B56" s="1173" t="s">
        <v>584</v>
      </c>
      <c r="C56" s="1228"/>
      <c r="D56" s="1176"/>
      <c r="E56" s="1255"/>
    </row>
    <row r="57" spans="1:5" ht="15" customHeight="1">
      <c r="A57" s="1173">
        <v>165</v>
      </c>
      <c r="B57" s="1173" t="s">
        <v>457</v>
      </c>
      <c r="C57" s="1229"/>
      <c r="D57" s="1176"/>
      <c r="E57" s="1255"/>
    </row>
    <row r="58" spans="1:5">
      <c r="A58" s="1173">
        <v>166</v>
      </c>
      <c r="B58" s="1173" t="s">
        <v>56</v>
      </c>
      <c r="C58" s="1230"/>
      <c r="D58" s="1176"/>
      <c r="E58" s="1255"/>
    </row>
    <row r="59" spans="1:5">
      <c r="A59" s="1173">
        <v>167</v>
      </c>
      <c r="B59" s="1173" t="s">
        <v>57</v>
      </c>
      <c r="C59" s="1231"/>
      <c r="D59" s="1176"/>
      <c r="E59" s="1255"/>
    </row>
    <row r="60" spans="1:5">
      <c r="A60" s="1173">
        <v>168</v>
      </c>
      <c r="B60" s="1173" t="s">
        <v>59</v>
      </c>
      <c r="C60" s="1232"/>
      <c r="D60" s="1176"/>
      <c r="E60" s="1255"/>
    </row>
    <row r="61" spans="1:5">
      <c r="A61" s="1173">
        <v>169</v>
      </c>
      <c r="B61" s="1173" t="s">
        <v>49</v>
      </c>
      <c r="C61" s="1233"/>
      <c r="D61" s="1176"/>
      <c r="E61" s="1255"/>
    </row>
    <row r="62" spans="1:5">
      <c r="A62" s="1173">
        <v>208</v>
      </c>
      <c r="B62" s="1173" t="s">
        <v>429</v>
      </c>
      <c r="C62" s="1234"/>
      <c r="D62" s="1176"/>
      <c r="E62" s="1255"/>
    </row>
    <row r="63" spans="1:5">
      <c r="A63" s="1173">
        <v>209</v>
      </c>
      <c r="B63" s="1173" t="s">
        <v>392</v>
      </c>
      <c r="C63" s="1235"/>
      <c r="D63" s="1176"/>
      <c r="E63" s="1255"/>
    </row>
    <row r="64" spans="1:5">
      <c r="A64" s="1173">
        <v>210</v>
      </c>
      <c r="B64" s="1173" t="s">
        <v>530</v>
      </c>
      <c r="C64" s="1236"/>
      <c r="D64" s="1176"/>
      <c r="E64" s="1255"/>
    </row>
    <row r="65" spans="1:5">
      <c r="A65" s="1173">
        <v>211</v>
      </c>
      <c r="B65" s="1173" t="s">
        <v>653</v>
      </c>
      <c r="C65" s="1237"/>
      <c r="D65" s="1176"/>
      <c r="E65" s="1255"/>
    </row>
    <row r="66" spans="1:5">
      <c r="A66" s="1173">
        <v>221</v>
      </c>
      <c r="B66" s="1173" t="s">
        <v>449</v>
      </c>
      <c r="C66" s="1238"/>
      <c r="D66" s="1176"/>
      <c r="E66" s="1255"/>
    </row>
    <row r="67" spans="1:5">
      <c r="A67" s="1173">
        <v>223</v>
      </c>
      <c r="B67" s="1173" t="s">
        <v>581</v>
      </c>
      <c r="C67" s="1239"/>
      <c r="D67" s="1176"/>
      <c r="E67" s="1255"/>
    </row>
    <row r="68" spans="1:5">
      <c r="A68" s="1173">
        <v>224</v>
      </c>
      <c r="B68" s="1173" t="s">
        <v>659</v>
      </c>
      <c r="C68" s="1240"/>
      <c r="D68" s="1176"/>
      <c r="E68" s="1255"/>
    </row>
    <row r="69" spans="1:5">
      <c r="A69" s="1173">
        <v>225</v>
      </c>
      <c r="B69" s="1173" t="s">
        <v>686</v>
      </c>
      <c r="C69" s="1241"/>
      <c r="D69" s="1176"/>
      <c r="E69" s="1255"/>
    </row>
    <row r="70" spans="1:5">
      <c r="A70" s="1173">
        <v>300</v>
      </c>
      <c r="B70" s="1173" t="s">
        <v>402</v>
      </c>
      <c r="C70" s="1242"/>
      <c r="D70" s="1176"/>
      <c r="E70" s="1255"/>
    </row>
    <row r="71" spans="1:5">
      <c r="A71" s="1173">
        <v>301</v>
      </c>
      <c r="B71" s="1173" t="s">
        <v>462</v>
      </c>
      <c r="C71" s="1243"/>
      <c r="D71" s="1176"/>
      <c r="E71" s="1255"/>
    </row>
    <row r="72" spans="1:5">
      <c r="A72" s="1173">
        <v>304</v>
      </c>
      <c r="B72" s="1173" t="s">
        <v>463</v>
      </c>
      <c r="C72" s="1244"/>
      <c r="D72" s="1176"/>
      <c r="E72" s="1255"/>
    </row>
    <row r="73" spans="1:5">
      <c r="A73" s="1173">
        <v>307</v>
      </c>
      <c r="B73" s="1173" t="s">
        <v>2</v>
      </c>
      <c r="C73" s="1245"/>
      <c r="D73" s="1176"/>
      <c r="E73" s="1255"/>
    </row>
    <row r="74" spans="1:5">
      <c r="A74" s="1173">
        <v>309</v>
      </c>
      <c r="B74" s="1173" t="s">
        <v>320</v>
      </c>
      <c r="C74" s="1246"/>
      <c r="D74" s="1176"/>
      <c r="E74" s="1255"/>
    </row>
    <row r="75" spans="1:5">
      <c r="A75" s="1173">
        <v>310</v>
      </c>
      <c r="B75" s="1173" t="s">
        <v>3</v>
      </c>
      <c r="C75" s="1247"/>
      <c r="D75" s="1176"/>
      <c r="E75" s="1255"/>
    </row>
    <row r="76" spans="1:5">
      <c r="A76" s="1173">
        <v>311</v>
      </c>
      <c r="B76" s="1173" t="s">
        <v>469</v>
      </c>
      <c r="C76" s="1248"/>
      <c r="D76" s="1176"/>
      <c r="E76" s="1255"/>
    </row>
    <row r="77" spans="1:5">
      <c r="A77" s="1173">
        <v>312</v>
      </c>
      <c r="B77" s="1173" t="s">
        <v>406</v>
      </c>
      <c r="C77" s="1249"/>
      <c r="D77" s="1176"/>
      <c r="E77" s="1255"/>
    </row>
    <row r="78" spans="1:5">
      <c r="A78" s="1173">
        <v>315</v>
      </c>
      <c r="B78" s="1173" t="s">
        <v>472</v>
      </c>
      <c r="C78" s="1250"/>
      <c r="D78" s="1176"/>
      <c r="E78" s="1255"/>
    </row>
    <row r="79" spans="1:5">
      <c r="A79" s="1173">
        <v>316</v>
      </c>
      <c r="B79" s="1173" t="s">
        <v>474</v>
      </c>
      <c r="C79" s="1251"/>
      <c r="D79" s="1176"/>
      <c r="E79" s="1255"/>
    </row>
    <row r="80" spans="1:5">
      <c r="A80" s="1173">
        <v>317</v>
      </c>
      <c r="B80" s="1173" t="s">
        <v>49</v>
      </c>
      <c r="C80" s="1252"/>
      <c r="D80" s="1176"/>
      <c r="E80" s="1255"/>
    </row>
    <row r="81" spans="1:5">
      <c r="A81" s="1173">
        <v>318</v>
      </c>
      <c r="B81" s="1173" t="s">
        <v>557</v>
      </c>
      <c r="C81" s="1253"/>
      <c r="D81" s="1176"/>
      <c r="E81" s="1255"/>
    </row>
    <row r="82" spans="1:5">
      <c r="A82" s="1173">
        <v>319</v>
      </c>
      <c r="B82" s="1173" t="s">
        <v>413</v>
      </c>
      <c r="C82" s="1254"/>
      <c r="D82" s="1176"/>
      <c r="E82" s="1255"/>
    </row>
    <row r="83" spans="1:5">
      <c r="A83" s="1173">
        <v>320</v>
      </c>
      <c r="B83" s="1173" t="s">
        <v>480</v>
      </c>
      <c r="C83" s="1259"/>
      <c r="D83" s="1176"/>
      <c r="E83" s="1255"/>
    </row>
    <row r="84" spans="1:5">
      <c r="A84" s="1173">
        <v>321</v>
      </c>
      <c r="B84" s="1173" t="s">
        <v>51</v>
      </c>
      <c r="C84" s="1260"/>
      <c r="D84" s="1176"/>
      <c r="E84" s="1255"/>
    </row>
    <row r="85" spans="1:5">
      <c r="A85" s="1173">
        <v>322</v>
      </c>
      <c r="B85" s="1173" t="s">
        <v>43</v>
      </c>
      <c r="C85" s="1261"/>
      <c r="D85" s="1176"/>
      <c r="E85" s="1255"/>
    </row>
    <row r="86" spans="1:5">
      <c r="A86" s="1173">
        <v>326</v>
      </c>
      <c r="B86" s="1173" t="s">
        <v>418</v>
      </c>
      <c r="C86" s="1262"/>
      <c r="D86" s="1176"/>
      <c r="E86" s="1255"/>
    </row>
    <row r="87" spans="1:5">
      <c r="A87" s="1173">
        <v>327</v>
      </c>
      <c r="B87" s="1173" t="s">
        <v>12</v>
      </c>
      <c r="C87" s="1263"/>
      <c r="D87" s="1176"/>
      <c r="E87" s="1255"/>
    </row>
    <row r="88" spans="1:5">
      <c r="A88" s="1173">
        <v>333</v>
      </c>
      <c r="B88" s="1173" t="s">
        <v>419</v>
      </c>
      <c r="C88" s="1264"/>
      <c r="D88" s="1176"/>
      <c r="E88" s="1255"/>
    </row>
    <row r="89" spans="1:5">
      <c r="A89" s="1173">
        <v>334</v>
      </c>
      <c r="B89" s="1173" t="s">
        <v>489</v>
      </c>
      <c r="C89" s="1265"/>
      <c r="D89" s="1176"/>
      <c r="E89" s="1255"/>
    </row>
    <row r="90" spans="1:5">
      <c r="A90" s="1173">
        <v>335</v>
      </c>
      <c r="B90" s="1173" t="s">
        <v>4</v>
      </c>
      <c r="C90" s="1266"/>
      <c r="D90" s="1176"/>
      <c r="E90" s="1255"/>
    </row>
    <row r="91" spans="1:5">
      <c r="A91" s="1173">
        <v>336</v>
      </c>
      <c r="B91" s="1173" t="s">
        <v>54</v>
      </c>
      <c r="C91" s="1267"/>
      <c r="D91" s="1176"/>
      <c r="E91" s="1255"/>
    </row>
    <row r="92" spans="1:5">
      <c r="A92" s="1173">
        <v>340</v>
      </c>
      <c r="B92" s="1173" t="s">
        <v>492</v>
      </c>
      <c r="C92" s="1268"/>
      <c r="D92" s="1176"/>
      <c r="E92" s="1255"/>
    </row>
    <row r="93" spans="1:5">
      <c r="A93" s="1173">
        <v>341</v>
      </c>
      <c r="B93" s="1173" t="s">
        <v>583</v>
      </c>
      <c r="C93" s="1269"/>
      <c r="D93" s="1176"/>
      <c r="E93" s="1255"/>
    </row>
    <row r="94" spans="1:5">
      <c r="A94" s="1173">
        <v>347</v>
      </c>
      <c r="B94" s="1173" t="s">
        <v>424</v>
      </c>
      <c r="C94" s="1270"/>
      <c r="D94" s="1176"/>
      <c r="E94" s="1255"/>
    </row>
    <row r="95" spans="1:5">
      <c r="A95" s="1173">
        <v>349</v>
      </c>
      <c r="B95" s="1173" t="s">
        <v>342</v>
      </c>
      <c r="C95" s="1271"/>
      <c r="D95" s="1176"/>
      <c r="E95" s="1255"/>
    </row>
    <row r="96" spans="1:5">
      <c r="A96" s="1173">
        <v>350</v>
      </c>
      <c r="B96" s="1173" t="s">
        <v>498</v>
      </c>
      <c r="C96" s="1272"/>
      <c r="D96" s="1176"/>
      <c r="E96" s="1255"/>
    </row>
    <row r="97" spans="1:5">
      <c r="A97" s="1173">
        <v>351</v>
      </c>
      <c r="B97" s="1173" t="s">
        <v>5</v>
      </c>
      <c r="C97" s="1273"/>
      <c r="D97" s="1176"/>
      <c r="E97" s="1255"/>
    </row>
    <row r="98" spans="1:5">
      <c r="A98" s="1173">
        <v>352</v>
      </c>
      <c r="B98" s="1173" t="s">
        <v>593</v>
      </c>
      <c r="C98" s="1274"/>
      <c r="D98" s="1176"/>
      <c r="E98" s="1255"/>
    </row>
    <row r="99" spans="1:5">
      <c r="A99" s="1173">
        <v>353</v>
      </c>
      <c r="B99" s="1173" t="s">
        <v>58</v>
      </c>
      <c r="C99" s="1275"/>
      <c r="D99" s="1176"/>
      <c r="E99" s="1255"/>
    </row>
    <row r="100" spans="1:5">
      <c r="A100" s="1173">
        <v>355</v>
      </c>
      <c r="B100" s="1173" t="s">
        <v>349</v>
      </c>
      <c r="C100" s="1276"/>
      <c r="D100" s="1176"/>
      <c r="E100" s="1255"/>
    </row>
    <row r="101" spans="1:5">
      <c r="A101" s="1173">
        <v>356</v>
      </c>
      <c r="B101" s="1173" t="s">
        <v>501</v>
      </c>
      <c r="C101" s="1277"/>
      <c r="D101" s="1176"/>
      <c r="E101" s="1255"/>
    </row>
    <row r="102" spans="1:5">
      <c r="A102" s="1256" t="s">
        <v>61</v>
      </c>
      <c r="B102" s="1647" t="s">
        <v>0</v>
      </c>
      <c r="C102" s="1256" t="s">
        <v>1</v>
      </c>
      <c r="D102" s="1256" t="s">
        <v>243</v>
      </c>
      <c r="E102" s="1256" t="s">
        <v>1741</v>
      </c>
    </row>
    <row r="103" spans="1:5">
      <c r="A103" s="1173">
        <v>367</v>
      </c>
      <c r="B103" s="1173" t="s">
        <v>354</v>
      </c>
      <c r="C103" s="1278"/>
      <c r="D103" s="1176"/>
      <c r="E103" s="1255"/>
    </row>
    <row r="104" spans="1:5">
      <c r="A104" s="1173">
        <v>368</v>
      </c>
      <c r="B104" s="1173" t="s">
        <v>605</v>
      </c>
      <c r="C104" s="1279"/>
      <c r="D104" s="1176"/>
      <c r="E104" s="1255"/>
    </row>
    <row r="105" spans="1:5">
      <c r="A105" s="1173">
        <v>369</v>
      </c>
      <c r="B105" s="1173" t="s">
        <v>607</v>
      </c>
      <c r="C105" s="1280"/>
      <c r="D105" s="1176"/>
      <c r="E105" s="1255"/>
    </row>
    <row r="106" spans="1:5">
      <c r="A106" s="1173">
        <v>370</v>
      </c>
      <c r="B106" s="1173" t="s">
        <v>505</v>
      </c>
      <c r="C106" s="1281"/>
      <c r="D106" s="1176"/>
      <c r="E106" s="1255"/>
    </row>
    <row r="107" spans="1:5">
      <c r="A107" s="1173">
        <v>371</v>
      </c>
      <c r="B107" s="1173" t="s">
        <v>6</v>
      </c>
      <c r="C107" s="1282"/>
      <c r="D107" s="1176"/>
      <c r="E107" s="1255"/>
    </row>
    <row r="108" spans="1:5">
      <c r="A108" s="1173">
        <v>372</v>
      </c>
      <c r="B108" s="1173" t="s">
        <v>611</v>
      </c>
      <c r="C108" s="1283"/>
      <c r="D108" s="1176"/>
      <c r="E108" s="1255"/>
    </row>
    <row r="109" spans="1:5">
      <c r="A109" s="1173">
        <v>400</v>
      </c>
      <c r="B109" s="1173" t="s">
        <v>363</v>
      </c>
      <c r="C109" s="1284"/>
      <c r="D109" s="1176"/>
      <c r="E109" s="1255"/>
    </row>
    <row r="110" spans="1:5">
      <c r="A110" s="1173">
        <v>402</v>
      </c>
      <c r="B110" s="1173" t="s">
        <v>614</v>
      </c>
      <c r="C110" s="1285"/>
      <c r="D110" s="1176"/>
      <c r="E110" s="1255"/>
    </row>
    <row r="111" spans="1:5">
      <c r="A111" s="1173">
        <v>407</v>
      </c>
      <c r="B111" s="1173" t="s">
        <v>368</v>
      </c>
      <c r="C111" s="1286"/>
      <c r="D111" s="1176"/>
      <c r="E111" s="1255"/>
    </row>
    <row r="112" spans="1:5">
      <c r="A112" s="1173">
        <v>413</v>
      </c>
      <c r="B112" s="1173" t="s">
        <v>370</v>
      </c>
      <c r="C112" s="1287"/>
      <c r="D112" s="1176"/>
      <c r="E112" s="1255"/>
    </row>
    <row r="113" spans="1:5">
      <c r="A113" s="1173">
        <v>414</v>
      </c>
      <c r="B113" s="1173" t="s">
        <v>371</v>
      </c>
      <c r="C113" s="1288"/>
      <c r="D113" s="1176"/>
      <c r="E113" s="1255"/>
    </row>
    <row r="114" spans="1:5">
      <c r="A114" s="1173">
        <v>415</v>
      </c>
      <c r="B114" s="1173" t="s">
        <v>60</v>
      </c>
      <c r="C114" s="1289"/>
      <c r="D114" s="1176"/>
      <c r="E114" s="1255"/>
    </row>
    <row r="115" spans="1:5">
      <c r="A115" s="1173">
        <v>420</v>
      </c>
      <c r="B115" s="1173" t="s">
        <v>374</v>
      </c>
      <c r="C115" s="1290"/>
      <c r="D115" s="1176"/>
      <c r="E115" s="1255"/>
    </row>
    <row r="116" spans="1:5">
      <c r="A116" s="1173">
        <v>422</v>
      </c>
      <c r="B116" s="1173" t="s">
        <v>626</v>
      </c>
      <c r="C116" s="1291"/>
      <c r="D116" s="1176"/>
      <c r="E116" s="1255"/>
    </row>
    <row r="117" spans="1:5">
      <c r="A117" s="1173">
        <v>433</v>
      </c>
      <c r="B117" s="1173" t="s">
        <v>515</v>
      </c>
      <c r="C117" s="1292"/>
      <c r="D117" s="1176"/>
      <c r="E117" s="1255"/>
    </row>
    <row r="118" spans="1:5">
      <c r="A118" s="1173">
        <v>434</v>
      </c>
      <c r="B118" s="1173" t="s">
        <v>631</v>
      </c>
      <c r="C118" s="1293"/>
      <c r="D118" s="1176"/>
      <c r="E118" s="1255"/>
    </row>
    <row r="119" spans="1:5">
      <c r="A119" s="1173">
        <v>435</v>
      </c>
      <c r="B119" s="1173" t="s">
        <v>634</v>
      </c>
      <c r="C119" s="1294"/>
      <c r="D119" s="1176"/>
      <c r="E119" s="1255"/>
    </row>
    <row r="120" spans="1:5">
      <c r="A120" s="1173">
        <v>436</v>
      </c>
      <c r="B120" s="1173" t="s">
        <v>7</v>
      </c>
      <c r="C120" s="1295"/>
      <c r="D120" s="1176"/>
      <c r="E120" s="1255"/>
    </row>
    <row r="121" spans="1:5">
      <c r="A121" s="1173">
        <v>437</v>
      </c>
      <c r="B121" s="1173" t="s">
        <v>636</v>
      </c>
      <c r="C121" s="1296"/>
      <c r="D121" s="1176"/>
      <c r="E121" s="1255"/>
    </row>
    <row r="122" spans="1:5">
      <c r="A122" s="1173">
        <v>444</v>
      </c>
      <c r="B122" s="1173" t="s">
        <v>383</v>
      </c>
      <c r="C122" s="1297"/>
      <c r="D122" s="1176"/>
      <c r="E122" s="1255"/>
    </row>
    <row r="123" spans="1:5">
      <c r="A123" s="1173">
        <v>445</v>
      </c>
      <c r="B123" s="1173" t="s">
        <v>601</v>
      </c>
      <c r="C123" s="1298"/>
      <c r="D123" s="1176"/>
      <c r="E123" s="1255"/>
    </row>
    <row r="124" spans="1:5">
      <c r="A124" s="1173">
        <v>451</v>
      </c>
      <c r="B124" s="1173" t="s">
        <v>385</v>
      </c>
      <c r="C124" s="1299"/>
      <c r="D124" s="1176"/>
      <c r="E124" s="1255"/>
    </row>
    <row r="125" spans="1:5">
      <c r="A125" s="1173">
        <v>452</v>
      </c>
      <c r="B125" s="1173" t="s">
        <v>522</v>
      </c>
      <c r="C125" s="1300"/>
      <c r="D125" s="1176"/>
      <c r="E125" s="1255"/>
    </row>
    <row r="126" spans="1:5">
      <c r="A126" s="1173">
        <v>453</v>
      </c>
      <c r="B126" s="1173" t="s">
        <v>640</v>
      </c>
      <c r="C126" s="1185"/>
      <c r="D126" s="1176"/>
      <c r="E126" s="1255"/>
    </row>
    <row r="127" spans="1:5">
      <c r="A127" s="1173">
        <v>469</v>
      </c>
      <c r="B127" s="1173" t="s">
        <v>8</v>
      </c>
      <c r="C127" s="1301"/>
      <c r="D127" s="1176"/>
      <c r="E127" s="1255"/>
    </row>
    <row r="128" spans="1:5">
      <c r="A128" s="1173">
        <v>470</v>
      </c>
      <c r="B128" s="1173" t="s">
        <v>644</v>
      </c>
      <c r="C128" s="1302"/>
      <c r="D128" s="1176"/>
      <c r="E128" s="1255"/>
    </row>
    <row r="129" spans="1:5">
      <c r="A129" s="1173">
        <v>471</v>
      </c>
      <c r="B129" s="1173" t="s">
        <v>647</v>
      </c>
      <c r="C129" s="1303"/>
      <c r="D129" s="1176"/>
      <c r="E129" s="1255"/>
    </row>
    <row r="130" spans="1:5">
      <c r="A130" s="1173">
        <v>472</v>
      </c>
      <c r="B130" s="1173" t="s">
        <v>683</v>
      </c>
      <c r="C130" s="1304"/>
      <c r="D130" s="1176"/>
      <c r="E130" s="1255"/>
    </row>
    <row r="131" spans="1:5">
      <c r="A131" s="1173">
        <v>498</v>
      </c>
      <c r="B131" s="1173" t="s">
        <v>393</v>
      </c>
      <c r="C131" s="1305"/>
      <c r="D131" s="1176"/>
      <c r="E131" s="1255"/>
    </row>
    <row r="132" spans="1:5">
      <c r="A132" s="1173">
        <v>500</v>
      </c>
      <c r="B132" s="1173" t="s">
        <v>447</v>
      </c>
      <c r="C132" s="1306"/>
      <c r="D132" s="1176"/>
      <c r="E132" s="1255"/>
    </row>
    <row r="133" spans="1:5">
      <c r="A133" s="1173">
        <v>501</v>
      </c>
      <c r="B133" s="1173" t="s">
        <v>395</v>
      </c>
      <c r="C133" s="1307"/>
      <c r="D133" s="1176"/>
      <c r="E133" s="1255"/>
    </row>
    <row r="134" spans="1:5">
      <c r="A134" s="1173">
        <v>502</v>
      </c>
      <c r="B134" s="1173" t="s">
        <v>9</v>
      </c>
      <c r="C134" s="1308"/>
      <c r="D134" s="1176"/>
      <c r="E134" s="1255"/>
    </row>
    <row r="135" spans="1:5">
      <c r="A135" s="1173">
        <v>503</v>
      </c>
      <c r="B135" s="1173" t="s">
        <v>534</v>
      </c>
      <c r="C135" s="1309"/>
      <c r="D135" s="1176"/>
      <c r="E135" s="1255"/>
    </row>
    <row r="136" spans="1:5">
      <c r="A136" s="1173" t="s">
        <v>291</v>
      </c>
      <c r="B136" s="1173" t="s">
        <v>660</v>
      </c>
      <c r="C136" s="1310"/>
      <c r="D136" s="1176"/>
      <c r="E136" s="1255"/>
    </row>
    <row r="137" spans="1:5">
      <c r="A137" s="1173">
        <v>505</v>
      </c>
      <c r="B137" s="1173" t="s">
        <v>399</v>
      </c>
      <c r="C137" s="1311"/>
      <c r="D137" s="1176"/>
      <c r="E137" s="1255"/>
    </row>
    <row r="138" spans="1:5">
      <c r="A138" s="1173">
        <v>517</v>
      </c>
      <c r="B138" s="1173" t="s">
        <v>315</v>
      </c>
      <c r="C138" s="1312"/>
      <c r="D138" s="1176"/>
      <c r="E138" s="1255"/>
    </row>
    <row r="139" spans="1:5">
      <c r="A139" s="1173">
        <v>518</v>
      </c>
      <c r="B139" s="1173" t="s">
        <v>537</v>
      </c>
      <c r="C139" s="1313"/>
      <c r="D139" s="1176"/>
      <c r="E139" s="1255"/>
    </row>
    <row r="140" spans="1:5">
      <c r="A140" s="1173">
        <v>519</v>
      </c>
      <c r="B140" s="1173" t="s">
        <v>10</v>
      </c>
      <c r="C140" s="1314"/>
      <c r="D140" s="1176"/>
      <c r="E140" s="1255"/>
    </row>
    <row r="141" spans="1:5">
      <c r="A141" s="1173">
        <v>520</v>
      </c>
      <c r="B141" s="1173" t="s">
        <v>319</v>
      </c>
      <c r="C141" s="1315"/>
      <c r="D141" s="1176"/>
      <c r="E141" s="1255"/>
    </row>
    <row r="142" spans="1:5">
      <c r="A142" s="1173">
        <v>522</v>
      </c>
      <c r="B142" s="1173" t="s">
        <v>11</v>
      </c>
      <c r="C142" s="1316"/>
      <c r="D142" s="1176"/>
      <c r="E142" s="1255"/>
    </row>
    <row r="143" spans="1:5">
      <c r="A143" s="1173">
        <v>523</v>
      </c>
      <c r="B143" s="1173" t="s">
        <v>545</v>
      </c>
      <c r="C143" s="1317"/>
      <c r="D143" s="1176"/>
      <c r="E143" s="1255"/>
    </row>
    <row r="144" spans="1:5">
      <c r="A144" s="1173">
        <v>524</v>
      </c>
      <c r="B144" s="1173" t="s">
        <v>547</v>
      </c>
      <c r="C144" s="1318"/>
      <c r="D144" s="1176"/>
      <c r="E144" s="1255"/>
    </row>
    <row r="145" spans="1:5">
      <c r="A145" s="1173">
        <v>535</v>
      </c>
      <c r="B145" s="1173" t="s">
        <v>549</v>
      </c>
      <c r="C145" s="1319"/>
      <c r="D145" s="1176"/>
      <c r="E145" s="1255"/>
    </row>
    <row r="146" spans="1:5">
      <c r="A146" s="1173">
        <v>543</v>
      </c>
      <c r="B146" s="1173" t="s">
        <v>667</v>
      </c>
      <c r="C146" s="1320"/>
      <c r="D146" s="1176"/>
      <c r="E146" s="1255"/>
    </row>
    <row r="147" spans="1:5">
      <c r="A147" s="1173">
        <v>550</v>
      </c>
      <c r="B147" s="1173" t="s">
        <v>408</v>
      </c>
      <c r="C147" s="1321"/>
      <c r="D147" s="1176"/>
      <c r="E147" s="1255"/>
    </row>
    <row r="148" spans="1:5">
      <c r="A148" s="1173">
        <v>552</v>
      </c>
      <c r="B148" s="1173" t="s">
        <v>476</v>
      </c>
      <c r="C148" s="1322"/>
      <c r="D148" s="1176"/>
      <c r="E148" s="1255"/>
    </row>
    <row r="149" spans="1:5">
      <c r="A149" s="1173">
        <v>553</v>
      </c>
      <c r="B149" s="1173" t="s">
        <v>12</v>
      </c>
      <c r="C149" s="1323"/>
      <c r="D149" s="1176"/>
      <c r="E149" s="1255"/>
    </row>
    <row r="150" spans="1:5">
      <c r="A150" s="1256" t="s">
        <v>61</v>
      </c>
      <c r="B150" s="1647" t="s">
        <v>0</v>
      </c>
      <c r="C150" s="1256" t="s">
        <v>1</v>
      </c>
      <c r="D150" s="1256" t="s">
        <v>243</v>
      </c>
      <c r="E150" s="1256" t="s">
        <v>1741</v>
      </c>
    </row>
    <row r="151" spans="1:5">
      <c r="A151" s="1173">
        <v>554</v>
      </c>
      <c r="B151" s="1173" t="s">
        <v>558</v>
      </c>
      <c r="C151" s="1324"/>
      <c r="D151" s="1176"/>
      <c r="E151" s="1255"/>
    </row>
    <row r="152" spans="1:5">
      <c r="A152" s="1173">
        <v>561</v>
      </c>
      <c r="B152" s="1173" t="s">
        <v>414</v>
      </c>
      <c r="C152" s="1325"/>
      <c r="D152" s="1176"/>
      <c r="E152" s="1255"/>
    </row>
    <row r="153" spans="1:5">
      <c r="A153" s="1173">
        <v>562</v>
      </c>
      <c r="B153" s="1173" t="s">
        <v>482</v>
      </c>
      <c r="C153" s="1326"/>
      <c r="D153" s="1176"/>
      <c r="E153" s="1255"/>
    </row>
    <row r="154" spans="1:5">
      <c r="A154" s="1173">
        <v>563</v>
      </c>
      <c r="B154" s="1173" t="s">
        <v>568</v>
      </c>
      <c r="C154" s="1327"/>
      <c r="D154" s="1176"/>
      <c r="E154" s="1255"/>
    </row>
    <row r="155" spans="1:5">
      <c r="A155" s="1173">
        <v>564</v>
      </c>
      <c r="B155" s="1173" t="s">
        <v>570</v>
      </c>
      <c r="C155" s="1328"/>
      <c r="D155" s="1176"/>
      <c r="E155" s="1255"/>
    </row>
    <row r="156" spans="1:5">
      <c r="A156" s="1173">
        <v>580</v>
      </c>
      <c r="B156" s="1173" t="s">
        <v>331</v>
      </c>
      <c r="C156" s="1329"/>
      <c r="D156" s="1176"/>
      <c r="E156" s="1255"/>
    </row>
    <row r="157" spans="1:5">
      <c r="A157" s="1173">
        <v>581</v>
      </c>
      <c r="B157" s="1173" t="s">
        <v>13</v>
      </c>
      <c r="C157" s="1330"/>
      <c r="D157" s="1176"/>
      <c r="E157" s="1255"/>
    </row>
    <row r="158" spans="1:5">
      <c r="A158" s="1173">
        <v>597</v>
      </c>
      <c r="B158" s="1173" t="s">
        <v>14</v>
      </c>
      <c r="C158" s="1331"/>
      <c r="D158" s="1176"/>
      <c r="E158" s="1255"/>
    </row>
    <row r="159" spans="1:5">
      <c r="A159" s="1173">
        <v>598</v>
      </c>
      <c r="B159" s="1173" t="s">
        <v>579</v>
      </c>
      <c r="C159" s="1332"/>
      <c r="D159" s="1176"/>
      <c r="E159" s="1255"/>
    </row>
    <row r="160" spans="1:5">
      <c r="A160" s="1173">
        <v>600</v>
      </c>
      <c r="B160" s="1173" t="s">
        <v>420</v>
      </c>
      <c r="C160" s="1333"/>
      <c r="D160" s="1176"/>
      <c r="E160" s="1255"/>
    </row>
    <row r="161" spans="1:5">
      <c r="A161" s="1173">
        <v>601</v>
      </c>
      <c r="B161" s="1173" t="s">
        <v>338</v>
      </c>
      <c r="C161" s="1334"/>
      <c r="D161" s="1176"/>
      <c r="E161" s="1255"/>
    </row>
    <row r="162" spans="1:5">
      <c r="A162" s="1173">
        <v>602</v>
      </c>
      <c r="B162" s="1173" t="s">
        <v>493</v>
      </c>
      <c r="C162" s="1335"/>
      <c r="D162" s="1176"/>
      <c r="E162" s="1255"/>
    </row>
    <row r="163" spans="1:5">
      <c r="A163" s="1173">
        <v>603</v>
      </c>
      <c r="B163" s="1173" t="s">
        <v>585</v>
      </c>
      <c r="C163" s="1336"/>
      <c r="D163" s="1176"/>
      <c r="E163" s="1255"/>
    </row>
    <row r="164" spans="1:5">
      <c r="A164" s="1173">
        <v>604</v>
      </c>
      <c r="B164" s="1173" t="s">
        <v>586</v>
      </c>
      <c r="C164" s="1337"/>
      <c r="D164" s="1176"/>
      <c r="E164" s="1255"/>
    </row>
    <row r="165" spans="1:5">
      <c r="A165" s="1173">
        <v>605</v>
      </c>
      <c r="B165" s="1173" t="s">
        <v>589</v>
      </c>
      <c r="C165" s="1338"/>
      <c r="D165" s="1176"/>
      <c r="E165" s="1255"/>
    </row>
    <row r="166" spans="1:5">
      <c r="A166" s="1173">
        <v>606</v>
      </c>
      <c r="B166" s="1173" t="s">
        <v>453</v>
      </c>
      <c r="C166" s="1339"/>
      <c r="D166" s="1176"/>
      <c r="E166" s="1255"/>
    </row>
    <row r="167" spans="1:5">
      <c r="A167" s="1173">
        <v>608</v>
      </c>
      <c r="B167" s="1173" t="s">
        <v>454</v>
      </c>
      <c r="C167" s="1340"/>
      <c r="D167" s="1176"/>
      <c r="E167" s="1255"/>
    </row>
    <row r="168" spans="1:5">
      <c r="A168" s="1173">
        <v>610</v>
      </c>
      <c r="B168" s="1173" t="s">
        <v>348</v>
      </c>
      <c r="C168" s="1341"/>
      <c r="D168" s="1176"/>
      <c r="E168" s="1255"/>
    </row>
    <row r="169" spans="1:5">
      <c r="A169" s="1173">
        <v>611</v>
      </c>
      <c r="B169" s="1173" t="s">
        <v>62</v>
      </c>
      <c r="C169" s="1342"/>
      <c r="D169" s="1176"/>
      <c r="E169" s="1255"/>
    </row>
    <row r="170" spans="1:5">
      <c r="A170" s="1173">
        <v>612</v>
      </c>
      <c r="B170" s="1173" t="s">
        <v>600</v>
      </c>
      <c r="C170" s="1343"/>
      <c r="D170" s="1176"/>
      <c r="E170" s="1255"/>
    </row>
    <row r="171" spans="1:5">
      <c r="A171" s="1173">
        <v>613</v>
      </c>
      <c r="B171" s="1173" t="s">
        <v>603</v>
      </c>
      <c r="C171" s="1344"/>
      <c r="D171" s="1176"/>
      <c r="E171" s="1255"/>
    </row>
    <row r="172" spans="1:5">
      <c r="A172" s="1173">
        <v>632</v>
      </c>
      <c r="B172" s="1173" t="s">
        <v>674</v>
      </c>
      <c r="C172" s="1345"/>
      <c r="D172" s="1176"/>
      <c r="E172" s="1255"/>
    </row>
    <row r="173" spans="1:5">
      <c r="A173" s="1173">
        <v>640</v>
      </c>
      <c r="B173" s="1173" t="s">
        <v>433</v>
      </c>
      <c r="C173" s="1346"/>
      <c r="D173" s="1176"/>
      <c r="E173" s="1255"/>
    </row>
    <row r="174" spans="1:5">
      <c r="A174" s="1173">
        <v>642</v>
      </c>
      <c r="B174" s="1173" t="s">
        <v>359</v>
      </c>
      <c r="C174" s="1347"/>
      <c r="D174" s="1176"/>
      <c r="E174" s="1255"/>
    </row>
    <row r="175" spans="1:5">
      <c r="A175" s="1173">
        <v>644</v>
      </c>
      <c r="B175" s="1173" t="s">
        <v>507</v>
      </c>
      <c r="C175" s="1348"/>
      <c r="D175" s="1176"/>
      <c r="E175" s="1255"/>
    </row>
    <row r="176" spans="1:5">
      <c r="A176" s="1173">
        <v>645</v>
      </c>
      <c r="B176" s="1173" t="s">
        <v>436</v>
      </c>
      <c r="C176" s="1349"/>
      <c r="D176" s="1176"/>
      <c r="E176" s="1255"/>
    </row>
    <row r="177" spans="1:5">
      <c r="A177" s="1173">
        <v>646</v>
      </c>
      <c r="B177" s="1173" t="s">
        <v>362</v>
      </c>
      <c r="C177" s="1350"/>
      <c r="D177" s="1176"/>
      <c r="E177" s="1255"/>
    </row>
    <row r="178" spans="1:5">
      <c r="A178" s="1173">
        <v>647</v>
      </c>
      <c r="B178" s="1173" t="s">
        <v>509</v>
      </c>
      <c r="C178" s="1351"/>
      <c r="D178" s="1176"/>
      <c r="E178" s="1255"/>
    </row>
    <row r="179" spans="1:5">
      <c r="A179" s="1173">
        <v>648</v>
      </c>
      <c r="B179" s="1173" t="s">
        <v>616</v>
      </c>
      <c r="C179" s="1352"/>
      <c r="D179" s="1176"/>
      <c r="E179" s="1255"/>
    </row>
    <row r="180" spans="1:5">
      <c r="A180" s="1173">
        <v>666</v>
      </c>
      <c r="B180" s="1173" t="s">
        <v>456</v>
      </c>
      <c r="C180" s="1353"/>
      <c r="D180" s="1176"/>
      <c r="E180" s="1255"/>
    </row>
    <row r="181" spans="1:5">
      <c r="A181" s="1173">
        <v>676</v>
      </c>
      <c r="B181" s="1173" t="s">
        <v>618</v>
      </c>
      <c r="C181" s="1354"/>
      <c r="D181" s="1176"/>
      <c r="E181" s="1255"/>
    </row>
    <row r="182" spans="1:5">
      <c r="A182" s="1173">
        <v>677</v>
      </c>
      <c r="B182" s="1173" t="s">
        <v>619</v>
      </c>
      <c r="C182" s="1355"/>
      <c r="D182" s="1176"/>
      <c r="E182" s="1255"/>
    </row>
    <row r="183" spans="1:5">
      <c r="A183" s="1173">
        <v>680</v>
      </c>
      <c r="B183" s="1173" t="s">
        <v>375</v>
      </c>
      <c r="C183" s="1356"/>
      <c r="D183" s="1176"/>
      <c r="E183" s="1255"/>
    </row>
    <row r="184" spans="1:5">
      <c r="A184" s="1173">
        <v>699</v>
      </c>
      <c r="B184" s="1173" t="s">
        <v>55</v>
      </c>
      <c r="C184" s="1357"/>
      <c r="D184" s="1176"/>
      <c r="E184" s="1255"/>
    </row>
    <row r="185" spans="1:5">
      <c r="A185" s="1173">
        <v>700</v>
      </c>
      <c r="B185" s="1173" t="s">
        <v>457</v>
      </c>
      <c r="C185" s="1358"/>
      <c r="D185" s="1176"/>
      <c r="E185" s="1255"/>
    </row>
    <row r="186" spans="1:5">
      <c r="A186" s="1173">
        <v>701</v>
      </c>
      <c r="B186" s="1173" t="s">
        <v>584</v>
      </c>
      <c r="C186" s="1359"/>
      <c r="D186" s="1176"/>
      <c r="E186" s="1255"/>
    </row>
    <row r="187" spans="1:5">
      <c r="A187" s="1173">
        <v>702</v>
      </c>
      <c r="B187" s="1173" t="s">
        <v>15</v>
      </c>
      <c r="C187" s="1360"/>
      <c r="D187" s="1176"/>
      <c r="E187" s="1255"/>
    </row>
    <row r="188" spans="1:5">
      <c r="A188" s="1173">
        <v>703</v>
      </c>
      <c r="B188" s="1173" t="s">
        <v>16</v>
      </c>
      <c r="C188" s="1361"/>
      <c r="D188" s="1176"/>
      <c r="E188" s="1255"/>
    </row>
    <row r="189" spans="1:5">
      <c r="A189" s="1173">
        <v>704</v>
      </c>
      <c r="B189" s="1173" t="s">
        <v>458</v>
      </c>
      <c r="C189" s="1362"/>
      <c r="D189" s="1176"/>
      <c r="E189" s="1255"/>
    </row>
    <row r="190" spans="1:5">
      <c r="A190" s="1173">
        <v>712</v>
      </c>
      <c r="B190" s="1173" t="s">
        <v>17</v>
      </c>
      <c r="C190" s="1363"/>
      <c r="D190" s="1176"/>
      <c r="E190" s="1255"/>
    </row>
    <row r="191" spans="1:5">
      <c r="A191" s="1173">
        <v>718</v>
      </c>
      <c r="B191" s="1173" t="s">
        <v>18</v>
      </c>
      <c r="C191" s="1364"/>
      <c r="D191" s="1176"/>
      <c r="E191" s="1255"/>
    </row>
    <row r="192" spans="1:5">
      <c r="A192" s="1173">
        <v>720</v>
      </c>
      <c r="B192" s="1173" t="s">
        <v>386</v>
      </c>
      <c r="C192" s="1365"/>
      <c r="D192" s="1176"/>
      <c r="E192" s="1255"/>
    </row>
    <row r="193" spans="1:5">
      <c r="A193" s="1173">
        <v>721</v>
      </c>
      <c r="B193" s="1173" t="s">
        <v>523</v>
      </c>
      <c r="C193" s="1366"/>
      <c r="D193" s="1176"/>
      <c r="E193" s="1255"/>
    </row>
    <row r="194" spans="1:5">
      <c r="A194" s="1173">
        <v>722</v>
      </c>
      <c r="B194" s="1173" t="s">
        <v>588</v>
      </c>
      <c r="C194" s="1367"/>
      <c r="D194" s="1176"/>
      <c r="E194" s="1255"/>
    </row>
    <row r="195" spans="1:5">
      <c r="A195" s="1173">
        <v>724</v>
      </c>
      <c r="B195" s="1173" t="s">
        <v>1473</v>
      </c>
      <c r="C195" s="1368"/>
      <c r="D195" s="1176"/>
      <c r="E195" s="1255"/>
    </row>
    <row r="196" spans="1:5">
      <c r="A196" s="1173">
        <v>725</v>
      </c>
      <c r="B196" s="1173" t="s">
        <v>19</v>
      </c>
      <c r="C196" s="1369"/>
      <c r="D196" s="1176"/>
      <c r="E196" s="1255"/>
    </row>
    <row r="197" spans="1:5">
      <c r="A197" s="1173">
        <v>726</v>
      </c>
      <c r="B197" s="1173" t="s">
        <v>645</v>
      </c>
      <c r="C197" s="1370"/>
      <c r="D197" s="1176"/>
      <c r="E197" s="1255"/>
    </row>
    <row r="198" spans="1:5">
      <c r="A198" s="1256" t="s">
        <v>61</v>
      </c>
      <c r="B198" s="1647" t="s">
        <v>0</v>
      </c>
      <c r="C198" s="1256" t="s">
        <v>1</v>
      </c>
      <c r="D198" s="1256" t="s">
        <v>243</v>
      </c>
      <c r="E198" s="1256" t="s">
        <v>1741</v>
      </c>
    </row>
    <row r="199" spans="1:5">
      <c r="A199" s="1173">
        <v>727</v>
      </c>
      <c r="B199" s="1173" t="s">
        <v>648</v>
      </c>
      <c r="C199" s="1371"/>
      <c r="D199" s="1176"/>
      <c r="E199" s="1255"/>
    </row>
    <row r="200" spans="1:5">
      <c r="A200" s="1173">
        <v>728</v>
      </c>
      <c r="B200" s="1173" t="s">
        <v>63</v>
      </c>
      <c r="C200" s="1372"/>
      <c r="D200" s="1176"/>
      <c r="E200" s="1255"/>
    </row>
    <row r="201" spans="1:5">
      <c r="A201" s="1173">
        <v>729</v>
      </c>
      <c r="B201" s="1173" t="s">
        <v>529</v>
      </c>
      <c r="C201" s="1373"/>
      <c r="D201" s="1176"/>
      <c r="E201" s="1255"/>
    </row>
    <row r="202" spans="1:5">
      <c r="A202" s="1173">
        <v>730</v>
      </c>
      <c r="B202" s="1173" t="s">
        <v>448</v>
      </c>
      <c r="C202" s="1374"/>
      <c r="D202" s="1176"/>
      <c r="E202" s="1255"/>
    </row>
    <row r="203" spans="1:5">
      <c r="A203" s="1173" t="s">
        <v>292</v>
      </c>
      <c r="B203" s="1173" t="s">
        <v>396</v>
      </c>
      <c r="C203" s="1375"/>
      <c r="D203" s="1176"/>
      <c r="E203" s="1255"/>
    </row>
    <row r="204" spans="1:5">
      <c r="A204" s="1173">
        <v>732</v>
      </c>
      <c r="B204" s="1173" t="s">
        <v>20</v>
      </c>
      <c r="C204" s="1376"/>
      <c r="D204" s="1176"/>
      <c r="E204" s="1255"/>
    </row>
    <row r="205" spans="1:5">
      <c r="A205" s="1173">
        <v>733</v>
      </c>
      <c r="B205" s="1173" t="s">
        <v>535</v>
      </c>
      <c r="C205" s="1377"/>
      <c r="D205" s="1176"/>
      <c r="E205" s="1255"/>
    </row>
    <row r="206" spans="1:5">
      <c r="A206" s="1173">
        <v>734</v>
      </c>
      <c r="B206" s="1173" t="s">
        <v>661</v>
      </c>
      <c r="C206" s="1378"/>
      <c r="D206" s="1176"/>
      <c r="E206" s="1255"/>
    </row>
    <row r="207" spans="1:5">
      <c r="A207" s="1173">
        <v>738</v>
      </c>
      <c r="B207" s="1173" t="s">
        <v>663</v>
      </c>
      <c r="C207" s="1379"/>
      <c r="D207" s="1176"/>
      <c r="E207" s="1255"/>
    </row>
    <row r="208" spans="1:5">
      <c r="A208" s="1173">
        <v>739</v>
      </c>
      <c r="B208" s="1173" t="s">
        <v>664</v>
      </c>
      <c r="C208" s="1380"/>
      <c r="D208" s="1176"/>
      <c r="E208" s="1255"/>
    </row>
    <row r="209" spans="1:5">
      <c r="A209" s="1173">
        <v>740</v>
      </c>
      <c r="B209" s="1173" t="s">
        <v>21</v>
      </c>
      <c r="C209" s="1381"/>
      <c r="D209" s="1176"/>
      <c r="E209" s="1255"/>
    </row>
    <row r="210" spans="1:5">
      <c r="A210" s="1173">
        <v>741</v>
      </c>
      <c r="B210" s="1173" t="s">
        <v>464</v>
      </c>
      <c r="C210" s="1382"/>
      <c r="D210" s="1176"/>
      <c r="E210" s="1255"/>
    </row>
    <row r="211" spans="1:5">
      <c r="A211" s="1173">
        <v>742</v>
      </c>
      <c r="B211" s="1173" t="s">
        <v>539</v>
      </c>
      <c r="C211" s="1383"/>
      <c r="D211" s="1176"/>
      <c r="E211" s="1255"/>
    </row>
    <row r="212" spans="1:5">
      <c r="A212" s="1173">
        <v>743</v>
      </c>
      <c r="B212" s="1173" t="s">
        <v>467</v>
      </c>
      <c r="C212" s="1384"/>
      <c r="D212" s="1176"/>
      <c r="E212" s="1255"/>
    </row>
    <row r="213" spans="1:5">
      <c r="A213" s="1173">
        <v>744</v>
      </c>
      <c r="B213" s="1173" t="s">
        <v>697</v>
      </c>
      <c r="C213" s="1385"/>
      <c r="D213" s="1176"/>
      <c r="E213" s="1255"/>
    </row>
    <row r="214" spans="1:5">
      <c r="A214" s="1173">
        <v>745</v>
      </c>
      <c r="B214" s="1173" t="s">
        <v>698</v>
      </c>
      <c r="C214" s="1386"/>
      <c r="D214" s="1176"/>
      <c r="E214" s="1255"/>
    </row>
    <row r="215" spans="1:5">
      <c r="A215" s="1173">
        <v>746</v>
      </c>
      <c r="B215" s="1173" t="s">
        <v>22</v>
      </c>
      <c r="C215" s="1387"/>
      <c r="D215" s="1176"/>
      <c r="E215" s="1255"/>
    </row>
    <row r="216" spans="1:5">
      <c r="A216" s="1173">
        <v>747</v>
      </c>
      <c r="B216" s="1173" t="s">
        <v>551</v>
      </c>
      <c r="C216" s="1388"/>
      <c r="D216" s="1176"/>
      <c r="E216" s="1255"/>
    </row>
    <row r="217" spans="1:5">
      <c r="A217" s="1173">
        <v>754</v>
      </c>
      <c r="B217" s="1173" t="s">
        <v>552</v>
      </c>
      <c r="C217" s="1389"/>
      <c r="D217" s="1176"/>
      <c r="E217" s="1255"/>
    </row>
    <row r="218" spans="1:5">
      <c r="A218" s="1173">
        <v>758</v>
      </c>
      <c r="B218" s="1173" t="s">
        <v>555</v>
      </c>
      <c r="C218" s="1390"/>
      <c r="D218" s="1176"/>
      <c r="E218" s="1255"/>
    </row>
    <row r="219" spans="1:5">
      <c r="A219" s="1173">
        <v>760</v>
      </c>
      <c r="B219" s="1173" t="s">
        <v>23</v>
      </c>
      <c r="C219" s="1391"/>
      <c r="D219" s="1176"/>
      <c r="E219" s="1255"/>
    </row>
    <row r="220" spans="1:5">
      <c r="A220" s="1173">
        <v>761</v>
      </c>
      <c r="B220" s="1173" t="s">
        <v>559</v>
      </c>
      <c r="C220" s="1392"/>
      <c r="D220" s="1176"/>
      <c r="E220" s="1255"/>
    </row>
    <row r="221" spans="1:5">
      <c r="A221" s="1173">
        <v>762</v>
      </c>
      <c r="B221" s="1173" t="s">
        <v>561</v>
      </c>
      <c r="C221" s="1393"/>
      <c r="D221" s="1176"/>
      <c r="E221" s="1255"/>
    </row>
    <row r="222" spans="1:5">
      <c r="A222" s="1173">
        <v>772</v>
      </c>
      <c r="B222" s="1173" t="s">
        <v>565</v>
      </c>
      <c r="C222" s="1394"/>
      <c r="D222" s="1176"/>
      <c r="E222" s="1255"/>
    </row>
    <row r="223" spans="1:5">
      <c r="A223" s="1173">
        <v>775</v>
      </c>
      <c r="B223" s="1173" t="s">
        <v>569</v>
      </c>
      <c r="C223" s="1395"/>
      <c r="D223" s="1176"/>
      <c r="E223" s="1255"/>
    </row>
    <row r="224" spans="1:5">
      <c r="A224" s="1173" t="s">
        <v>293</v>
      </c>
      <c r="B224" s="1173" t="s">
        <v>484</v>
      </c>
      <c r="C224" s="1396"/>
      <c r="D224" s="1176"/>
      <c r="E224" s="1255"/>
    </row>
    <row r="225" spans="1:5">
      <c r="A225" s="1173">
        <v>777</v>
      </c>
      <c r="B225" s="1173" t="s">
        <v>687</v>
      </c>
      <c r="C225" s="1397"/>
      <c r="D225" s="1176"/>
      <c r="E225" s="1255"/>
    </row>
    <row r="226" spans="1:5">
      <c r="A226" s="1173">
        <v>778</v>
      </c>
      <c r="B226" s="1173" t="s">
        <v>575</v>
      </c>
      <c r="C226" s="1398"/>
      <c r="D226" s="1176"/>
      <c r="E226" s="1255"/>
    </row>
    <row r="227" spans="1:5">
      <c r="A227" s="1173">
        <v>779</v>
      </c>
      <c r="B227" s="1173" t="s">
        <v>65</v>
      </c>
      <c r="C227" s="1399"/>
      <c r="D227" s="1176"/>
      <c r="E227" s="1255"/>
    </row>
    <row r="228" spans="1:5">
      <c r="A228" s="1173">
        <v>780</v>
      </c>
      <c r="B228" s="1173" t="s">
        <v>670</v>
      </c>
      <c r="C228" s="1400"/>
      <c r="D228" s="1176"/>
      <c r="E228" s="1255"/>
    </row>
    <row r="229" spans="1:5">
      <c r="A229" s="1173" t="s">
        <v>294</v>
      </c>
      <c r="B229" s="1173" t="s">
        <v>421</v>
      </c>
      <c r="C229" s="1401"/>
      <c r="D229" s="1176"/>
      <c r="E229" s="1255"/>
    </row>
    <row r="230" spans="1:5">
      <c r="A230" s="1173">
        <v>782</v>
      </c>
      <c r="B230" s="1173" t="s">
        <v>339</v>
      </c>
      <c r="C230" s="1402"/>
      <c r="D230" s="1176"/>
      <c r="E230" s="1255"/>
    </row>
    <row r="231" spans="1:5">
      <c r="A231" s="1173">
        <v>783</v>
      </c>
      <c r="B231" s="1173" t="s">
        <v>494</v>
      </c>
      <c r="C231" s="1403"/>
      <c r="D231" s="1176"/>
      <c r="E231" s="1255"/>
    </row>
    <row r="232" spans="1:5">
      <c r="A232" s="1173">
        <v>791</v>
      </c>
      <c r="B232" s="1173" t="s">
        <v>425</v>
      </c>
      <c r="C232" s="1404"/>
      <c r="D232" s="1176"/>
      <c r="E232" s="1255"/>
    </row>
    <row r="233" spans="1:5">
      <c r="A233" s="1173">
        <v>792</v>
      </c>
      <c r="B233" s="1173" t="s">
        <v>343</v>
      </c>
      <c r="C233" s="1405"/>
      <c r="D233" s="1176"/>
      <c r="E233" s="1255"/>
    </row>
    <row r="234" spans="1:5">
      <c r="A234" s="1173">
        <v>793</v>
      </c>
      <c r="B234" s="1173" t="s">
        <v>499</v>
      </c>
      <c r="C234" s="1406"/>
      <c r="D234" s="1176"/>
      <c r="E234" s="1255"/>
    </row>
    <row r="235" spans="1:5">
      <c r="A235" s="1173">
        <v>794</v>
      </c>
      <c r="B235" s="1173" t="s">
        <v>591</v>
      </c>
      <c r="C235" s="1407"/>
      <c r="D235" s="1176"/>
      <c r="E235" s="1255"/>
    </row>
    <row r="236" spans="1:5">
      <c r="A236" s="1173">
        <v>796</v>
      </c>
      <c r="B236" s="1173" t="s">
        <v>347</v>
      </c>
      <c r="C236" s="1408"/>
      <c r="D236" s="1176"/>
      <c r="E236" s="1255"/>
    </row>
    <row r="237" spans="1:5">
      <c r="A237" s="1173">
        <v>797</v>
      </c>
      <c r="B237" s="1173" t="s">
        <v>24</v>
      </c>
      <c r="C237" s="1409"/>
      <c r="D237" s="1176"/>
      <c r="E237" s="1255"/>
    </row>
    <row r="238" spans="1:5">
      <c r="A238" s="1173">
        <v>798</v>
      </c>
      <c r="B238" s="1173" t="s">
        <v>350</v>
      </c>
      <c r="C238" s="1410"/>
      <c r="D238" s="1176"/>
      <c r="E238" s="1255"/>
    </row>
    <row r="239" spans="1:5">
      <c r="A239" s="1173">
        <v>799</v>
      </c>
      <c r="B239" s="1173" t="s">
        <v>502</v>
      </c>
      <c r="C239" s="1411"/>
      <c r="D239" s="1176"/>
      <c r="E239" s="1255"/>
    </row>
    <row r="240" spans="1:5">
      <c r="A240" s="1173">
        <v>800</v>
      </c>
      <c r="B240" s="1173" t="s">
        <v>699</v>
      </c>
      <c r="C240" s="1412"/>
      <c r="D240" s="1176"/>
      <c r="E240" s="1255"/>
    </row>
    <row r="241" spans="1:5">
      <c r="A241" s="1173">
        <v>801</v>
      </c>
      <c r="B241" s="1173" t="s">
        <v>356</v>
      </c>
      <c r="C241" s="1413"/>
      <c r="D241" s="1176"/>
      <c r="E241" s="1255"/>
    </row>
    <row r="242" spans="1:5">
      <c r="A242" s="1173">
        <v>803</v>
      </c>
      <c r="B242" s="1173" t="s">
        <v>688</v>
      </c>
      <c r="C242" s="1414"/>
      <c r="D242" s="1176"/>
      <c r="E242" s="1255"/>
    </row>
    <row r="243" spans="1:5">
      <c r="A243" s="1173" t="s">
        <v>296</v>
      </c>
      <c r="B243" s="1173" t="s">
        <v>360</v>
      </c>
      <c r="C243" s="1415"/>
      <c r="D243" s="1176"/>
      <c r="E243" s="1255"/>
    </row>
    <row r="244" spans="1:5">
      <c r="A244" s="1173">
        <v>807</v>
      </c>
      <c r="B244" s="1173" t="s">
        <v>25</v>
      </c>
      <c r="C244" s="1416"/>
      <c r="D244" s="1176"/>
      <c r="E244" s="1255"/>
    </row>
    <row r="245" spans="1:5">
      <c r="A245" s="1173">
        <v>809</v>
      </c>
      <c r="B245" s="1173" t="s">
        <v>64</v>
      </c>
      <c r="C245" s="1417"/>
      <c r="D245" s="1176"/>
      <c r="E245" s="1255"/>
    </row>
    <row r="246" spans="1:5">
      <c r="A246" s="1256" t="s">
        <v>61</v>
      </c>
      <c r="B246" s="1647" t="s">
        <v>0</v>
      </c>
      <c r="C246" s="1256" t="s">
        <v>1</v>
      </c>
      <c r="D246" s="1256" t="s">
        <v>243</v>
      </c>
      <c r="E246" s="1256" t="s">
        <v>1741</v>
      </c>
    </row>
    <row r="247" spans="1:5">
      <c r="A247" s="1173">
        <v>813</v>
      </c>
      <c r="B247" s="1173" t="s">
        <v>612</v>
      </c>
      <c r="C247" s="1424"/>
      <c r="D247" s="1176"/>
      <c r="E247" s="1255"/>
    </row>
    <row r="248" spans="1:5">
      <c r="A248" s="1173">
        <v>814</v>
      </c>
      <c r="B248" s="1173" t="s">
        <v>365</v>
      </c>
      <c r="C248" s="1418"/>
      <c r="D248" s="1176"/>
      <c r="E248" s="1255"/>
    </row>
    <row r="249" spans="1:5">
      <c r="A249" s="1173">
        <v>815</v>
      </c>
      <c r="B249" s="1173" t="s">
        <v>511</v>
      </c>
      <c r="C249" s="1419"/>
      <c r="D249" s="1176"/>
      <c r="E249" s="1255"/>
    </row>
    <row r="250" spans="1:5">
      <c r="A250" s="1173">
        <v>816</v>
      </c>
      <c r="B250" s="1173" t="s">
        <v>26</v>
      </c>
      <c r="C250" s="1420"/>
      <c r="D250" s="1176"/>
      <c r="E250" s="1255"/>
    </row>
    <row r="251" spans="1:5">
      <c r="A251" s="1173">
        <v>817</v>
      </c>
      <c r="B251" s="1173" t="s">
        <v>439</v>
      </c>
      <c r="C251" s="1421"/>
      <c r="D251" s="1176"/>
      <c r="E251" s="1255"/>
    </row>
    <row r="252" spans="1:5">
      <c r="A252" s="1173">
        <v>818</v>
      </c>
      <c r="B252" s="1173" t="s">
        <v>27</v>
      </c>
      <c r="C252" s="1422"/>
      <c r="D252" s="1176"/>
      <c r="E252" s="1255"/>
    </row>
    <row r="253" spans="1:5">
      <c r="A253" s="1173">
        <v>819</v>
      </c>
      <c r="B253" s="1173" t="s">
        <v>622</v>
      </c>
      <c r="C253" s="1423"/>
      <c r="D253" s="1176"/>
      <c r="E253" s="1255"/>
    </row>
    <row r="254" spans="1:5">
      <c r="A254" s="1173">
        <v>820</v>
      </c>
      <c r="B254" s="1173" t="s">
        <v>441</v>
      </c>
      <c r="C254" s="1425"/>
      <c r="D254" s="1176"/>
      <c r="E254" s="1255"/>
    </row>
    <row r="255" spans="1:5">
      <c r="A255" s="1173">
        <v>822</v>
      </c>
      <c r="B255" s="1173" t="s">
        <v>628</v>
      </c>
      <c r="C255" s="1426"/>
      <c r="D255" s="1176"/>
      <c r="E255" s="1255"/>
    </row>
    <row r="256" spans="1:5">
      <c r="A256" s="1173">
        <v>823</v>
      </c>
      <c r="B256" s="1173" t="s">
        <v>377</v>
      </c>
      <c r="C256" s="1427"/>
      <c r="D256" s="1176"/>
      <c r="E256" s="1255"/>
    </row>
    <row r="257" spans="1:5">
      <c r="A257" s="1173">
        <v>824</v>
      </c>
      <c r="B257" s="1173" t="s">
        <v>437</v>
      </c>
      <c r="C257" s="1428"/>
      <c r="D257" s="1176"/>
      <c r="E257" s="1255"/>
    </row>
    <row r="258" spans="1:5">
      <c r="A258" s="1173">
        <v>825</v>
      </c>
      <c r="B258" s="1173" t="s">
        <v>377</v>
      </c>
      <c r="C258" s="1429"/>
      <c r="D258" s="1176"/>
      <c r="E258" s="1255"/>
    </row>
    <row r="259" spans="1:5">
      <c r="A259" s="1173">
        <v>826</v>
      </c>
      <c r="B259" s="1173" t="s">
        <v>469</v>
      </c>
      <c r="C259" s="1430"/>
      <c r="D259" s="1176"/>
      <c r="E259" s="1255"/>
    </row>
    <row r="260" spans="1:5">
      <c r="A260" s="1173">
        <v>827</v>
      </c>
      <c r="B260" s="1173" t="s">
        <v>637</v>
      </c>
      <c r="C260" s="1431"/>
      <c r="D260" s="1176"/>
      <c r="E260" s="1255"/>
    </row>
    <row r="261" spans="1:5">
      <c r="A261" s="1173">
        <v>828</v>
      </c>
      <c r="B261" s="1173" t="s">
        <v>681</v>
      </c>
      <c r="C261" s="1432"/>
      <c r="D261" s="1176"/>
      <c r="E261" s="1255"/>
    </row>
    <row r="262" spans="1:5">
      <c r="A262" s="1173">
        <v>829</v>
      </c>
      <c r="B262" s="1173" t="s">
        <v>444</v>
      </c>
      <c r="C262" s="1433"/>
      <c r="D262" s="1176"/>
      <c r="E262" s="1255"/>
    </row>
    <row r="263" spans="1:5">
      <c r="A263" s="1173">
        <v>830</v>
      </c>
      <c r="B263" s="1173" t="s">
        <v>388</v>
      </c>
      <c r="C263" s="1434"/>
      <c r="D263" s="1176"/>
      <c r="E263" s="1255"/>
    </row>
    <row r="264" spans="1:5">
      <c r="A264" s="1173">
        <v>831</v>
      </c>
      <c r="B264" s="1173" t="s">
        <v>525</v>
      </c>
      <c r="C264" s="1435"/>
      <c r="D264" s="1176"/>
      <c r="E264" s="1255"/>
    </row>
    <row r="265" spans="1:5">
      <c r="A265" s="1173">
        <v>832</v>
      </c>
      <c r="B265" s="1173" t="s">
        <v>28</v>
      </c>
      <c r="C265" s="1436"/>
      <c r="D265" s="1176"/>
      <c r="E265" s="1255"/>
    </row>
    <row r="266" spans="1:5">
      <c r="A266" s="1173">
        <v>833</v>
      </c>
      <c r="B266" s="1173" t="s">
        <v>646</v>
      </c>
      <c r="C266" s="1437"/>
      <c r="D266" s="1176"/>
      <c r="E266" s="1255"/>
    </row>
    <row r="267" spans="1:5">
      <c r="A267" s="1173">
        <v>834</v>
      </c>
      <c r="B267" s="1173" t="s">
        <v>649</v>
      </c>
      <c r="C267" s="1438"/>
      <c r="D267" s="1176"/>
      <c r="E267" s="1255"/>
    </row>
    <row r="268" spans="1:5">
      <c r="A268" s="1173">
        <v>838</v>
      </c>
      <c r="B268" s="1173" t="s">
        <v>445</v>
      </c>
      <c r="C268" s="1439"/>
      <c r="D268" s="1176"/>
      <c r="E268" s="1255"/>
    </row>
    <row r="269" spans="1:5">
      <c r="A269" s="1173">
        <v>839</v>
      </c>
      <c r="B269" s="1173" t="s">
        <v>341</v>
      </c>
      <c r="C269" s="1440"/>
      <c r="D269" s="1176"/>
      <c r="E269" s="1255"/>
    </row>
    <row r="270" spans="1:5">
      <c r="A270" s="1173">
        <v>840</v>
      </c>
      <c r="B270" s="1173" t="s">
        <v>531</v>
      </c>
      <c r="C270" s="1441"/>
      <c r="D270" s="1176"/>
      <c r="E270" s="1255"/>
    </row>
    <row r="271" spans="1:5">
      <c r="A271" s="1173">
        <v>841</v>
      </c>
      <c r="B271" s="1173" t="s">
        <v>654</v>
      </c>
      <c r="C271" s="1442"/>
      <c r="D271" s="1176"/>
      <c r="E271" s="1255"/>
    </row>
    <row r="272" spans="1:5">
      <c r="A272" s="1173">
        <v>842</v>
      </c>
      <c r="B272" s="1173" t="s">
        <v>656</v>
      </c>
      <c r="C272" s="1443"/>
      <c r="D272" s="1176"/>
      <c r="E272" s="1255"/>
    </row>
    <row r="273" spans="1:5">
      <c r="A273" s="1173">
        <v>844</v>
      </c>
      <c r="B273" s="1173" t="s">
        <v>685</v>
      </c>
      <c r="C273" s="1444"/>
      <c r="D273" s="1176"/>
      <c r="E273" s="1255"/>
    </row>
    <row r="274" spans="1:5">
      <c r="A274" s="1173" t="s">
        <v>297</v>
      </c>
      <c r="B274" s="1173" t="s">
        <v>66</v>
      </c>
      <c r="C274" s="1445"/>
      <c r="D274" s="1176"/>
      <c r="E274" s="1255"/>
    </row>
    <row r="275" spans="1:5">
      <c r="A275" s="1173">
        <v>869</v>
      </c>
      <c r="B275" s="1173" t="s">
        <v>451</v>
      </c>
      <c r="C275" s="1446"/>
      <c r="D275" s="1176"/>
      <c r="E275" s="1255"/>
    </row>
    <row r="276" spans="1:5">
      <c r="A276" s="1173">
        <v>890</v>
      </c>
      <c r="B276" s="1173" t="s">
        <v>665</v>
      </c>
      <c r="C276" s="1447"/>
      <c r="D276" s="1176"/>
      <c r="E276" s="1255"/>
    </row>
    <row r="277" spans="1:5">
      <c r="A277" s="1173">
        <v>891</v>
      </c>
      <c r="B277" s="1173" t="s">
        <v>316</v>
      </c>
      <c r="C277" s="1448"/>
      <c r="D277" s="1176"/>
      <c r="E277" s="1255"/>
    </row>
    <row r="278" spans="1:5">
      <c r="A278" s="1173">
        <v>892</v>
      </c>
      <c r="B278" s="1173" t="s">
        <v>465</v>
      </c>
      <c r="C278" s="1449"/>
      <c r="D278" s="1176"/>
      <c r="E278" s="1255"/>
    </row>
    <row r="279" spans="1:5">
      <c r="A279" s="1173">
        <v>893</v>
      </c>
      <c r="B279" s="1173" t="s">
        <v>540</v>
      </c>
      <c r="C279" s="1450"/>
      <c r="D279" s="1176"/>
      <c r="E279" s="1255"/>
    </row>
    <row r="280" spans="1:5">
      <c r="A280" s="1173">
        <v>894</v>
      </c>
      <c r="B280" s="1173" t="s">
        <v>542</v>
      </c>
      <c r="C280" s="1451"/>
      <c r="D280" s="1176"/>
      <c r="E280" s="1255"/>
    </row>
    <row r="281" spans="1:5">
      <c r="A281" s="1173">
        <v>895</v>
      </c>
      <c r="B281" s="1173" t="s">
        <v>403</v>
      </c>
      <c r="C281" s="1452"/>
      <c r="D281" s="1176"/>
      <c r="E281" s="1255"/>
    </row>
    <row r="282" spans="1:5">
      <c r="A282" s="1173">
        <v>898</v>
      </c>
      <c r="B282" s="1173" t="s">
        <v>404</v>
      </c>
      <c r="C282" s="1453"/>
      <c r="D282" s="1176"/>
      <c r="E282" s="1255"/>
    </row>
    <row r="283" spans="1:5">
      <c r="A283" s="1173">
        <v>899</v>
      </c>
      <c r="B283" s="1173" t="s">
        <v>471</v>
      </c>
      <c r="C283" s="1454"/>
      <c r="D283" s="1176"/>
      <c r="E283" s="1255"/>
    </row>
    <row r="284" spans="1:5">
      <c r="A284" s="1173">
        <v>900</v>
      </c>
      <c r="B284" s="1173" t="s">
        <v>324</v>
      </c>
      <c r="C284" s="1455"/>
      <c r="D284" s="1176"/>
      <c r="E284" s="1255"/>
    </row>
    <row r="285" spans="1:5">
      <c r="A285" s="1173">
        <v>902</v>
      </c>
      <c r="B285" s="1173" t="s">
        <v>409</v>
      </c>
      <c r="C285" s="1456"/>
      <c r="D285" s="1176"/>
      <c r="E285" s="1255"/>
    </row>
    <row r="286" spans="1:5">
      <c r="A286" s="1173">
        <v>904</v>
      </c>
      <c r="B286" s="1173" t="s">
        <v>410</v>
      </c>
      <c r="C286" s="1457"/>
      <c r="D286" s="1176"/>
      <c r="E286" s="1255"/>
    </row>
    <row r="287" spans="1:5">
      <c r="A287" s="1173">
        <v>905</v>
      </c>
      <c r="B287" s="1173" t="s">
        <v>328</v>
      </c>
      <c r="C287" s="1458"/>
      <c r="D287" s="1176"/>
      <c r="E287" s="1255"/>
    </row>
    <row r="288" spans="1:5">
      <c r="A288" s="1173">
        <v>906</v>
      </c>
      <c r="B288" s="1173" t="s">
        <v>478</v>
      </c>
      <c r="C288" s="1459"/>
      <c r="D288" s="1176"/>
      <c r="E288" s="1255"/>
    </row>
    <row r="289" spans="1:5">
      <c r="A289" s="1173">
        <v>907</v>
      </c>
      <c r="B289" s="1173" t="s">
        <v>562</v>
      </c>
      <c r="C289" s="1460"/>
      <c r="D289" s="1176"/>
      <c r="E289" s="1255"/>
    </row>
    <row r="290" spans="1:5">
      <c r="A290" s="1173">
        <v>909</v>
      </c>
      <c r="B290" s="1173" t="s">
        <v>415</v>
      </c>
      <c r="C290" s="1461"/>
      <c r="D290" s="1176"/>
      <c r="E290" s="1255"/>
    </row>
    <row r="291" spans="1:5">
      <c r="A291" s="1173">
        <v>910</v>
      </c>
      <c r="B291" s="1173" t="s">
        <v>330</v>
      </c>
      <c r="C291" s="1462"/>
      <c r="D291" s="1176"/>
      <c r="E291" s="1255"/>
    </row>
    <row r="292" spans="1:5">
      <c r="A292" s="1173">
        <v>911</v>
      </c>
      <c r="B292" s="1173" t="s">
        <v>485</v>
      </c>
      <c r="C292" s="1463"/>
      <c r="D292" s="1176"/>
      <c r="E292" s="1255"/>
    </row>
    <row r="293" spans="1:5">
      <c r="A293" s="1173">
        <v>912</v>
      </c>
      <c r="B293" s="1173" t="s">
        <v>574</v>
      </c>
      <c r="C293" s="1464"/>
      <c r="D293" s="1176"/>
      <c r="E293" s="1255"/>
    </row>
    <row r="294" spans="1:5">
      <c r="A294" s="1256" t="s">
        <v>61</v>
      </c>
      <c r="B294" s="1647" t="s">
        <v>0</v>
      </c>
      <c r="C294" s="1256" t="s">
        <v>1</v>
      </c>
      <c r="D294" s="1256" t="s">
        <v>243</v>
      </c>
      <c r="E294" s="1256" t="s">
        <v>1741</v>
      </c>
    </row>
    <row r="295" spans="1:5">
      <c r="A295" s="1173">
        <v>913</v>
      </c>
      <c r="B295" s="1173" t="s">
        <v>487</v>
      </c>
      <c r="C295" s="1465"/>
      <c r="D295" s="1176"/>
      <c r="E295" s="1255"/>
    </row>
    <row r="296" spans="1:5">
      <c r="A296" s="1173">
        <v>915</v>
      </c>
      <c r="B296" s="1173" t="s">
        <v>334</v>
      </c>
      <c r="C296" s="1466"/>
      <c r="D296" s="1176"/>
      <c r="E296" s="1255"/>
    </row>
    <row r="297" spans="1:5">
      <c r="A297" s="1173">
        <v>917</v>
      </c>
      <c r="B297" s="1173" t="s">
        <v>490</v>
      </c>
      <c r="C297" s="1467"/>
      <c r="D297" s="1176"/>
      <c r="E297" s="1255"/>
    </row>
    <row r="298" spans="1:5">
      <c r="A298" s="1173">
        <v>918</v>
      </c>
      <c r="B298" s="1173" t="s">
        <v>337</v>
      </c>
      <c r="C298" s="1468"/>
      <c r="D298" s="1176"/>
      <c r="E298" s="1255"/>
    </row>
    <row r="299" spans="1:5">
      <c r="A299" s="1173">
        <v>919</v>
      </c>
      <c r="B299" s="1173" t="s">
        <v>29</v>
      </c>
      <c r="C299" s="1469"/>
      <c r="D299" s="1176"/>
      <c r="E299" s="1255"/>
    </row>
    <row r="300" spans="1:5">
      <c r="A300" s="1173">
        <v>920</v>
      </c>
      <c r="B300" s="1173" t="s">
        <v>495</v>
      </c>
      <c r="C300" s="1470"/>
      <c r="D300" s="1176"/>
      <c r="E300" s="1255"/>
    </row>
    <row r="301" spans="1:5">
      <c r="A301" s="1173">
        <v>921</v>
      </c>
      <c r="B301" s="1173" t="s">
        <v>30</v>
      </c>
      <c r="C301" s="1471"/>
      <c r="D301" s="1176"/>
      <c r="E301" s="1255"/>
    </row>
    <row r="302" spans="1:5">
      <c r="A302" s="1173">
        <v>922</v>
      </c>
      <c r="B302" s="1173" t="s">
        <v>587</v>
      </c>
      <c r="C302" s="1472"/>
      <c r="D302" s="1176"/>
      <c r="E302" s="1255"/>
    </row>
    <row r="303" spans="1:5">
      <c r="A303" s="1173">
        <v>924</v>
      </c>
      <c r="B303" s="1173" t="s">
        <v>427</v>
      </c>
      <c r="C303" s="1473"/>
      <c r="D303" s="1176"/>
      <c r="E303" s="1255"/>
    </row>
    <row r="304" spans="1:5">
      <c r="A304" s="1173">
        <v>926</v>
      </c>
      <c r="B304" s="1173" t="s">
        <v>500</v>
      </c>
      <c r="C304" s="1474"/>
      <c r="D304" s="1176"/>
      <c r="E304" s="1255"/>
    </row>
    <row r="305" spans="1:5">
      <c r="A305" s="1173">
        <v>927</v>
      </c>
      <c r="B305" s="1173" t="s">
        <v>594</v>
      </c>
      <c r="C305" s="1475"/>
      <c r="D305" s="1176"/>
      <c r="E305" s="1255"/>
    </row>
    <row r="306" spans="1:5">
      <c r="A306" s="1173">
        <v>928</v>
      </c>
      <c r="B306" s="1173" t="s">
        <v>598</v>
      </c>
      <c r="C306" s="1476"/>
      <c r="D306" s="1176"/>
      <c r="E306" s="1255"/>
    </row>
    <row r="307" spans="1:5">
      <c r="A307" s="1173">
        <v>930</v>
      </c>
      <c r="B307" s="1173" t="s">
        <v>351</v>
      </c>
      <c r="C307" s="1477"/>
      <c r="D307" s="1176"/>
      <c r="E307" s="1255"/>
    </row>
    <row r="308" spans="1:5">
      <c r="A308" s="1173">
        <v>931</v>
      </c>
      <c r="B308" s="1173" t="s">
        <v>503</v>
      </c>
      <c r="C308" s="1478"/>
      <c r="D308" s="1176"/>
      <c r="E308" s="1255"/>
    </row>
    <row r="309" spans="1:5">
      <c r="A309" s="1173">
        <v>932</v>
      </c>
      <c r="B309" s="1173" t="s">
        <v>604</v>
      </c>
      <c r="C309" s="1479"/>
      <c r="D309" s="1176"/>
      <c r="E309" s="1255"/>
    </row>
    <row r="310" spans="1:5">
      <c r="A310" s="1173">
        <v>934</v>
      </c>
      <c r="B310" s="1173" t="s">
        <v>67</v>
      </c>
      <c r="C310" s="1480"/>
      <c r="D310" s="1176"/>
      <c r="E310" s="1255"/>
    </row>
    <row r="311" spans="1:5">
      <c r="A311" s="1173">
        <v>935</v>
      </c>
      <c r="B311" s="1173" t="s">
        <v>358</v>
      </c>
      <c r="C311" s="1481"/>
      <c r="D311" s="1176"/>
      <c r="E311" s="1255"/>
    </row>
    <row r="312" spans="1:5">
      <c r="A312" s="1173">
        <v>936</v>
      </c>
      <c r="B312" s="1173" t="s">
        <v>435</v>
      </c>
      <c r="C312" s="1482"/>
      <c r="D312" s="1176"/>
      <c r="E312" s="1255"/>
    </row>
    <row r="313" spans="1:5">
      <c r="A313" s="1173">
        <v>937</v>
      </c>
      <c r="B313" s="1173" t="s">
        <v>508</v>
      </c>
      <c r="C313" s="1483"/>
      <c r="D313" s="1176"/>
      <c r="E313" s="1255"/>
    </row>
    <row r="314" spans="1:5">
      <c r="A314" s="1173">
        <v>938</v>
      </c>
      <c r="B314" s="1173" t="s">
        <v>675</v>
      </c>
      <c r="C314" s="1484"/>
      <c r="D314" s="1176"/>
      <c r="E314" s="1255"/>
    </row>
    <row r="315" spans="1:5">
      <c r="A315" s="1173">
        <v>939</v>
      </c>
      <c r="B315" s="1173" t="s">
        <v>437</v>
      </c>
      <c r="C315" s="1485"/>
      <c r="D315" s="1176"/>
      <c r="E315" s="1255"/>
    </row>
    <row r="316" spans="1:5">
      <c r="A316" s="1173">
        <v>943</v>
      </c>
      <c r="B316" s="1173" t="s">
        <v>510</v>
      </c>
      <c r="C316" s="1486"/>
      <c r="D316" s="1176"/>
      <c r="E316" s="1255"/>
    </row>
    <row r="317" spans="1:5">
      <c r="A317" s="1173">
        <v>945</v>
      </c>
      <c r="B317" s="1173" t="s">
        <v>68</v>
      </c>
      <c r="C317" s="1487"/>
      <c r="D317" s="1176"/>
      <c r="E317" s="1255"/>
    </row>
    <row r="318" spans="1:5">
      <c r="A318" s="1173">
        <v>946</v>
      </c>
      <c r="B318" s="1173" t="s">
        <v>513</v>
      </c>
      <c r="C318" s="1488"/>
      <c r="D318" s="1176"/>
      <c r="E318" s="1255"/>
    </row>
    <row r="319" spans="1:5">
      <c r="A319" s="1173">
        <v>947</v>
      </c>
      <c r="B319" s="1173" t="s">
        <v>31</v>
      </c>
      <c r="C319" s="1489"/>
      <c r="D319" s="1176"/>
      <c r="E319" s="1255"/>
    </row>
    <row r="320" spans="1:5">
      <c r="A320" s="1173">
        <v>948</v>
      </c>
      <c r="B320" s="1173" t="s">
        <v>620</v>
      </c>
      <c r="C320" s="1490"/>
      <c r="D320" s="1176"/>
      <c r="E320" s="1255"/>
    </row>
    <row r="321" spans="1:5">
      <c r="A321" s="1173">
        <v>950</v>
      </c>
      <c r="B321" s="1173" t="s">
        <v>623</v>
      </c>
      <c r="C321" s="1491"/>
      <c r="D321" s="1176"/>
      <c r="E321" s="1255"/>
    </row>
    <row r="322" spans="1:5">
      <c r="A322" s="1173">
        <v>951</v>
      </c>
      <c r="B322" s="1173" t="s">
        <v>627</v>
      </c>
      <c r="C322" s="1492"/>
      <c r="D322" s="1176"/>
      <c r="E322" s="1255"/>
    </row>
    <row r="323" spans="1:5">
      <c r="A323" s="1173">
        <v>954</v>
      </c>
      <c r="B323" s="1173" t="s">
        <v>32</v>
      </c>
      <c r="C323" s="1493"/>
      <c r="D323" s="1176"/>
      <c r="E323" s="1255"/>
    </row>
    <row r="324" spans="1:5">
      <c r="A324" s="1173">
        <v>955</v>
      </c>
      <c r="B324" s="1173" t="s">
        <v>632</v>
      </c>
      <c r="C324" s="1494"/>
      <c r="D324" s="1176"/>
      <c r="E324" s="1255"/>
    </row>
    <row r="325" spans="1:5">
      <c r="A325" s="1173">
        <v>956</v>
      </c>
      <c r="B325" s="1173" t="s">
        <v>33</v>
      </c>
      <c r="C325" s="1495"/>
      <c r="D325" s="1176"/>
      <c r="E325" s="1255"/>
    </row>
    <row r="326" spans="1:5">
      <c r="A326" s="1173">
        <v>957</v>
      </c>
      <c r="B326" s="1173" t="s">
        <v>702</v>
      </c>
      <c r="C326" s="1496"/>
      <c r="D326" s="1176"/>
      <c r="E326" s="1255"/>
    </row>
    <row r="327" spans="1:5">
      <c r="A327" s="1173">
        <v>958</v>
      </c>
      <c r="B327" s="1173" t="s">
        <v>380</v>
      </c>
      <c r="C327" s="1497"/>
      <c r="D327" s="1176"/>
      <c r="E327" s="1255"/>
    </row>
    <row r="328" spans="1:5">
      <c r="A328" s="1173">
        <v>959</v>
      </c>
      <c r="B328" s="1173" t="s">
        <v>518</v>
      </c>
      <c r="C328" s="1498"/>
      <c r="D328" s="1176"/>
      <c r="E328" s="1255"/>
    </row>
    <row r="329" spans="1:5">
      <c r="A329" s="1173">
        <v>961</v>
      </c>
      <c r="B329" s="1173" t="s">
        <v>384</v>
      </c>
      <c r="C329" s="1499"/>
      <c r="D329" s="1176"/>
      <c r="E329" s="1255"/>
    </row>
    <row r="330" spans="1:5">
      <c r="A330" s="1173">
        <v>962</v>
      </c>
      <c r="B330" s="1173" t="s">
        <v>520</v>
      </c>
      <c r="C330" s="1500"/>
      <c r="D330" s="1176"/>
      <c r="E330" s="1255"/>
    </row>
    <row r="331" spans="1:5">
      <c r="A331" s="1173">
        <v>963</v>
      </c>
      <c r="B331" s="1173" t="s">
        <v>682</v>
      </c>
      <c r="C331" s="1501"/>
      <c r="D331" s="1176"/>
      <c r="E331" s="1255"/>
    </row>
    <row r="332" spans="1:5">
      <c r="A332" s="1173">
        <v>964</v>
      </c>
      <c r="B332" s="1173" t="s">
        <v>641</v>
      </c>
      <c r="C332" s="1502"/>
      <c r="D332" s="1176"/>
      <c r="E332" s="1255"/>
    </row>
    <row r="333" spans="1:5">
      <c r="A333" s="1173">
        <v>966</v>
      </c>
      <c r="B333" s="1173" t="s">
        <v>526</v>
      </c>
      <c r="C333" s="1503"/>
      <c r="D333" s="1176"/>
      <c r="E333" s="1255"/>
    </row>
    <row r="334" spans="1:5">
      <c r="A334" s="1173">
        <v>967</v>
      </c>
      <c r="B334" s="1173" t="s">
        <v>552</v>
      </c>
      <c r="C334" s="1504"/>
      <c r="D334" s="1176"/>
      <c r="E334" s="1255"/>
    </row>
    <row r="335" spans="1:5">
      <c r="A335" s="1173">
        <v>970</v>
      </c>
      <c r="B335" s="1173" t="s">
        <v>650</v>
      </c>
      <c r="C335" s="1505"/>
      <c r="D335" s="1176"/>
      <c r="E335" s="1255"/>
    </row>
    <row r="336" spans="1:5">
      <c r="A336" s="1173" t="s">
        <v>295</v>
      </c>
      <c r="B336" s="1173" t="s">
        <v>34</v>
      </c>
      <c r="C336" s="1506"/>
      <c r="D336" s="1176"/>
      <c r="E336" s="1255"/>
    </row>
    <row r="337" spans="1:5">
      <c r="A337" s="1173">
        <v>972</v>
      </c>
      <c r="B337" s="1173" t="s">
        <v>690</v>
      </c>
      <c r="C337" s="1507"/>
      <c r="D337" s="1176"/>
      <c r="E337" s="1255"/>
    </row>
    <row r="338" spans="1:5">
      <c r="A338" s="1173">
        <v>973</v>
      </c>
      <c r="B338" s="1173" t="s">
        <v>459</v>
      </c>
      <c r="C338" s="1508"/>
      <c r="D338" s="1176"/>
      <c r="E338" s="1255"/>
    </row>
    <row r="339" spans="1:5">
      <c r="A339" s="1173">
        <v>974</v>
      </c>
      <c r="B339" s="1173" t="s">
        <v>1474</v>
      </c>
      <c r="C339" s="1509"/>
      <c r="D339" s="1176"/>
      <c r="E339" s="1255"/>
    </row>
    <row r="340" spans="1:5">
      <c r="A340" s="1173">
        <v>975</v>
      </c>
      <c r="B340" s="1173" t="s">
        <v>397</v>
      </c>
      <c r="C340" s="1510"/>
      <c r="D340" s="1176"/>
      <c r="E340" s="1255"/>
    </row>
    <row r="341" spans="1:5">
      <c r="A341" s="1173">
        <v>976</v>
      </c>
      <c r="B341" s="1173" t="s">
        <v>533</v>
      </c>
      <c r="C341" s="1511"/>
      <c r="D341" s="1176"/>
      <c r="E341" s="1255"/>
    </row>
    <row r="342" spans="1:5">
      <c r="A342" s="1256" t="s">
        <v>61</v>
      </c>
      <c r="B342" s="1647" t="s">
        <v>0</v>
      </c>
      <c r="C342" s="1256" t="s">
        <v>1</v>
      </c>
      <c r="D342" s="1256" t="s">
        <v>243</v>
      </c>
      <c r="E342" s="1256" t="s">
        <v>1741</v>
      </c>
    </row>
    <row r="343" spans="1:5">
      <c r="A343" s="1173">
        <v>977</v>
      </c>
      <c r="B343" s="1173" t="s">
        <v>658</v>
      </c>
      <c r="C343" s="1512"/>
      <c r="D343" s="1176"/>
      <c r="E343" s="1255"/>
    </row>
    <row r="344" spans="1:5">
      <c r="A344" s="1173">
        <v>986</v>
      </c>
      <c r="B344" s="1173" t="s">
        <v>450</v>
      </c>
      <c r="C344" s="1513"/>
      <c r="D344" s="1176"/>
      <c r="E344" s="1255"/>
    </row>
    <row r="345" spans="1:5">
      <c r="A345" s="1173">
        <v>987</v>
      </c>
      <c r="B345" s="1173" t="s">
        <v>400</v>
      </c>
      <c r="C345" s="1514"/>
      <c r="D345" s="1176"/>
      <c r="E345" s="1255"/>
    </row>
    <row r="346" spans="1:5">
      <c r="A346" s="1173">
        <v>988</v>
      </c>
      <c r="B346" s="1173" t="s">
        <v>460</v>
      </c>
      <c r="C346" s="1515"/>
      <c r="D346" s="1176"/>
      <c r="E346" s="1255"/>
    </row>
    <row r="347" spans="1:5">
      <c r="A347" s="1173">
        <v>989</v>
      </c>
      <c r="B347" s="1173" t="s">
        <v>35</v>
      </c>
      <c r="C347" s="1516"/>
      <c r="D347" s="1176"/>
      <c r="E347" s="1255"/>
    </row>
    <row r="348" spans="1:5">
      <c r="A348" s="1173">
        <v>991</v>
      </c>
      <c r="B348" s="1173" t="s">
        <v>317</v>
      </c>
      <c r="C348" s="1517"/>
      <c r="D348" s="1176"/>
      <c r="E348" s="1255"/>
    </row>
    <row r="349" spans="1:5">
      <c r="A349" s="1173">
        <v>992</v>
      </c>
      <c r="B349" s="1173" t="s">
        <v>541</v>
      </c>
      <c r="C349" s="1518"/>
      <c r="D349" s="1176"/>
      <c r="E349" s="1255"/>
    </row>
    <row r="350" spans="1:5">
      <c r="A350" s="1173">
        <v>993</v>
      </c>
      <c r="B350" s="1173" t="s">
        <v>543</v>
      </c>
      <c r="C350" s="1519"/>
      <c r="D350" s="1176"/>
      <c r="E350" s="1255"/>
    </row>
    <row r="351" spans="1:5">
      <c r="A351" s="1173">
        <v>995</v>
      </c>
      <c r="B351" s="1173" t="s">
        <v>321</v>
      </c>
      <c r="C351" s="1520"/>
      <c r="D351" s="1176"/>
      <c r="E351" s="1255"/>
    </row>
    <row r="352" spans="1:5">
      <c r="A352" s="1173">
        <v>996</v>
      </c>
      <c r="B352" s="1173" t="s">
        <v>470</v>
      </c>
      <c r="C352" s="1521"/>
      <c r="D352" s="1176"/>
      <c r="E352" s="1255"/>
    </row>
    <row r="353" spans="1:5">
      <c r="A353" s="1173">
        <v>3011</v>
      </c>
      <c r="B353" s="1173" t="s">
        <v>323</v>
      </c>
      <c r="C353" s="1522"/>
      <c r="D353" s="1176"/>
      <c r="E353" s="1255"/>
    </row>
    <row r="354" spans="1:5">
      <c r="A354" s="1173">
        <v>3012</v>
      </c>
      <c r="B354" s="1173" t="s">
        <v>473</v>
      </c>
      <c r="C354" s="1523"/>
      <c r="D354" s="1176"/>
      <c r="E354" s="1255"/>
    </row>
    <row r="355" spans="1:5">
      <c r="A355" s="1173">
        <v>3013</v>
      </c>
      <c r="B355" s="1173" t="s">
        <v>553</v>
      </c>
      <c r="C355" s="1524"/>
      <c r="D355" s="1176"/>
      <c r="E355" s="1255"/>
    </row>
    <row r="356" spans="1:5">
      <c r="A356" s="1173">
        <v>3021</v>
      </c>
      <c r="B356" s="1173" t="s">
        <v>411</v>
      </c>
      <c r="C356" s="1525"/>
      <c r="D356" s="1176"/>
      <c r="E356" s="1255"/>
    </row>
    <row r="357" spans="1:5">
      <c r="A357" s="1173">
        <v>3022</v>
      </c>
      <c r="B357" s="1173" t="s">
        <v>477</v>
      </c>
      <c r="C357" s="1526"/>
      <c r="D357" s="1176"/>
      <c r="E357" s="1255"/>
    </row>
    <row r="358" spans="1:5">
      <c r="A358" s="1173">
        <v>3023</v>
      </c>
      <c r="B358" s="1173" t="s">
        <v>560</v>
      </c>
      <c r="C358" s="1527"/>
      <c r="D358" s="1176"/>
      <c r="E358" s="1255"/>
    </row>
    <row r="359" spans="1:5">
      <c r="A359" s="1173">
        <v>3024</v>
      </c>
      <c r="B359" s="1173" t="s">
        <v>563</v>
      </c>
      <c r="C359" s="1528"/>
      <c r="D359" s="1176"/>
      <c r="E359" s="1255"/>
    </row>
    <row r="360" spans="1:5">
      <c r="A360" s="1173">
        <v>3031</v>
      </c>
      <c r="B360" s="1173" t="s">
        <v>416</v>
      </c>
      <c r="C360" s="1529"/>
      <c r="D360" s="1176"/>
      <c r="E360" s="1255"/>
    </row>
    <row r="361" spans="1:5">
      <c r="A361" s="1173">
        <v>3032</v>
      </c>
      <c r="B361" s="1173" t="s">
        <v>483</v>
      </c>
      <c r="C361" s="1530"/>
      <c r="D361" s="1176"/>
      <c r="E361" s="1255"/>
    </row>
    <row r="362" spans="1:5">
      <c r="A362" s="1173">
        <v>3033</v>
      </c>
      <c r="B362" s="1173" t="s">
        <v>571</v>
      </c>
      <c r="C362" s="1531"/>
      <c r="D362" s="1176"/>
      <c r="E362" s="1255"/>
    </row>
    <row r="363" spans="1:5">
      <c r="A363" s="1173">
        <v>3041</v>
      </c>
      <c r="B363" s="1173" t="s">
        <v>486</v>
      </c>
      <c r="C363" s="1532"/>
      <c r="D363" s="1176"/>
      <c r="E363" s="1255"/>
    </row>
    <row r="364" spans="1:5">
      <c r="A364" s="1173">
        <v>3042</v>
      </c>
      <c r="B364" s="1173" t="s">
        <v>576</v>
      </c>
      <c r="C364" s="1533"/>
      <c r="D364" s="1176"/>
      <c r="E364" s="1255"/>
    </row>
    <row r="365" spans="1:5">
      <c r="A365" s="1173">
        <v>3045</v>
      </c>
      <c r="B365" s="1173" t="s">
        <v>335</v>
      </c>
      <c r="C365" s="1534"/>
      <c r="D365" s="1176"/>
      <c r="E365" s="1255"/>
    </row>
    <row r="366" spans="1:5">
      <c r="A366" s="1173">
        <v>3046</v>
      </c>
      <c r="B366" s="1173" t="s">
        <v>491</v>
      </c>
      <c r="C366" s="1535"/>
      <c r="D366" s="1176"/>
      <c r="E366" s="1255"/>
    </row>
    <row r="367" spans="1:5">
      <c r="A367" s="1173">
        <v>3047</v>
      </c>
      <c r="B367" s="1173" t="s">
        <v>580</v>
      </c>
      <c r="C367" s="1536"/>
      <c r="D367" s="1176"/>
      <c r="E367" s="1255"/>
    </row>
    <row r="368" spans="1:5">
      <c r="A368" s="1173">
        <v>3051</v>
      </c>
      <c r="B368" s="1173" t="s">
        <v>340</v>
      </c>
      <c r="C368" s="1537"/>
      <c r="D368" s="1176"/>
      <c r="E368" s="1255"/>
    </row>
    <row r="369" spans="1:5">
      <c r="A369" s="1173">
        <v>3052</v>
      </c>
      <c r="B369" s="1173" t="s">
        <v>496</v>
      </c>
      <c r="C369" s="1538"/>
      <c r="D369" s="1176"/>
      <c r="E369" s="1255"/>
    </row>
    <row r="370" spans="1:5">
      <c r="A370" s="1173">
        <v>3053</v>
      </c>
      <c r="B370" s="1173" t="s">
        <v>69</v>
      </c>
      <c r="C370" s="1539"/>
      <c r="D370" s="1176"/>
      <c r="E370" s="1255"/>
    </row>
    <row r="371" spans="1:5">
      <c r="A371" s="1173">
        <v>3064</v>
      </c>
      <c r="B371" s="1173" t="s">
        <v>70</v>
      </c>
      <c r="C371" s="1540"/>
      <c r="D371" s="1176"/>
      <c r="E371" s="1255"/>
    </row>
    <row r="372" spans="1:5">
      <c r="A372" s="1173">
        <v>3072</v>
      </c>
      <c r="B372" s="1173" t="s">
        <v>590</v>
      </c>
      <c r="C372" s="1541"/>
      <c r="D372" s="1176"/>
      <c r="E372" s="1255"/>
    </row>
    <row r="373" spans="1:5">
      <c r="A373" s="1173">
        <v>3078</v>
      </c>
      <c r="B373" s="1173" t="s">
        <v>592</v>
      </c>
      <c r="C373" s="1542"/>
      <c r="D373" s="1176"/>
      <c r="E373" s="1255"/>
    </row>
    <row r="374" spans="1:5">
      <c r="A374" s="1173">
        <v>3325</v>
      </c>
      <c r="B374" s="1173" t="s">
        <v>595</v>
      </c>
      <c r="C374" s="1543"/>
      <c r="D374" s="1176"/>
      <c r="E374" s="1255"/>
    </row>
    <row r="375" spans="1:5">
      <c r="A375" s="1173">
        <v>3326</v>
      </c>
      <c r="B375" s="1173" t="s">
        <v>599</v>
      </c>
      <c r="C375" s="1544"/>
      <c r="D375" s="1176"/>
      <c r="E375" s="1255"/>
    </row>
    <row r="376" spans="1:5">
      <c r="A376" s="1173">
        <v>3328</v>
      </c>
      <c r="B376" s="1173" t="s">
        <v>352</v>
      </c>
      <c r="C376" s="1545"/>
      <c r="D376" s="1176"/>
      <c r="E376" s="1255"/>
    </row>
    <row r="377" spans="1:5">
      <c r="A377" s="1173">
        <v>3340</v>
      </c>
      <c r="B377" s="1173" t="s">
        <v>504</v>
      </c>
      <c r="C377" s="1546"/>
      <c r="D377" s="1176"/>
      <c r="E377" s="1255"/>
    </row>
    <row r="378" spans="1:5">
      <c r="A378" s="1173">
        <v>3341</v>
      </c>
      <c r="B378" s="1173" t="s">
        <v>37</v>
      </c>
      <c r="C378" s="1547"/>
      <c r="D378" s="1176"/>
      <c r="E378" s="1255"/>
    </row>
    <row r="379" spans="1:5">
      <c r="A379" s="1173">
        <v>3345</v>
      </c>
      <c r="B379" s="1173" t="s">
        <v>357</v>
      </c>
      <c r="C379" s="1548"/>
      <c r="D379" s="1176"/>
      <c r="E379" s="1255"/>
    </row>
    <row r="380" spans="1:5">
      <c r="A380" s="1173">
        <v>3346</v>
      </c>
      <c r="B380" s="1173" t="s">
        <v>38</v>
      </c>
      <c r="C380" s="1549"/>
      <c r="D380" s="1176"/>
      <c r="E380" s="1255"/>
    </row>
    <row r="381" spans="1:5">
      <c r="A381" s="1173">
        <v>3347</v>
      </c>
      <c r="B381" s="1173" t="s">
        <v>506</v>
      </c>
      <c r="C381" s="1550"/>
      <c r="D381" s="1176"/>
      <c r="E381" s="1255"/>
    </row>
    <row r="382" spans="1:5">
      <c r="A382" s="1173">
        <v>3348</v>
      </c>
      <c r="B382" s="1173" t="s">
        <v>609</v>
      </c>
      <c r="C382" s="1551"/>
      <c r="D382" s="1176"/>
      <c r="E382" s="1255"/>
    </row>
    <row r="383" spans="1:5">
      <c r="A383" s="1173">
        <v>3350</v>
      </c>
      <c r="B383" s="1173" t="s">
        <v>676</v>
      </c>
      <c r="C383" s="1552"/>
      <c r="D383" s="1176"/>
      <c r="E383" s="1255"/>
    </row>
    <row r="384" spans="1:5">
      <c r="A384" s="1173">
        <v>3354</v>
      </c>
      <c r="B384" s="1173" t="s">
        <v>613</v>
      </c>
      <c r="C384" s="1553"/>
      <c r="D384" s="1176"/>
      <c r="E384" s="1255"/>
    </row>
    <row r="385" spans="1:5">
      <c r="A385" s="1173">
        <v>3362</v>
      </c>
      <c r="B385" s="1173" t="s">
        <v>366</v>
      </c>
      <c r="C385" s="1554"/>
      <c r="D385" s="1176"/>
      <c r="E385" s="1255"/>
    </row>
    <row r="386" spans="1:5">
      <c r="A386" s="1173">
        <v>3363</v>
      </c>
      <c r="B386" s="1173" t="s">
        <v>512</v>
      </c>
      <c r="C386" s="1555"/>
      <c r="D386" s="1176"/>
      <c r="E386" s="1255"/>
    </row>
    <row r="387" spans="1:5">
      <c r="A387" s="1173">
        <v>3364</v>
      </c>
      <c r="B387" s="1173" t="s">
        <v>39</v>
      </c>
      <c r="C387" s="1556"/>
      <c r="D387" s="1176"/>
      <c r="E387" s="1255"/>
    </row>
    <row r="388" spans="1:5">
      <c r="A388" s="1173">
        <v>3371</v>
      </c>
      <c r="B388" s="1173" t="s">
        <v>40</v>
      </c>
      <c r="C388" s="1557"/>
      <c r="D388" s="1176"/>
      <c r="E388" s="1255"/>
    </row>
    <row r="389" spans="1:5">
      <c r="A389" s="1173">
        <v>3607</v>
      </c>
      <c r="B389" s="1173" t="s">
        <v>621</v>
      </c>
      <c r="C389" s="1558"/>
      <c r="D389" s="1176"/>
      <c r="E389" s="1255"/>
    </row>
    <row r="390" spans="1:5">
      <c r="A390" s="1256" t="s">
        <v>61</v>
      </c>
      <c r="B390" s="1647" t="s">
        <v>0</v>
      </c>
      <c r="C390" s="1256" t="s">
        <v>1</v>
      </c>
      <c r="D390" s="1256" t="s">
        <v>243</v>
      </c>
      <c r="E390" s="1256" t="s">
        <v>1741</v>
      </c>
    </row>
    <row r="391" spans="1:5">
      <c r="A391" s="1173">
        <v>3608</v>
      </c>
      <c r="B391" s="1173" t="s">
        <v>624</v>
      </c>
      <c r="C391" s="1559"/>
      <c r="D391" s="1176"/>
      <c r="E391" s="1255"/>
    </row>
    <row r="392" spans="1:5">
      <c r="A392" s="1173">
        <v>3609</v>
      </c>
      <c r="B392" s="1173" t="s">
        <v>679</v>
      </c>
      <c r="C392" s="1560"/>
      <c r="D392" s="1176"/>
      <c r="E392" s="1255"/>
    </row>
    <row r="393" spans="1:5">
      <c r="A393" s="1173" t="s">
        <v>1475</v>
      </c>
      <c r="B393" s="1173" t="s">
        <v>1476</v>
      </c>
      <c r="C393" s="1561"/>
      <c r="D393" s="1176"/>
      <c r="E393" s="1255"/>
    </row>
    <row r="394" spans="1:5">
      <c r="A394" s="1173">
        <v>3685</v>
      </c>
      <c r="B394" s="1173" t="s">
        <v>428</v>
      </c>
      <c r="C394" s="1562"/>
      <c r="D394" s="1176"/>
      <c r="E394" s="1255"/>
    </row>
    <row r="395" spans="1:5">
      <c r="A395" s="1173">
        <v>3687</v>
      </c>
      <c r="B395" s="1173" t="s">
        <v>41</v>
      </c>
      <c r="C395" s="1563"/>
      <c r="D395" s="1176"/>
      <c r="E395" s="1255"/>
    </row>
    <row r="396" spans="1:5">
      <c r="A396" s="1173">
        <v>3688</v>
      </c>
      <c r="B396" s="1173" t="s">
        <v>516</v>
      </c>
      <c r="C396" s="1564"/>
      <c r="D396" s="1176"/>
      <c r="E396" s="1255"/>
    </row>
    <row r="397" spans="1:5">
      <c r="A397" s="1173">
        <v>3689</v>
      </c>
      <c r="B397" s="1173" t="s">
        <v>635</v>
      </c>
      <c r="C397" s="1565"/>
      <c r="D397" s="1176"/>
      <c r="E397" s="1255"/>
    </row>
    <row r="398" spans="1:5">
      <c r="A398" s="1173">
        <v>3705</v>
      </c>
      <c r="B398" s="1173" t="s">
        <v>381</v>
      </c>
      <c r="C398" s="1566"/>
      <c r="D398" s="1176"/>
      <c r="E398" s="1255"/>
    </row>
    <row r="399" spans="1:5">
      <c r="A399" s="1173">
        <v>3706</v>
      </c>
      <c r="B399" s="1173" t="s">
        <v>519</v>
      </c>
      <c r="C399" s="1567"/>
      <c r="D399" s="1176"/>
      <c r="E399" s="1255"/>
    </row>
    <row r="400" spans="1:5">
      <c r="A400" s="1173">
        <v>3708</v>
      </c>
      <c r="B400" s="1173" t="s">
        <v>638</v>
      </c>
      <c r="C400" s="1568"/>
      <c r="D400" s="1176"/>
      <c r="E400" s="1255"/>
    </row>
    <row r="401" spans="1:5">
      <c r="A401" s="1173">
        <v>3712</v>
      </c>
      <c r="B401" s="1173" t="s">
        <v>521</v>
      </c>
      <c r="C401" s="1569"/>
      <c r="D401" s="1176"/>
      <c r="E401" s="1255"/>
    </row>
    <row r="402" spans="1:5">
      <c r="A402" s="1173">
        <v>3713</v>
      </c>
      <c r="B402" s="1173" t="s">
        <v>639</v>
      </c>
      <c r="C402" s="1570"/>
      <c r="D402" s="1176"/>
      <c r="E402" s="1255"/>
    </row>
    <row r="403" spans="1:5">
      <c r="A403" s="1173">
        <v>3716</v>
      </c>
      <c r="B403" s="1173" t="s">
        <v>642</v>
      </c>
      <c r="C403" s="1571"/>
      <c r="D403" s="1176"/>
      <c r="E403" s="1255"/>
    </row>
    <row r="404" spans="1:5">
      <c r="A404" s="1173">
        <v>3721</v>
      </c>
      <c r="B404" s="1173" t="s">
        <v>389</v>
      </c>
      <c r="C404" s="1572"/>
      <c r="D404" s="1176"/>
      <c r="E404" s="1255"/>
    </row>
    <row r="405" spans="1:5">
      <c r="A405" s="1173">
        <v>3722</v>
      </c>
      <c r="B405" s="1173" t="s">
        <v>527</v>
      </c>
      <c r="C405" s="1573"/>
      <c r="D405" s="1176"/>
      <c r="E405" s="1255"/>
    </row>
    <row r="406" spans="1:5">
      <c r="A406" s="1173">
        <v>3726</v>
      </c>
      <c r="B406" s="1173" t="s">
        <v>391</v>
      </c>
      <c r="C406" s="1574"/>
      <c r="D406" s="1176"/>
      <c r="E406" s="1255"/>
    </row>
    <row r="407" spans="1:5">
      <c r="A407" s="1173">
        <v>3727</v>
      </c>
      <c r="B407" s="1173" t="s">
        <v>652</v>
      </c>
      <c r="C407" s="1575"/>
      <c r="D407" s="1176"/>
      <c r="E407" s="1255"/>
    </row>
    <row r="408" spans="1:5">
      <c r="A408" s="1173">
        <v>3731</v>
      </c>
      <c r="B408" s="1173" t="s">
        <v>446</v>
      </c>
      <c r="C408" s="1576"/>
      <c r="D408" s="1176"/>
      <c r="E408" s="1255"/>
    </row>
    <row r="409" spans="1:5">
      <c r="A409" s="1173">
        <v>3733</v>
      </c>
      <c r="B409" s="1173" t="s">
        <v>42</v>
      </c>
      <c r="C409" s="1577"/>
      <c r="D409" s="1176"/>
      <c r="E409" s="1255"/>
    </row>
    <row r="410" spans="1:5">
      <c r="A410" s="1173">
        <v>3740</v>
      </c>
      <c r="B410" s="1173" t="s">
        <v>353</v>
      </c>
      <c r="C410" s="1578"/>
      <c r="D410" s="1176"/>
      <c r="E410" s="1255"/>
    </row>
    <row r="411" spans="1:5">
      <c r="A411" s="1173">
        <v>3743</v>
      </c>
      <c r="B411" s="1173" t="s">
        <v>657</v>
      </c>
      <c r="C411" s="1579"/>
      <c r="D411" s="1176"/>
      <c r="E411" s="1255"/>
    </row>
    <row r="412" spans="1:5">
      <c r="A412" s="1173">
        <v>3746</v>
      </c>
      <c r="B412" s="1173" t="s">
        <v>398</v>
      </c>
      <c r="C412" s="1580"/>
      <c r="D412" s="1176"/>
      <c r="E412" s="1255"/>
    </row>
    <row r="413" spans="1:5">
      <c r="A413" s="1173">
        <v>3747</v>
      </c>
      <c r="B413" s="1173" t="s">
        <v>662</v>
      </c>
      <c r="C413" s="1581"/>
      <c r="D413" s="1176"/>
      <c r="E413" s="1255"/>
    </row>
    <row r="414" spans="1:5">
      <c r="A414" s="1173">
        <v>3750</v>
      </c>
      <c r="B414" s="1173" t="s">
        <v>452</v>
      </c>
      <c r="C414" s="1582"/>
      <c r="D414" s="1176"/>
      <c r="E414" s="1255"/>
    </row>
    <row r="415" spans="1:5">
      <c r="A415" s="1173">
        <v>3752</v>
      </c>
      <c r="B415" s="1173" t="s">
        <v>536</v>
      </c>
      <c r="C415" s="1583"/>
      <c r="D415" s="1176"/>
      <c r="E415" s="1255"/>
    </row>
    <row r="416" spans="1:5">
      <c r="A416" s="1173">
        <v>3753</v>
      </c>
      <c r="B416" s="1173" t="s">
        <v>666</v>
      </c>
      <c r="C416" s="1584"/>
      <c r="D416" s="1176"/>
      <c r="E416" s="1255"/>
    </row>
    <row r="417" spans="1:5">
      <c r="A417" s="1173">
        <v>3755</v>
      </c>
      <c r="B417" s="1173" t="s">
        <v>43</v>
      </c>
      <c r="C417" s="1585"/>
      <c r="D417" s="1176"/>
      <c r="E417" s="1255"/>
    </row>
    <row r="418" spans="1:5">
      <c r="A418" s="1173">
        <v>3756</v>
      </c>
      <c r="B418" s="1173" t="s">
        <v>595</v>
      </c>
      <c r="C418" s="1586"/>
      <c r="D418" s="1176"/>
      <c r="E418" s="1255"/>
    </row>
    <row r="419" spans="1:5">
      <c r="A419" s="1173">
        <v>3760</v>
      </c>
      <c r="B419" s="1173" t="s">
        <v>468</v>
      </c>
      <c r="C419" s="1587"/>
      <c r="D419" s="1176"/>
      <c r="E419" s="1255"/>
    </row>
    <row r="420" spans="1:5">
      <c r="A420" s="1173">
        <v>3761</v>
      </c>
      <c r="B420" s="1173" t="s">
        <v>546</v>
      </c>
      <c r="C420" s="1588"/>
      <c r="D420" s="1176"/>
      <c r="E420" s="1255"/>
    </row>
    <row r="421" spans="1:5">
      <c r="A421" s="1173">
        <v>3765</v>
      </c>
      <c r="B421" s="1173" t="s">
        <v>405</v>
      </c>
      <c r="C421" s="1589"/>
      <c r="D421" s="1176"/>
      <c r="E421" s="1255"/>
    </row>
    <row r="422" spans="1:5">
      <c r="A422" s="1173">
        <v>3766</v>
      </c>
      <c r="B422" s="1173" t="s">
        <v>550</v>
      </c>
      <c r="C422" s="1590"/>
      <c r="D422" s="1176"/>
      <c r="E422" s="1255"/>
    </row>
    <row r="423" spans="1:5">
      <c r="A423" s="1173">
        <v>3768</v>
      </c>
      <c r="B423" s="1173" t="s">
        <v>325</v>
      </c>
      <c r="C423" s="1591"/>
      <c r="D423" s="1176"/>
      <c r="E423" s="1255"/>
    </row>
    <row r="424" spans="1:5">
      <c r="A424" s="1173">
        <v>3770</v>
      </c>
      <c r="B424" s="1173" t="s">
        <v>554</v>
      </c>
      <c r="C424" s="1592"/>
      <c r="D424" s="1176"/>
      <c r="E424" s="1255"/>
    </row>
    <row r="425" spans="1:5">
      <c r="A425" s="1173">
        <v>3771</v>
      </c>
      <c r="B425" s="1173" t="s">
        <v>327</v>
      </c>
      <c r="C425" s="1593"/>
      <c r="D425" s="1176"/>
      <c r="E425" s="1255"/>
    </row>
    <row r="426" spans="1:5">
      <c r="A426" s="1173">
        <v>3772</v>
      </c>
      <c r="B426" s="1173" t="s">
        <v>412</v>
      </c>
      <c r="C426" s="1594"/>
      <c r="D426" s="1176"/>
      <c r="E426" s="1255"/>
    </row>
    <row r="427" spans="1:5">
      <c r="A427" s="1173" t="s">
        <v>298</v>
      </c>
      <c r="B427" s="1173" t="s">
        <v>479</v>
      </c>
      <c r="C427" s="1595"/>
      <c r="D427" s="1176"/>
      <c r="E427" s="1255"/>
    </row>
    <row r="428" spans="1:5">
      <c r="A428" s="1173">
        <v>3774</v>
      </c>
      <c r="B428" s="1173" t="s">
        <v>564</v>
      </c>
      <c r="C428" s="1596"/>
      <c r="D428" s="1176"/>
      <c r="E428" s="1255"/>
    </row>
    <row r="429" spans="1:5">
      <c r="A429" s="1173">
        <v>3776</v>
      </c>
      <c r="B429" s="1173" t="s">
        <v>566</v>
      </c>
      <c r="C429" s="1597"/>
      <c r="D429" s="1176"/>
      <c r="E429" s="1255"/>
    </row>
    <row r="430" spans="1:5">
      <c r="A430" s="1173">
        <v>3777</v>
      </c>
      <c r="B430" s="1173" t="s">
        <v>417</v>
      </c>
      <c r="C430" s="1598"/>
      <c r="D430" s="1176"/>
      <c r="E430" s="1255"/>
    </row>
    <row r="431" spans="1:5">
      <c r="A431" s="1173">
        <v>3778</v>
      </c>
      <c r="B431" s="1173" t="s">
        <v>572</v>
      </c>
      <c r="C431" s="1599"/>
      <c r="D431" s="1176"/>
      <c r="E431" s="1255"/>
    </row>
    <row r="432" spans="1:5">
      <c r="A432" s="1173">
        <v>3779</v>
      </c>
      <c r="B432" s="1173" t="s">
        <v>669</v>
      </c>
      <c r="C432" s="1648"/>
      <c r="D432" s="1176"/>
      <c r="E432" s="1255"/>
    </row>
    <row r="433" spans="1:5">
      <c r="A433" s="1173">
        <v>3781</v>
      </c>
      <c r="B433" s="1173" t="s">
        <v>333</v>
      </c>
      <c r="C433" s="1649"/>
      <c r="D433" s="1176"/>
      <c r="E433" s="1255"/>
    </row>
    <row r="434" spans="1:5">
      <c r="A434" s="1173">
        <v>3782</v>
      </c>
      <c r="B434" s="1173" t="s">
        <v>577</v>
      </c>
      <c r="C434" s="1650"/>
      <c r="D434" s="1176"/>
      <c r="E434" s="1255"/>
    </row>
    <row r="435" spans="1:5">
      <c r="A435" s="1173">
        <v>3787</v>
      </c>
      <c r="B435" s="1173" t="s">
        <v>336</v>
      </c>
      <c r="C435" s="1651"/>
      <c r="D435" s="1176"/>
      <c r="E435" s="1255"/>
    </row>
    <row r="436" spans="1:5">
      <c r="A436" s="1173">
        <v>3790</v>
      </c>
      <c r="B436" s="1173" t="s">
        <v>671</v>
      </c>
      <c r="C436" s="1652"/>
      <c r="D436" s="1176"/>
      <c r="E436" s="1255"/>
    </row>
    <row r="437" spans="1:5">
      <c r="A437" s="1173">
        <v>3799</v>
      </c>
      <c r="B437" s="1173" t="s">
        <v>422</v>
      </c>
      <c r="C437" s="1653"/>
      <c r="D437" s="1176"/>
      <c r="E437" s="1255"/>
    </row>
    <row r="438" spans="1:5">
      <c r="A438" s="1256" t="s">
        <v>61</v>
      </c>
      <c r="B438" s="1257" t="s">
        <v>0</v>
      </c>
      <c r="C438" s="1258" t="s">
        <v>1</v>
      </c>
      <c r="D438" s="1258" t="s">
        <v>243</v>
      </c>
      <c r="E438" s="1258" t="s">
        <v>1741</v>
      </c>
    </row>
    <row r="439" spans="1:5">
      <c r="A439" s="1173">
        <v>3801</v>
      </c>
      <c r="B439" s="1174" t="s">
        <v>423</v>
      </c>
      <c r="C439" s="1600"/>
      <c r="D439" s="1176"/>
      <c r="E439" s="1255"/>
    </row>
    <row r="440" spans="1:5">
      <c r="A440" s="1173">
        <v>3802</v>
      </c>
      <c r="B440" s="1174" t="s">
        <v>426</v>
      </c>
      <c r="C440" s="1601"/>
      <c r="D440" s="1176"/>
      <c r="E440" s="1255"/>
    </row>
    <row r="441" spans="1:5">
      <c r="A441" s="1173">
        <v>3803</v>
      </c>
      <c r="B441" s="1174" t="s">
        <v>344</v>
      </c>
      <c r="C441" s="1602"/>
      <c r="D441" s="1176"/>
      <c r="E441" s="1255"/>
    </row>
    <row r="442" spans="1:5">
      <c r="A442" s="1173">
        <v>3804</v>
      </c>
      <c r="B442" s="1174" t="s">
        <v>345</v>
      </c>
      <c r="C442" s="1603"/>
      <c r="D442" s="1176"/>
      <c r="E442" s="1255"/>
    </row>
    <row r="443" spans="1:5">
      <c r="A443" s="1173">
        <v>3805</v>
      </c>
      <c r="B443" s="1174" t="s">
        <v>71</v>
      </c>
      <c r="C443" s="1604"/>
      <c r="D443" s="1176"/>
      <c r="E443" s="1255"/>
    </row>
    <row r="444" spans="1:5">
      <c r="A444" s="1173">
        <v>3806</v>
      </c>
      <c r="B444" s="1174" t="s">
        <v>596</v>
      </c>
      <c r="C444" s="1605"/>
      <c r="D444" s="1176"/>
      <c r="E444" s="1255"/>
    </row>
    <row r="445" spans="1:5">
      <c r="A445" s="1173">
        <v>3807</v>
      </c>
      <c r="B445" s="1174" t="s">
        <v>72</v>
      </c>
      <c r="C445" s="1606"/>
      <c r="D445" s="1176"/>
      <c r="E445" s="1255"/>
    </row>
    <row r="446" spans="1:5">
      <c r="A446" s="1173">
        <v>3808</v>
      </c>
      <c r="B446" s="1174" t="s">
        <v>673</v>
      </c>
      <c r="C446" s="1607"/>
      <c r="D446" s="1176"/>
      <c r="E446" s="1255"/>
    </row>
    <row r="447" spans="1:5">
      <c r="A447" s="1173">
        <v>3809</v>
      </c>
      <c r="B447" s="1174" t="s">
        <v>431</v>
      </c>
      <c r="C447" s="1608"/>
      <c r="D447" s="1176"/>
      <c r="E447" s="1255"/>
    </row>
    <row r="448" spans="1:5">
      <c r="A448" s="1173">
        <v>3810</v>
      </c>
      <c r="B448" s="1174" t="s">
        <v>355</v>
      </c>
      <c r="C448" s="1609"/>
      <c r="D448" s="1176"/>
      <c r="E448" s="1255"/>
    </row>
    <row r="449" spans="1:5">
      <c r="A449" s="1173">
        <v>3811</v>
      </c>
      <c r="B449" s="1174" t="s">
        <v>606</v>
      </c>
      <c r="C449" s="1610"/>
      <c r="D449" s="1176"/>
      <c r="E449" s="1255"/>
    </row>
    <row r="450" spans="1:5">
      <c r="A450" s="1173">
        <v>3812</v>
      </c>
      <c r="B450" s="1174" t="s">
        <v>434</v>
      </c>
      <c r="C450" s="1611"/>
      <c r="D450" s="1176"/>
      <c r="E450" s="1255"/>
    </row>
    <row r="451" spans="1:5">
      <c r="A451" s="1173">
        <v>3813</v>
      </c>
      <c r="B451" s="1174" t="s">
        <v>608</v>
      </c>
      <c r="C451" s="1612"/>
      <c r="D451" s="1176"/>
      <c r="E451" s="1255"/>
    </row>
    <row r="452" spans="1:5">
      <c r="A452" s="1173">
        <v>3814</v>
      </c>
      <c r="B452" s="1174" t="s">
        <v>36</v>
      </c>
      <c r="C452" s="1613"/>
      <c r="D452" s="1176"/>
      <c r="E452" s="1255"/>
    </row>
    <row r="453" spans="1:5">
      <c r="A453" s="1173">
        <v>3815</v>
      </c>
      <c r="B453" s="1174" t="s">
        <v>361</v>
      </c>
      <c r="C453" s="1614"/>
      <c r="D453" s="1176"/>
      <c r="E453" s="1255"/>
    </row>
    <row r="454" spans="1:5">
      <c r="A454" s="1173">
        <v>3816</v>
      </c>
      <c r="B454" s="1174" t="s">
        <v>74</v>
      </c>
      <c r="C454" s="1615"/>
      <c r="D454" s="1176"/>
      <c r="E454" s="1255"/>
    </row>
    <row r="455" spans="1:5">
      <c r="A455" s="1173">
        <v>3817</v>
      </c>
      <c r="B455" s="1174" t="s">
        <v>615</v>
      </c>
      <c r="C455" s="1616"/>
      <c r="D455" s="1176"/>
      <c r="E455" s="1255"/>
    </row>
    <row r="456" spans="1:5">
      <c r="A456" s="1173">
        <v>3818</v>
      </c>
      <c r="B456" s="1174" t="s">
        <v>677</v>
      </c>
      <c r="C456" s="1617"/>
      <c r="D456" s="1176"/>
      <c r="E456" s="1255"/>
    </row>
    <row r="457" spans="1:5">
      <c r="A457" s="1173">
        <v>3819</v>
      </c>
      <c r="B457" s="1174" t="s">
        <v>617</v>
      </c>
      <c r="C457" s="1618"/>
      <c r="D457" s="1176"/>
      <c r="E457" s="1255"/>
    </row>
    <row r="458" spans="1:5">
      <c r="A458" s="1173">
        <v>3820</v>
      </c>
      <c r="B458" s="1174" t="s">
        <v>372</v>
      </c>
      <c r="C458" s="1619"/>
      <c r="D458" s="1176"/>
      <c r="E458" s="1255"/>
    </row>
    <row r="459" spans="1:5">
      <c r="A459" s="1173">
        <v>3821</v>
      </c>
      <c r="B459" s="1174" t="s">
        <v>75</v>
      </c>
      <c r="C459" s="1620"/>
      <c r="D459" s="1176"/>
      <c r="E459" s="1255"/>
    </row>
    <row r="460" spans="1:5">
      <c r="A460" s="1173">
        <v>3822</v>
      </c>
      <c r="B460" s="1174" t="s">
        <v>625</v>
      </c>
      <c r="C460" s="1621"/>
      <c r="D460" s="1176"/>
      <c r="E460" s="1255"/>
    </row>
    <row r="461" spans="1:5">
      <c r="A461" s="1173">
        <v>3823</v>
      </c>
      <c r="B461" s="1174" t="s">
        <v>700</v>
      </c>
      <c r="C461" s="1622"/>
      <c r="D461" s="1176"/>
      <c r="E461" s="1255"/>
    </row>
    <row r="462" spans="1:5">
      <c r="A462" s="1173">
        <v>3824</v>
      </c>
      <c r="B462" s="1174" t="s">
        <v>629</v>
      </c>
      <c r="C462" s="1623"/>
      <c r="D462" s="1176"/>
      <c r="E462" s="1255"/>
    </row>
    <row r="463" spans="1:5">
      <c r="A463" s="1173">
        <v>3825</v>
      </c>
      <c r="B463" s="1174" t="s">
        <v>701</v>
      </c>
      <c r="C463" s="1624"/>
      <c r="D463" s="1176"/>
      <c r="E463" s="1255"/>
    </row>
    <row r="464" spans="1:5">
      <c r="A464" s="1173">
        <v>3826</v>
      </c>
      <c r="B464" s="1174" t="s">
        <v>76</v>
      </c>
      <c r="C464" s="1625"/>
      <c r="D464" s="1176"/>
      <c r="E464" s="1255"/>
    </row>
    <row r="465" spans="1:5">
      <c r="A465" s="1173">
        <v>3827</v>
      </c>
      <c r="B465" s="1174" t="s">
        <v>703</v>
      </c>
      <c r="C465" s="1626"/>
      <c r="D465" s="1176"/>
      <c r="E465" s="1255"/>
    </row>
    <row r="466" spans="1:5">
      <c r="A466" s="1173">
        <v>3828</v>
      </c>
      <c r="B466" s="1174" t="s">
        <v>77</v>
      </c>
      <c r="C466" s="1627"/>
      <c r="D466" s="1176"/>
      <c r="E466" s="1255"/>
    </row>
    <row r="467" spans="1:5">
      <c r="A467" s="1173">
        <v>3829</v>
      </c>
      <c r="B467" s="1174" t="s">
        <v>442</v>
      </c>
      <c r="C467" s="1628"/>
      <c r="D467" s="1176"/>
      <c r="E467" s="1255"/>
    </row>
    <row r="468" spans="1:5">
      <c r="A468" s="1173">
        <v>3830</v>
      </c>
      <c r="B468" s="1174" t="s">
        <v>78</v>
      </c>
      <c r="C468" s="1629"/>
      <c r="D468" s="1176"/>
      <c r="E468" s="1255"/>
    </row>
    <row r="469" spans="1:5">
      <c r="A469" s="1173">
        <v>3831</v>
      </c>
      <c r="B469" s="1174" t="s">
        <v>387</v>
      </c>
      <c r="C469" s="1630"/>
      <c r="D469" s="1176"/>
      <c r="E469" s="1255"/>
    </row>
    <row r="470" spans="1:5">
      <c r="A470" s="1173">
        <v>3832</v>
      </c>
      <c r="B470" s="1174" t="s">
        <v>524</v>
      </c>
      <c r="C470" s="1631"/>
      <c r="D470" s="1176"/>
      <c r="E470" s="1255"/>
    </row>
    <row r="471" spans="1:5">
      <c r="A471" s="1173">
        <v>3833</v>
      </c>
      <c r="B471" s="1174" t="s">
        <v>643</v>
      </c>
      <c r="C471" s="1632"/>
      <c r="D471" s="1176"/>
      <c r="E471" s="1255"/>
    </row>
    <row r="472" spans="1:5">
      <c r="A472" s="1173">
        <v>3834</v>
      </c>
      <c r="B472" s="1174" t="s">
        <v>390</v>
      </c>
      <c r="C472" s="1633"/>
      <c r="D472" s="1176"/>
      <c r="E472" s="1255"/>
    </row>
    <row r="473" spans="1:5">
      <c r="A473" s="1173">
        <v>3835</v>
      </c>
      <c r="B473" s="1174" t="s">
        <v>528</v>
      </c>
      <c r="C473" s="1634"/>
      <c r="D473" s="1176"/>
      <c r="E473" s="1255"/>
    </row>
    <row r="474" spans="1:5">
      <c r="A474" s="1173">
        <v>3836</v>
      </c>
      <c r="B474" s="1174" t="s">
        <v>651</v>
      </c>
      <c r="C474" s="1635"/>
      <c r="D474" s="1176"/>
      <c r="E474" s="1255"/>
    </row>
    <row r="475" spans="1:5">
      <c r="A475" s="1173">
        <v>3837</v>
      </c>
      <c r="B475" s="1174" t="s">
        <v>684</v>
      </c>
      <c r="C475" s="1636"/>
      <c r="D475" s="1176"/>
      <c r="E475" s="1255"/>
    </row>
    <row r="476" spans="1:5">
      <c r="A476" s="1173">
        <v>3838</v>
      </c>
      <c r="B476" s="1174" t="s">
        <v>394</v>
      </c>
      <c r="C476" s="1637"/>
      <c r="D476" s="1176"/>
      <c r="E476" s="1255"/>
    </row>
    <row r="477" spans="1:5">
      <c r="A477" s="1173">
        <v>3839</v>
      </c>
      <c r="B477" s="1174" t="s">
        <v>532</v>
      </c>
      <c r="C477" s="1638"/>
      <c r="D477" s="1176"/>
      <c r="E477" s="1255"/>
    </row>
    <row r="478" spans="1:5">
      <c r="A478" s="1173">
        <v>3840</v>
      </c>
      <c r="B478" s="1174" t="s">
        <v>655</v>
      </c>
      <c r="C478" s="1639"/>
      <c r="D478" s="1176"/>
      <c r="E478" s="1255"/>
    </row>
    <row r="479" spans="1:5">
      <c r="A479" s="1173">
        <v>3841</v>
      </c>
      <c r="B479" s="1174" t="s">
        <v>704</v>
      </c>
      <c r="C479" s="1640"/>
      <c r="D479" s="1176"/>
      <c r="E479" s="1255"/>
    </row>
    <row r="480" spans="1:5">
      <c r="A480" s="1173">
        <v>3842</v>
      </c>
      <c r="B480" s="1174" t="s">
        <v>315</v>
      </c>
      <c r="C480" s="1641"/>
      <c r="D480" s="1176"/>
      <c r="E480" s="1255"/>
    </row>
    <row r="481" spans="1:5">
      <c r="A481" s="1173">
        <v>3843</v>
      </c>
      <c r="B481" s="1174" t="s">
        <v>73</v>
      </c>
      <c r="C481" s="1642"/>
      <c r="D481" s="1176"/>
      <c r="E481" s="1255"/>
    </row>
    <row r="482" spans="1:5">
      <c r="A482" s="1173">
        <v>3844</v>
      </c>
      <c r="B482" s="1174" t="s">
        <v>401</v>
      </c>
      <c r="C482" s="1643"/>
      <c r="D482" s="1176"/>
      <c r="E482" s="1255"/>
    </row>
    <row r="483" spans="1:5">
      <c r="A483" s="1173">
        <v>3845</v>
      </c>
      <c r="B483" s="1174" t="s">
        <v>461</v>
      </c>
      <c r="C483" s="1644"/>
      <c r="D483" s="1176"/>
      <c r="E483" s="1255"/>
    </row>
    <row r="484" spans="1:5">
      <c r="A484" s="1173">
        <v>3846</v>
      </c>
      <c r="B484" s="1174" t="s">
        <v>538</v>
      </c>
      <c r="C484" s="1645"/>
      <c r="D484" s="1176"/>
      <c r="E484" s="1255"/>
    </row>
    <row r="485" spans="1:5">
      <c r="A485" s="1173">
        <v>3847</v>
      </c>
      <c r="B485" s="1174" t="s">
        <v>318</v>
      </c>
      <c r="C485" s="1646"/>
      <c r="D485" s="1176"/>
      <c r="E485" s="1255"/>
    </row>
    <row r="486" spans="1:5">
      <c r="A486" s="1256" t="s">
        <v>61</v>
      </c>
      <c r="B486" s="1257" t="s">
        <v>0</v>
      </c>
      <c r="C486" s="1258" t="s">
        <v>1</v>
      </c>
      <c r="D486" s="1258" t="s">
        <v>243</v>
      </c>
      <c r="E486" s="1258" t="s">
        <v>1741</v>
      </c>
    </row>
    <row r="487" spans="1:5">
      <c r="A487" s="1173">
        <v>3848</v>
      </c>
      <c r="B487" s="1174" t="s">
        <v>466</v>
      </c>
      <c r="C487" s="1654"/>
      <c r="D487" s="1176"/>
      <c r="E487" s="1255"/>
    </row>
    <row r="488" spans="1:5">
      <c r="A488" s="1173">
        <v>3849</v>
      </c>
      <c r="B488" s="1174" t="s">
        <v>544</v>
      </c>
      <c r="C488" s="1655"/>
      <c r="D488" s="1176"/>
      <c r="E488" s="1255"/>
    </row>
    <row r="489" spans="1:5">
      <c r="A489" s="1173">
        <v>3850</v>
      </c>
      <c r="B489" s="1174" t="s">
        <v>322</v>
      </c>
      <c r="C489" s="1656"/>
      <c r="D489" s="1176"/>
      <c r="E489" s="1255"/>
    </row>
    <row r="490" spans="1:5">
      <c r="A490" s="1173">
        <v>3851</v>
      </c>
      <c r="B490" s="1174" t="s">
        <v>548</v>
      </c>
      <c r="C490" s="1657"/>
      <c r="D490" s="1176"/>
      <c r="E490" s="1255"/>
    </row>
    <row r="491" spans="1:5">
      <c r="A491" s="1173">
        <v>3852</v>
      </c>
      <c r="B491" s="1174" t="s">
        <v>407</v>
      </c>
      <c r="C491" s="1658"/>
      <c r="D491" s="1176"/>
      <c r="E491" s="1255"/>
    </row>
    <row r="492" spans="1:5">
      <c r="A492" s="1173">
        <v>3853</v>
      </c>
      <c r="B492" s="1174" t="s">
        <v>326</v>
      </c>
      <c r="C492" s="1659"/>
      <c r="D492" s="1176"/>
      <c r="E492" s="1255"/>
    </row>
    <row r="493" spans="1:5">
      <c r="A493" s="1173">
        <v>3854</v>
      </c>
      <c r="B493" s="1174" t="s">
        <v>475</v>
      </c>
      <c r="C493" s="1660"/>
      <c r="D493" s="1176"/>
      <c r="E493" s="1255"/>
    </row>
    <row r="494" spans="1:5">
      <c r="A494" s="1173">
        <v>3855</v>
      </c>
      <c r="B494" s="1174" t="s">
        <v>556</v>
      </c>
      <c r="C494" s="1661"/>
      <c r="D494" s="1176"/>
      <c r="E494" s="1255"/>
    </row>
    <row r="495" spans="1:5">
      <c r="A495" s="1173">
        <v>3856</v>
      </c>
      <c r="B495" s="1174" t="s">
        <v>668</v>
      </c>
      <c r="C495" s="1662"/>
      <c r="D495" s="1176"/>
      <c r="E495" s="1255"/>
    </row>
    <row r="496" spans="1:5">
      <c r="A496" s="1173">
        <v>3857</v>
      </c>
      <c r="B496" s="1174" t="s">
        <v>329</v>
      </c>
      <c r="C496" s="1663"/>
      <c r="D496" s="1176"/>
      <c r="E496" s="1255"/>
    </row>
    <row r="497" spans="1:5">
      <c r="A497" s="1173">
        <v>3858</v>
      </c>
      <c r="B497" s="1174" t="s">
        <v>481</v>
      </c>
      <c r="C497" s="1664"/>
      <c r="D497" s="1176"/>
      <c r="E497" s="1255"/>
    </row>
    <row r="498" spans="1:5">
      <c r="A498" s="1173">
        <v>3859</v>
      </c>
      <c r="B498" s="1174" t="s">
        <v>567</v>
      </c>
      <c r="C498" s="1665"/>
      <c r="D498" s="1176"/>
      <c r="E498" s="1255"/>
    </row>
    <row r="499" spans="1:5">
      <c r="A499" s="1173">
        <v>3860</v>
      </c>
      <c r="B499" s="1174" t="s">
        <v>79</v>
      </c>
      <c r="C499" s="1666"/>
      <c r="D499" s="1176"/>
      <c r="E499" s="1255"/>
    </row>
    <row r="500" spans="1:5">
      <c r="A500" s="1173">
        <v>3861</v>
      </c>
      <c r="B500" s="1174" t="s">
        <v>573</v>
      </c>
      <c r="C500" s="1667"/>
      <c r="D500" s="1176"/>
      <c r="E500" s="1255"/>
    </row>
    <row r="501" spans="1:5">
      <c r="A501" s="1173">
        <v>3862</v>
      </c>
      <c r="B501" s="1174" t="s">
        <v>332</v>
      </c>
      <c r="C501" s="1668"/>
      <c r="D501" s="1176"/>
      <c r="E501" s="1255"/>
    </row>
    <row r="502" spans="1:5">
      <c r="A502" s="1173">
        <v>3863</v>
      </c>
      <c r="B502" s="1174" t="s">
        <v>488</v>
      </c>
      <c r="C502" s="1669"/>
      <c r="D502" s="1176"/>
      <c r="E502" s="1255"/>
    </row>
    <row r="503" spans="1:5">
      <c r="A503" s="1173">
        <v>3864</v>
      </c>
      <c r="B503" s="1174" t="s">
        <v>578</v>
      </c>
      <c r="C503" s="1670"/>
      <c r="D503" s="1176"/>
      <c r="E503" s="1255"/>
    </row>
    <row r="504" spans="1:5">
      <c r="A504" s="1173">
        <v>3865</v>
      </c>
      <c r="B504" s="1174" t="s">
        <v>80</v>
      </c>
      <c r="C504" s="1671"/>
      <c r="D504" s="1176"/>
      <c r="E504" s="1255"/>
    </row>
    <row r="505" spans="1:5">
      <c r="A505" s="1173">
        <v>3866</v>
      </c>
      <c r="B505" s="1174" t="s">
        <v>672</v>
      </c>
      <c r="C505" s="1672"/>
      <c r="D505" s="1176"/>
      <c r="E505" s="1255"/>
    </row>
    <row r="506" spans="1:5">
      <c r="A506" s="1673" t="s">
        <v>299</v>
      </c>
      <c r="B506" s="1174" t="s">
        <v>581</v>
      </c>
      <c r="C506" s="1239"/>
      <c r="D506" s="1176"/>
      <c r="E506" s="1255"/>
    </row>
    <row r="507" spans="1:5">
      <c r="A507" s="1673" t="s">
        <v>300</v>
      </c>
      <c r="B507" s="1174" t="s">
        <v>584</v>
      </c>
      <c r="C507" s="1228"/>
      <c r="D507" s="1176"/>
      <c r="E507" s="1255"/>
    </row>
    <row r="508" spans="1:5">
      <c r="A508" s="1673" t="s">
        <v>301</v>
      </c>
      <c r="B508" s="1174" t="s">
        <v>341</v>
      </c>
      <c r="C508" s="1440"/>
      <c r="D508" s="1176"/>
      <c r="E508" s="1255"/>
    </row>
    <row r="509" spans="1:5">
      <c r="A509" s="1673" t="s">
        <v>302</v>
      </c>
      <c r="B509" s="1174" t="s">
        <v>588</v>
      </c>
      <c r="C509" s="1367"/>
      <c r="D509" s="1176"/>
      <c r="E509" s="1255"/>
    </row>
    <row r="510" spans="1:5">
      <c r="A510" s="1673" t="s">
        <v>303</v>
      </c>
      <c r="B510" s="1174" t="s">
        <v>549</v>
      </c>
      <c r="C510" s="1319"/>
      <c r="D510" s="1176"/>
      <c r="E510" s="1255"/>
    </row>
    <row r="511" spans="1:5">
      <c r="A511" s="1673" t="s">
        <v>304</v>
      </c>
      <c r="B511" s="1174" t="s">
        <v>406</v>
      </c>
      <c r="C511" s="1249"/>
      <c r="D511" s="1176"/>
      <c r="E511" s="1255"/>
    </row>
    <row r="512" spans="1:5">
      <c r="A512" s="1673" t="s">
        <v>305</v>
      </c>
      <c r="B512" s="1174" t="s">
        <v>428</v>
      </c>
      <c r="C512" s="1562"/>
      <c r="D512" s="1176"/>
      <c r="E512" s="1255"/>
    </row>
    <row r="513" spans="1:5">
      <c r="A513" s="1673" t="s">
        <v>306</v>
      </c>
      <c r="B513" s="1174" t="s">
        <v>429</v>
      </c>
      <c r="C513" s="1234"/>
      <c r="D513" s="1176"/>
      <c r="E513" s="1255"/>
    </row>
    <row r="514" spans="1:5">
      <c r="A514" s="1673" t="s">
        <v>307</v>
      </c>
      <c r="B514" s="1174" t="s">
        <v>353</v>
      </c>
      <c r="C514" s="1578"/>
      <c r="D514" s="1176"/>
      <c r="E514" s="1255"/>
    </row>
    <row r="515" spans="1:5">
      <c r="A515" s="1673" t="s">
        <v>314</v>
      </c>
      <c r="B515" s="1174" t="s">
        <v>601</v>
      </c>
      <c r="C515" s="1298"/>
      <c r="D515" s="1176"/>
      <c r="E515" s="1255"/>
    </row>
    <row r="516" spans="1:5">
      <c r="A516" s="1673" t="s">
        <v>308</v>
      </c>
      <c r="B516" s="1174" t="s">
        <v>550</v>
      </c>
      <c r="C516" s="1590"/>
      <c r="D516" s="1176"/>
      <c r="E516" s="1255"/>
    </row>
    <row r="517" spans="1:5">
      <c r="A517" s="1673" t="s">
        <v>309</v>
      </c>
      <c r="B517" s="1174" t="s">
        <v>321</v>
      </c>
      <c r="C517" s="1520"/>
      <c r="D517" s="1176"/>
      <c r="E517" s="1255"/>
    </row>
    <row r="518" spans="1:5">
      <c r="A518" s="1673" t="s">
        <v>310</v>
      </c>
      <c r="B518" s="1174" t="s">
        <v>21</v>
      </c>
      <c r="C518" s="1381"/>
      <c r="D518" s="1176"/>
      <c r="E518" s="1255"/>
    </row>
    <row r="519" spans="1:5">
      <c r="A519" s="1673" t="s">
        <v>311</v>
      </c>
      <c r="B519" s="1174" t="s">
        <v>667</v>
      </c>
      <c r="C519" s="1320"/>
      <c r="D519" s="1176"/>
      <c r="E519" s="1255"/>
    </row>
    <row r="520" spans="1:5">
      <c r="A520" s="1673" t="s">
        <v>312</v>
      </c>
      <c r="B520" s="1174" t="s">
        <v>562</v>
      </c>
      <c r="C520" s="1460"/>
      <c r="D520" s="1176"/>
      <c r="E520" s="1255"/>
    </row>
    <row r="521" spans="1:5">
      <c r="A521" s="1673" t="s">
        <v>313</v>
      </c>
      <c r="B521" s="1174" t="s">
        <v>362</v>
      </c>
      <c r="C521" s="1350"/>
      <c r="D521" s="1176"/>
      <c r="E521" s="1255"/>
    </row>
    <row r="522" spans="1:5">
      <c r="A522" s="1673">
        <v>48</v>
      </c>
      <c r="B522" s="1675" t="s">
        <v>131</v>
      </c>
      <c r="C522" s="1675"/>
      <c r="D522" s="1176"/>
      <c r="E522" s="1255"/>
    </row>
    <row r="523" spans="1:5">
      <c r="A523" s="1673">
        <v>51</v>
      </c>
      <c r="B523" s="1675" t="s">
        <v>132</v>
      </c>
      <c r="C523" s="1675"/>
      <c r="D523" s="1176"/>
      <c r="E523" s="1255"/>
    </row>
    <row r="524" spans="1:5">
      <c r="A524" s="1673">
        <v>52</v>
      </c>
      <c r="B524" s="1675" t="s">
        <v>133</v>
      </c>
      <c r="C524" s="1675"/>
      <c r="D524" s="1176"/>
      <c r="E524" s="1255"/>
    </row>
    <row r="525" spans="1:5">
      <c r="A525" s="1673">
        <v>53</v>
      </c>
      <c r="B525" s="1675" t="s">
        <v>134</v>
      </c>
      <c r="C525" s="1675"/>
      <c r="D525" s="1176"/>
      <c r="E525" s="1255"/>
    </row>
    <row r="526" spans="1:5">
      <c r="A526" s="1673">
        <v>67</v>
      </c>
      <c r="B526" s="1675" t="s">
        <v>135</v>
      </c>
      <c r="C526" s="1675"/>
      <c r="D526" s="1176"/>
      <c r="E526" s="1255"/>
    </row>
    <row r="527" spans="1:5">
      <c r="A527" s="1673">
        <v>69</v>
      </c>
      <c r="B527" s="1675" t="s">
        <v>136</v>
      </c>
      <c r="C527" s="1675"/>
      <c r="D527" s="1176"/>
      <c r="E527" s="1255"/>
    </row>
    <row r="528" spans="1:5">
      <c r="A528" s="1673">
        <v>90</v>
      </c>
      <c r="B528" s="1675" t="s">
        <v>137</v>
      </c>
      <c r="C528" s="1675"/>
      <c r="D528" s="1176"/>
      <c r="E528" s="1255"/>
    </row>
    <row r="529" spans="1:5">
      <c r="A529" s="1673">
        <v>92</v>
      </c>
      <c r="B529" s="1675" t="s">
        <v>138</v>
      </c>
      <c r="C529" s="1675"/>
      <c r="D529" s="1176"/>
      <c r="E529" s="1255"/>
    </row>
    <row r="530" spans="1:5">
      <c r="A530" s="1673">
        <v>93</v>
      </c>
      <c r="B530" s="1675" t="s">
        <v>139</v>
      </c>
      <c r="C530" s="1675"/>
      <c r="D530" s="1176"/>
      <c r="E530" s="1255"/>
    </row>
    <row r="531" spans="1:5">
      <c r="A531" s="1673">
        <v>94</v>
      </c>
      <c r="B531" s="1675" t="s">
        <v>140</v>
      </c>
      <c r="C531" s="1675"/>
      <c r="D531" s="1176"/>
      <c r="E531" s="1255"/>
    </row>
    <row r="532" spans="1:5">
      <c r="A532" s="1673">
        <v>99</v>
      </c>
      <c r="B532" s="1675" t="s">
        <v>141</v>
      </c>
      <c r="C532" s="1675"/>
      <c r="D532" s="1176"/>
      <c r="E532" s="1255"/>
    </row>
    <row r="533" spans="1:5">
      <c r="A533" s="1673">
        <v>105</v>
      </c>
      <c r="B533" s="1675" t="s">
        <v>142</v>
      </c>
      <c r="C533" s="1675"/>
      <c r="D533" s="1176"/>
      <c r="E533" s="1255"/>
    </row>
    <row r="534" spans="1:5">
      <c r="A534" s="1256" t="s">
        <v>61</v>
      </c>
      <c r="B534" s="1647" t="s">
        <v>0</v>
      </c>
      <c r="C534" s="1256"/>
      <c r="D534" s="1256" t="s">
        <v>243</v>
      </c>
      <c r="E534" s="1256" t="s">
        <v>1741</v>
      </c>
    </row>
    <row r="535" spans="1:5">
      <c r="A535" s="1673">
        <v>106</v>
      </c>
      <c r="B535" s="1675" t="s">
        <v>143</v>
      </c>
      <c r="C535" s="1675"/>
      <c r="D535" s="1674"/>
      <c r="E535" s="1255"/>
    </row>
    <row r="536" spans="1:5">
      <c r="A536" s="1673">
        <v>107</v>
      </c>
      <c r="B536" s="1675" t="s">
        <v>144</v>
      </c>
      <c r="C536" s="1675"/>
      <c r="D536" s="1674"/>
      <c r="E536" s="1255"/>
    </row>
    <row r="537" spans="1:5">
      <c r="A537" s="1673">
        <v>111</v>
      </c>
      <c r="B537" s="1675" t="s">
        <v>145</v>
      </c>
      <c r="C537" s="1675"/>
      <c r="D537" s="1674"/>
      <c r="E537" s="1255"/>
    </row>
    <row r="538" spans="1:5">
      <c r="A538" s="1673">
        <v>115</v>
      </c>
      <c r="B538" s="1675" t="s">
        <v>146</v>
      </c>
      <c r="C538" s="1675"/>
      <c r="D538" s="1674"/>
      <c r="E538" s="1255"/>
    </row>
    <row r="539" spans="1:5">
      <c r="A539" s="1673">
        <v>121</v>
      </c>
      <c r="B539" s="1675" t="s">
        <v>147</v>
      </c>
      <c r="C539" s="1675"/>
      <c r="D539" s="1674"/>
      <c r="E539" s="1255"/>
    </row>
    <row r="540" spans="1:5">
      <c r="A540" s="1673">
        <v>125</v>
      </c>
      <c r="B540" s="1675" t="s">
        <v>148</v>
      </c>
      <c r="C540" s="1675"/>
      <c r="D540" s="1674"/>
      <c r="E540" s="1255"/>
    </row>
    <row r="541" spans="1:5">
      <c r="A541" s="1673">
        <v>127</v>
      </c>
      <c r="B541" s="1675" t="s">
        <v>1392</v>
      </c>
      <c r="C541" s="1255"/>
      <c r="D541" s="1674"/>
      <c r="E541" s="1255"/>
    </row>
    <row r="542" spans="1:5">
      <c r="A542" s="1673" t="s">
        <v>113</v>
      </c>
      <c r="B542" s="1675" t="s">
        <v>184</v>
      </c>
      <c r="C542" s="1255"/>
      <c r="D542" s="1674"/>
      <c r="E542" s="1255"/>
    </row>
    <row r="543" spans="1:5">
      <c r="A543" s="1673" t="s">
        <v>81</v>
      </c>
      <c r="B543" s="1675" t="s">
        <v>185</v>
      </c>
      <c r="C543" s="1675"/>
      <c r="D543" s="1674"/>
      <c r="E543" s="1255"/>
    </row>
    <row r="544" spans="1:5">
      <c r="A544" s="1673" t="s">
        <v>915</v>
      </c>
      <c r="B544" s="1675" t="s">
        <v>917</v>
      </c>
      <c r="C544" s="1677"/>
      <c r="D544" s="1674"/>
      <c r="E544" s="1255"/>
    </row>
    <row r="545" spans="1:5">
      <c r="A545" s="1673" t="s">
        <v>916</v>
      </c>
      <c r="B545" s="1675" t="s">
        <v>918</v>
      </c>
      <c r="C545" s="1677"/>
      <c r="D545" s="1674"/>
      <c r="E545" s="1255"/>
    </row>
    <row r="546" spans="1:5">
      <c r="A546" s="1673" t="s">
        <v>82</v>
      </c>
      <c r="B546" s="1675" t="s">
        <v>186</v>
      </c>
      <c r="C546" s="1675"/>
      <c r="D546" s="1674"/>
      <c r="E546" s="1255"/>
    </row>
    <row r="547" spans="1:5">
      <c r="A547" s="1673" t="s">
        <v>919</v>
      </c>
      <c r="B547" s="1675" t="s">
        <v>929</v>
      </c>
      <c r="C547" s="1677"/>
      <c r="D547" s="1674"/>
      <c r="E547" s="1255"/>
    </row>
    <row r="548" spans="1:5">
      <c r="A548" s="1673" t="s">
        <v>920</v>
      </c>
      <c r="B548" s="1675" t="s">
        <v>930</v>
      </c>
      <c r="C548" s="1677"/>
      <c r="D548" s="1674"/>
      <c r="E548" s="1255"/>
    </row>
    <row r="549" spans="1:5">
      <c r="A549" s="1673" t="s">
        <v>921</v>
      </c>
      <c r="B549" s="1675" t="s">
        <v>931</v>
      </c>
      <c r="C549" s="1677"/>
      <c r="D549" s="1674"/>
      <c r="E549" s="1255"/>
    </row>
    <row r="550" spans="1:5">
      <c r="A550" s="1673" t="s">
        <v>922</v>
      </c>
      <c r="B550" s="1675" t="s">
        <v>932</v>
      </c>
      <c r="C550" s="1677"/>
      <c r="D550" s="1674"/>
      <c r="E550" s="1255"/>
    </row>
    <row r="551" spans="1:5">
      <c r="A551" s="1673" t="s">
        <v>924</v>
      </c>
      <c r="B551" s="1675" t="s">
        <v>933</v>
      </c>
      <c r="C551" s="1677"/>
      <c r="D551" s="1674"/>
      <c r="E551" s="1255"/>
    </row>
    <row r="552" spans="1:5">
      <c r="A552" s="1673" t="s">
        <v>923</v>
      </c>
      <c r="B552" s="1675" t="s">
        <v>934</v>
      </c>
      <c r="C552" s="1677"/>
      <c r="D552" s="1176"/>
      <c r="E552" s="1255"/>
    </row>
    <row r="553" spans="1:5">
      <c r="A553" s="1673" t="s">
        <v>925</v>
      </c>
      <c r="B553" s="1675" t="s">
        <v>935</v>
      </c>
      <c r="C553" s="1677"/>
      <c r="D553" s="1176"/>
      <c r="E553" s="1255"/>
    </row>
    <row r="554" spans="1:5">
      <c r="A554" s="1673" t="s">
        <v>926</v>
      </c>
      <c r="B554" s="1675" t="s">
        <v>936</v>
      </c>
      <c r="C554" s="1678"/>
      <c r="D554" s="1176"/>
      <c r="E554" s="1255"/>
    </row>
    <row r="555" spans="1:5">
      <c r="A555" s="1673" t="s">
        <v>927</v>
      </c>
      <c r="B555" s="1675" t="s">
        <v>937</v>
      </c>
      <c r="C555" s="1216"/>
      <c r="D555" s="1176"/>
      <c r="E555" s="1255"/>
    </row>
    <row r="556" spans="1:5">
      <c r="A556" s="1673" t="s">
        <v>928</v>
      </c>
      <c r="B556" s="1675" t="s">
        <v>938</v>
      </c>
      <c r="C556" s="1218"/>
      <c r="D556" s="1176"/>
      <c r="E556" s="1255"/>
    </row>
    <row r="557" spans="1:5">
      <c r="A557" s="1673" t="s">
        <v>83</v>
      </c>
      <c r="B557" s="1675" t="s">
        <v>187</v>
      </c>
      <c r="C557" s="1219"/>
      <c r="D557" s="1176"/>
      <c r="E557" s="1255"/>
    </row>
    <row r="558" spans="1:5">
      <c r="A558" s="1673" t="s">
        <v>95</v>
      </c>
      <c r="B558" s="1675" t="s">
        <v>188</v>
      </c>
      <c r="C558" s="1232"/>
      <c r="D558" s="1176"/>
      <c r="E558" s="1255"/>
    </row>
    <row r="559" spans="1:5">
      <c r="A559" s="1673" t="s">
        <v>106</v>
      </c>
      <c r="B559" s="1675" t="s">
        <v>189</v>
      </c>
      <c r="C559" s="1237"/>
      <c r="D559" s="1176"/>
      <c r="E559" s="1255"/>
    </row>
    <row r="560" spans="1:5">
      <c r="A560" s="1673" t="s">
        <v>96</v>
      </c>
      <c r="B560" s="1675" t="s">
        <v>190</v>
      </c>
      <c r="C560" s="1243"/>
      <c r="D560" s="1176"/>
      <c r="E560" s="1255"/>
    </row>
    <row r="561" spans="1:5">
      <c r="A561" s="1673" t="s">
        <v>104</v>
      </c>
      <c r="B561" s="1675" t="s">
        <v>191</v>
      </c>
      <c r="C561" s="1247"/>
      <c r="D561" s="1176"/>
      <c r="E561" s="1255"/>
    </row>
    <row r="562" spans="1:5">
      <c r="A562" s="1673" t="s">
        <v>89</v>
      </c>
      <c r="B562" s="1675" t="s">
        <v>192</v>
      </c>
      <c r="C562" s="1251"/>
      <c r="D562" s="1176"/>
      <c r="E562" s="1255"/>
    </row>
    <row r="563" spans="1:5">
      <c r="A563" s="1673" t="s">
        <v>97</v>
      </c>
      <c r="B563" s="1675" t="s">
        <v>193</v>
      </c>
      <c r="C563" s="1252"/>
      <c r="D563" s="1176"/>
      <c r="E563" s="1255"/>
    </row>
    <row r="564" spans="1:5">
      <c r="A564" s="1673" t="s">
        <v>84</v>
      </c>
      <c r="B564" s="1675" t="s">
        <v>194</v>
      </c>
      <c r="C564" s="1260"/>
      <c r="D564" s="1176"/>
      <c r="E564" s="1255"/>
    </row>
    <row r="565" spans="1:5">
      <c r="A565" s="1673" t="s">
        <v>85</v>
      </c>
      <c r="B565" s="1675" t="s">
        <v>195</v>
      </c>
      <c r="C565" s="1265"/>
      <c r="D565" s="1176"/>
      <c r="E565" s="1255"/>
    </row>
    <row r="566" spans="1:5">
      <c r="A566" s="1673" t="s">
        <v>105</v>
      </c>
      <c r="B566" s="1675" t="s">
        <v>196</v>
      </c>
      <c r="C566" s="1289"/>
      <c r="D566" s="1176"/>
      <c r="E566" s="1255"/>
    </row>
    <row r="567" spans="1:5">
      <c r="A567" s="1673" t="s">
        <v>102</v>
      </c>
      <c r="B567" s="1675" t="s">
        <v>197</v>
      </c>
      <c r="C567" s="1295"/>
      <c r="D567" s="1176"/>
      <c r="E567" s="1255"/>
    </row>
    <row r="568" spans="1:5">
      <c r="A568" s="1673" t="s">
        <v>98</v>
      </c>
      <c r="B568" s="1675" t="s">
        <v>198</v>
      </c>
      <c r="C568" s="1355"/>
      <c r="D568" s="1176"/>
      <c r="E568" s="1255"/>
    </row>
    <row r="569" spans="1:5">
      <c r="A569" s="1673" t="s">
        <v>86</v>
      </c>
      <c r="B569" s="1675" t="s">
        <v>199</v>
      </c>
      <c r="C569" s="1357"/>
      <c r="D569" s="1176"/>
      <c r="E569" s="1255"/>
    </row>
    <row r="570" spans="1:5">
      <c r="A570" s="1673" t="s">
        <v>91</v>
      </c>
      <c r="B570" s="1675" t="s">
        <v>200</v>
      </c>
      <c r="C570" s="1361"/>
      <c r="D570" s="1176"/>
      <c r="E570" s="1255"/>
    </row>
    <row r="571" spans="1:5">
      <c r="A571" s="1673" t="s">
        <v>92</v>
      </c>
      <c r="B571" s="1675" t="s">
        <v>201</v>
      </c>
      <c r="C571" s="1364"/>
      <c r="D571" s="1176"/>
      <c r="E571" s="1255"/>
    </row>
    <row r="572" spans="1:5">
      <c r="A572" s="1673" t="s">
        <v>107</v>
      </c>
      <c r="B572" s="1675" t="s">
        <v>202</v>
      </c>
      <c r="C572" s="1387"/>
      <c r="D572" s="1176"/>
      <c r="E572" s="1255"/>
    </row>
    <row r="573" spans="1:5">
      <c r="A573" s="1673" t="s">
        <v>110</v>
      </c>
      <c r="B573" s="1675" t="s">
        <v>203</v>
      </c>
      <c r="C573" s="1388"/>
      <c r="D573" s="1176"/>
      <c r="E573" s="1255"/>
    </row>
    <row r="574" spans="1:5">
      <c r="A574" s="1673" t="s">
        <v>93</v>
      </c>
      <c r="B574" s="1675" t="s">
        <v>204</v>
      </c>
      <c r="C574" s="1419"/>
      <c r="D574" s="1176"/>
      <c r="E574" s="1255"/>
    </row>
    <row r="575" spans="1:5">
      <c r="A575" s="1673" t="s">
        <v>109</v>
      </c>
      <c r="B575" s="1675" t="s">
        <v>205</v>
      </c>
      <c r="C575" s="1422"/>
      <c r="D575" s="1176"/>
      <c r="E575" s="1255"/>
    </row>
    <row r="576" spans="1:5">
      <c r="A576" s="1673" t="s">
        <v>94</v>
      </c>
      <c r="B576" s="1675" t="s">
        <v>206</v>
      </c>
      <c r="C576" s="1429"/>
      <c r="D576" s="1176"/>
      <c r="E576" s="1255"/>
    </row>
    <row r="577" spans="1:5">
      <c r="A577" s="1673" t="s">
        <v>101</v>
      </c>
      <c r="B577" s="1675" t="s">
        <v>207</v>
      </c>
      <c r="C577" s="1453"/>
      <c r="D577" s="1176"/>
      <c r="E577" s="1255"/>
    </row>
    <row r="578" spans="1:5">
      <c r="A578" s="1673" t="s">
        <v>108</v>
      </c>
      <c r="B578" s="1675" t="s">
        <v>208</v>
      </c>
      <c r="C578" s="1503"/>
      <c r="D578" s="1176"/>
      <c r="E578" s="1255"/>
    </row>
    <row r="579" spans="1:5">
      <c r="A579" s="1673" t="s">
        <v>111</v>
      </c>
      <c r="B579" s="1675" t="s">
        <v>209</v>
      </c>
      <c r="C579" s="1504"/>
      <c r="D579" s="1176"/>
      <c r="E579" s="1255"/>
    </row>
    <row r="580" spans="1:5">
      <c r="A580" s="1673" t="s">
        <v>103</v>
      </c>
      <c r="B580" s="1675" t="s">
        <v>210</v>
      </c>
      <c r="C580" s="1562"/>
      <c r="D580" s="1176"/>
      <c r="E580" s="1255"/>
    </row>
    <row r="581" spans="1:5">
      <c r="A581" s="1673" t="s">
        <v>112</v>
      </c>
      <c r="B581" s="1675" t="s">
        <v>211</v>
      </c>
      <c r="C581" s="1679"/>
      <c r="D581" s="1176"/>
      <c r="E581" s="1255"/>
    </row>
    <row r="582" spans="1:5">
      <c r="A582" s="1256" t="s">
        <v>61</v>
      </c>
      <c r="B582" s="1257" t="s">
        <v>0</v>
      </c>
      <c r="C582" s="1258" t="s">
        <v>1</v>
      </c>
      <c r="D582" s="1258" t="s">
        <v>243</v>
      </c>
      <c r="E582" s="1258" t="s">
        <v>1741</v>
      </c>
    </row>
    <row r="583" spans="1:5">
      <c r="A583" s="1673" t="s">
        <v>99</v>
      </c>
      <c r="B583" s="1675" t="s">
        <v>212</v>
      </c>
      <c r="C583" s="1680"/>
      <c r="D583" s="1674"/>
      <c r="E583" s="1255"/>
    </row>
    <row r="584" spans="1:5">
      <c r="A584" s="1673" t="s">
        <v>87</v>
      </c>
      <c r="B584" s="1675" t="s">
        <v>213</v>
      </c>
      <c r="C584" s="1681"/>
      <c r="D584" s="1674"/>
      <c r="E584" s="1255"/>
    </row>
    <row r="585" spans="1:5">
      <c r="A585" s="1673" t="s">
        <v>88</v>
      </c>
      <c r="B585" s="1675" t="s">
        <v>214</v>
      </c>
      <c r="C585" s="1682"/>
      <c r="D585" s="1674"/>
      <c r="E585" s="1255"/>
    </row>
    <row r="586" spans="1:5">
      <c r="A586" s="1673" t="s">
        <v>90</v>
      </c>
      <c r="B586" s="1675" t="s">
        <v>215</v>
      </c>
      <c r="C586" s="1683"/>
      <c r="D586" s="1674"/>
      <c r="E586" s="1255"/>
    </row>
    <row r="587" spans="1:5">
      <c r="A587" s="1673" t="s">
        <v>100</v>
      </c>
      <c r="B587" s="1675" t="s">
        <v>216</v>
      </c>
      <c r="C587" s="1684"/>
      <c r="D587" s="1674"/>
      <c r="E587" s="1255"/>
    </row>
    <row r="588" spans="1:5">
      <c r="A588" s="1673" t="s">
        <v>114</v>
      </c>
      <c r="B588" s="1675" t="s">
        <v>939</v>
      </c>
      <c r="C588" s="1685"/>
      <c r="D588" s="1674"/>
      <c r="E588" s="1255"/>
    </row>
    <row r="589" spans="1:5">
      <c r="A589" s="1673" t="s">
        <v>115</v>
      </c>
      <c r="B589" s="1675" t="s">
        <v>940</v>
      </c>
      <c r="C589" s="1686"/>
      <c r="D589" s="1674"/>
      <c r="E589" s="1255"/>
    </row>
    <row r="590" spans="1:5">
      <c r="A590" s="1673" t="s">
        <v>948</v>
      </c>
      <c r="B590" s="1675" t="s">
        <v>951</v>
      </c>
      <c r="C590" s="1687"/>
      <c r="D590" s="1674"/>
      <c r="E590" s="1255"/>
    </row>
    <row r="591" spans="1:5">
      <c r="A591" s="1673" t="s">
        <v>949</v>
      </c>
      <c r="B591" s="1675" t="s">
        <v>952</v>
      </c>
      <c r="C591" s="1688"/>
      <c r="D591" s="1674"/>
      <c r="E591" s="1255"/>
    </row>
    <row r="592" spans="1:5">
      <c r="A592" s="1673" t="s">
        <v>950</v>
      </c>
      <c r="B592" s="1675" t="s">
        <v>953</v>
      </c>
      <c r="C592" s="1689"/>
      <c r="D592" s="1674"/>
      <c r="E592" s="1255"/>
    </row>
    <row r="593" spans="1:5">
      <c r="A593" s="1673" t="s">
        <v>941</v>
      </c>
      <c r="B593" s="1675" t="s">
        <v>954</v>
      </c>
      <c r="C593" s="1690"/>
      <c r="D593" s="1674"/>
      <c r="E593" s="1255"/>
    </row>
    <row r="594" spans="1:5">
      <c r="A594" s="1673" t="s">
        <v>942</v>
      </c>
      <c r="B594" s="1675" t="s">
        <v>955</v>
      </c>
      <c r="C594" s="1691"/>
      <c r="D594" s="1674"/>
      <c r="E594" s="1255"/>
    </row>
    <row r="595" spans="1:5">
      <c r="A595" s="1673" t="s">
        <v>943</v>
      </c>
      <c r="B595" s="1675" t="s">
        <v>956</v>
      </c>
      <c r="C595" s="1692"/>
      <c r="D595" s="1674"/>
      <c r="E595" s="1255"/>
    </row>
    <row r="596" spans="1:5">
      <c r="A596" s="1673" t="s">
        <v>944</v>
      </c>
      <c r="B596" s="1675" t="s">
        <v>957</v>
      </c>
      <c r="C596" s="1693"/>
      <c r="D596" s="1674"/>
      <c r="E596" s="1255"/>
    </row>
    <row r="597" spans="1:5">
      <c r="A597" s="1673" t="s">
        <v>945</v>
      </c>
      <c r="B597" s="1675" t="s">
        <v>958</v>
      </c>
      <c r="C597" s="1694"/>
      <c r="D597" s="1674"/>
      <c r="E597" s="1255"/>
    </row>
    <row r="598" spans="1:5">
      <c r="A598" s="1673" t="s">
        <v>946</v>
      </c>
      <c r="B598" s="1675" t="s">
        <v>959</v>
      </c>
      <c r="C598" s="1695"/>
      <c r="D598" s="1674"/>
      <c r="E598" s="1255"/>
    </row>
    <row r="599" spans="1:5">
      <c r="A599" s="1673" t="s">
        <v>947</v>
      </c>
      <c r="B599" s="1675" t="s">
        <v>960</v>
      </c>
      <c r="C599" s="1696"/>
      <c r="D599" s="1674"/>
      <c r="E599" s="1255"/>
    </row>
    <row r="600" spans="1:5">
      <c r="A600" s="1673" t="s">
        <v>116</v>
      </c>
      <c r="B600" s="1675" t="s">
        <v>117</v>
      </c>
      <c r="C600" s="1173"/>
      <c r="D600" s="1674"/>
      <c r="E600" s="1255"/>
    </row>
    <row r="601" spans="1:5">
      <c r="A601" s="1673">
        <v>5282</v>
      </c>
      <c r="B601" s="1174" t="s">
        <v>217</v>
      </c>
      <c r="C601" s="1372"/>
      <c r="D601" s="1674"/>
      <c r="E601" s="1255"/>
    </row>
    <row r="602" spans="1:5">
      <c r="A602" s="1673">
        <v>5283</v>
      </c>
      <c r="B602" s="1174" t="s">
        <v>218</v>
      </c>
      <c r="C602" s="1180"/>
      <c r="D602" s="1674"/>
      <c r="E602" s="1255"/>
    </row>
    <row r="603" spans="1:5">
      <c r="A603" s="1673">
        <v>4010</v>
      </c>
      <c r="B603" s="1174" t="s">
        <v>869</v>
      </c>
      <c r="C603" s="1675"/>
      <c r="D603" s="1674"/>
      <c r="E603" s="1255"/>
    </row>
    <row r="604" spans="1:5">
      <c r="A604" s="1673">
        <v>4015</v>
      </c>
      <c r="B604" s="1174" t="s">
        <v>149</v>
      </c>
      <c r="C604" s="1675"/>
      <c r="D604" s="1674"/>
      <c r="E604" s="1255"/>
    </row>
    <row r="605" spans="1:5">
      <c r="A605" s="1673">
        <v>4020</v>
      </c>
      <c r="B605" s="1174" t="s">
        <v>168</v>
      </c>
      <c r="C605" s="1675"/>
      <c r="D605" s="1674"/>
      <c r="E605" s="1255"/>
    </row>
    <row r="606" spans="1:5">
      <c r="A606" s="1673">
        <v>4025</v>
      </c>
      <c r="B606" s="1174" t="s">
        <v>169</v>
      </c>
      <c r="C606" s="1675"/>
      <c r="D606" s="1674"/>
      <c r="E606" s="1255"/>
    </row>
    <row r="607" spans="1:5">
      <c r="A607" s="1673">
        <v>4030</v>
      </c>
      <c r="B607" s="1174" t="s">
        <v>170</v>
      </c>
      <c r="C607" s="1675"/>
      <c r="D607" s="1674"/>
      <c r="E607" s="1255"/>
    </row>
    <row r="608" spans="1:5">
      <c r="A608" s="1673">
        <v>4040</v>
      </c>
      <c r="B608" s="1174" t="s">
        <v>171</v>
      </c>
      <c r="C608" s="1675"/>
      <c r="D608" s="1674"/>
      <c r="E608" s="1255"/>
    </row>
    <row r="609" spans="1:5">
      <c r="A609" s="1673">
        <v>4045</v>
      </c>
      <c r="B609" s="1174" t="s">
        <v>172</v>
      </c>
      <c r="C609" s="1675"/>
      <c r="D609" s="1674"/>
      <c r="E609" s="1255"/>
    </row>
    <row r="610" spans="1:5">
      <c r="A610" s="1673">
        <v>4050</v>
      </c>
      <c r="B610" s="1174" t="s">
        <v>173</v>
      </c>
      <c r="C610" s="1675"/>
      <c r="D610" s="1674"/>
      <c r="E610" s="1255"/>
    </row>
    <row r="611" spans="1:5">
      <c r="A611" s="1673">
        <v>4060</v>
      </c>
      <c r="B611" s="1174" t="s">
        <v>174</v>
      </c>
      <c r="C611" s="1675"/>
      <c r="D611" s="1674"/>
      <c r="E611" s="1255"/>
    </row>
    <row r="612" spans="1:5">
      <c r="A612" s="1673">
        <v>4065</v>
      </c>
      <c r="B612" s="1174" t="s">
        <v>175</v>
      </c>
      <c r="C612" s="1675"/>
      <c r="D612" s="1674"/>
      <c r="E612" s="1255"/>
    </row>
    <row r="613" spans="1:5">
      <c r="A613" s="1673">
        <v>4070</v>
      </c>
      <c r="B613" s="1174" t="s">
        <v>176</v>
      </c>
      <c r="C613" s="1675"/>
      <c r="D613" s="1674"/>
      <c r="E613" s="1255"/>
    </row>
    <row r="614" spans="1:5">
      <c r="A614" s="1673">
        <v>4075</v>
      </c>
      <c r="B614" s="1174" t="s">
        <v>177</v>
      </c>
      <c r="C614" s="1675"/>
      <c r="D614" s="1674"/>
      <c r="E614" s="1255"/>
    </row>
    <row r="615" spans="1:5">
      <c r="A615" s="1673">
        <v>4077</v>
      </c>
      <c r="B615" s="1174" t="s">
        <v>178</v>
      </c>
      <c r="C615" s="1675"/>
      <c r="D615" s="1674"/>
      <c r="E615" s="1255"/>
    </row>
    <row r="616" spans="1:5">
      <c r="A616" s="1673">
        <v>4080</v>
      </c>
      <c r="B616" s="1174" t="s">
        <v>179</v>
      </c>
      <c r="C616" s="1675"/>
      <c r="D616" s="1674"/>
      <c r="E616" s="1255"/>
    </row>
    <row r="617" spans="1:5">
      <c r="A617" s="1673">
        <v>4090</v>
      </c>
      <c r="B617" s="1174" t="s">
        <v>180</v>
      </c>
      <c r="C617" s="1675"/>
      <c r="D617" s="1674"/>
      <c r="E617" s="1255"/>
    </row>
    <row r="618" spans="1:5">
      <c r="A618" s="1673">
        <v>4100</v>
      </c>
      <c r="B618" s="1174" t="s">
        <v>181</v>
      </c>
      <c r="C618" s="1675"/>
      <c r="D618" s="1674"/>
      <c r="E618" s="1255"/>
    </row>
    <row r="619" spans="1:5">
      <c r="A619" s="1673">
        <v>4110</v>
      </c>
      <c r="B619" s="1174" t="s">
        <v>182</v>
      </c>
      <c r="C619" s="1675"/>
      <c r="D619" s="1674"/>
      <c r="E619" s="1255"/>
    </row>
    <row r="620" spans="1:5">
      <c r="A620" s="1673">
        <v>4120</v>
      </c>
      <c r="B620" s="1174" t="s">
        <v>183</v>
      </c>
      <c r="C620" s="1675"/>
      <c r="D620" s="1697"/>
      <c r="E620" s="1255"/>
    </row>
    <row r="621" spans="1:5">
      <c r="A621" s="1673">
        <v>4124</v>
      </c>
      <c r="B621" s="1174" t="s">
        <v>150</v>
      </c>
      <c r="C621" s="1675"/>
      <c r="D621" s="1697"/>
      <c r="E621" s="1255"/>
    </row>
    <row r="622" spans="1:5">
      <c r="A622" s="1673">
        <v>4126</v>
      </c>
      <c r="B622" s="1174" t="s">
        <v>151</v>
      </c>
      <c r="C622" s="1255"/>
      <c r="D622" s="1697"/>
      <c r="E622" s="1255"/>
    </row>
    <row r="623" spans="1:5">
      <c r="A623" s="1673">
        <v>4128</v>
      </c>
      <c r="B623" s="1174" t="s">
        <v>152</v>
      </c>
      <c r="C623" s="1675"/>
      <c r="D623" s="1697"/>
      <c r="E623" s="1255"/>
    </row>
    <row r="624" spans="1:5">
      <c r="A624" s="1673">
        <v>4130</v>
      </c>
      <c r="B624" s="1174" t="s">
        <v>153</v>
      </c>
      <c r="C624" s="1675"/>
      <c r="D624" s="1697"/>
      <c r="E624" s="1255"/>
    </row>
    <row r="625" spans="1:5">
      <c r="A625" s="1673">
        <v>4140</v>
      </c>
      <c r="B625" s="1174" t="s">
        <v>154</v>
      </c>
      <c r="C625" s="1675"/>
      <c r="D625" s="1697"/>
      <c r="E625" s="1255"/>
    </row>
    <row r="626" spans="1:5">
      <c r="A626" s="1673">
        <v>4145</v>
      </c>
      <c r="B626" s="1174" t="s">
        <v>155</v>
      </c>
      <c r="C626" s="1675"/>
      <c r="D626" s="1697"/>
      <c r="E626" s="1255"/>
    </row>
    <row r="627" spans="1:5">
      <c r="A627" s="1673">
        <v>4150</v>
      </c>
      <c r="B627" s="1174" t="s">
        <v>156</v>
      </c>
      <c r="C627" s="1675"/>
      <c r="D627" s="1676"/>
      <c r="E627" s="1255"/>
    </row>
    <row r="628" spans="1:5">
      <c r="A628" s="1673">
        <v>4160</v>
      </c>
      <c r="B628" s="1174" t="s">
        <v>157</v>
      </c>
      <c r="C628" s="1675"/>
      <c r="D628" s="1674"/>
      <c r="E628" s="1255"/>
    </row>
    <row r="629" spans="1:5">
      <c r="A629" s="1673">
        <v>4170</v>
      </c>
      <c r="B629" s="1174" t="s">
        <v>158</v>
      </c>
      <c r="C629" s="1675"/>
      <c r="D629" s="1674"/>
      <c r="E629" s="1255"/>
    </row>
    <row r="630" spans="1:5">
      <c r="A630" s="1256" t="s">
        <v>61</v>
      </c>
      <c r="B630" s="1257" t="s">
        <v>0</v>
      </c>
      <c r="C630" s="1258" t="s">
        <v>1</v>
      </c>
      <c r="D630" s="1258" t="s">
        <v>243</v>
      </c>
      <c r="E630" s="1258" t="s">
        <v>1741</v>
      </c>
    </row>
    <row r="631" spans="1:5">
      <c r="A631" s="1673">
        <v>4180</v>
      </c>
      <c r="B631" s="1174" t="s">
        <v>159</v>
      </c>
      <c r="C631" s="1675"/>
      <c r="D631" s="1674"/>
      <c r="E631" s="1255"/>
    </row>
    <row r="632" spans="1:5">
      <c r="A632" s="1673">
        <v>4190</v>
      </c>
      <c r="B632" s="1174" t="s">
        <v>160</v>
      </c>
      <c r="C632" s="1675"/>
      <c r="D632" s="1674"/>
      <c r="E632" s="1255"/>
    </row>
    <row r="633" spans="1:5">
      <c r="A633" s="1673">
        <v>4200</v>
      </c>
      <c r="B633" s="1174" t="s">
        <v>161</v>
      </c>
      <c r="C633" s="1675"/>
      <c r="D633" s="1674"/>
      <c r="E633" s="1255"/>
    </row>
    <row r="634" spans="1:5">
      <c r="A634" s="1673">
        <v>4210</v>
      </c>
      <c r="B634" s="1174" t="s">
        <v>162</v>
      </c>
      <c r="C634" s="1675"/>
      <c r="D634" s="1674"/>
      <c r="E634" s="1255"/>
    </row>
    <row r="635" spans="1:5">
      <c r="A635" s="1673">
        <v>4215</v>
      </c>
      <c r="B635" s="1174" t="s">
        <v>163</v>
      </c>
      <c r="C635" s="1675"/>
      <c r="D635" s="1674"/>
      <c r="E635" s="1255"/>
    </row>
    <row r="636" spans="1:5">
      <c r="A636" s="1673">
        <v>4220</v>
      </c>
      <c r="B636" s="1174" t="s">
        <v>164</v>
      </c>
      <c r="C636" s="1675"/>
      <c r="D636" s="1674"/>
      <c r="E636" s="1255"/>
    </row>
    <row r="637" spans="1:5">
      <c r="A637" s="1673">
        <v>4230</v>
      </c>
      <c r="B637" s="1174" t="s">
        <v>165</v>
      </c>
      <c r="C637" s="1675"/>
      <c r="D637" s="1674"/>
      <c r="E637" s="1255"/>
    </row>
    <row r="638" spans="1:5">
      <c r="A638" s="1673">
        <v>4235</v>
      </c>
      <c r="B638" s="1174" t="s">
        <v>166</v>
      </c>
      <c r="C638" s="1675"/>
      <c r="D638" s="1674"/>
      <c r="E638" s="1255"/>
    </row>
    <row r="639" spans="1:5">
      <c r="A639" s="1673">
        <v>4240</v>
      </c>
      <c r="B639" s="1174" t="s">
        <v>167</v>
      </c>
      <c r="C639" s="1675"/>
      <c r="D639" s="1674"/>
      <c r="E639" s="1255"/>
    </row>
    <row r="678" spans="1:5">
      <c r="A678" s="1698" t="s">
        <v>61</v>
      </c>
      <c r="B678" s="1699" t="s">
        <v>0</v>
      </c>
      <c r="C678" s="1700" t="s">
        <v>1</v>
      </c>
      <c r="D678" s="1700" t="s">
        <v>243</v>
      </c>
      <c r="E678" s="1700" t="s">
        <v>1741</v>
      </c>
    </row>
    <row r="679" spans="1:5">
      <c r="A679" s="1673">
        <v>4500</v>
      </c>
      <c r="B679" s="1174" t="s">
        <v>219</v>
      </c>
      <c r="C679" s="1675"/>
      <c r="D679" s="1674"/>
      <c r="E679" s="1255"/>
    </row>
    <row r="680" spans="1:5">
      <c r="A680" s="1673">
        <v>4501</v>
      </c>
      <c r="B680" s="1174" t="s">
        <v>220</v>
      </c>
      <c r="C680" s="1675"/>
      <c r="D680" s="1674"/>
      <c r="E680" s="1255"/>
    </row>
    <row r="681" spans="1:5">
      <c r="A681" s="1673">
        <v>4502</v>
      </c>
      <c r="B681" s="1174" t="s">
        <v>221</v>
      </c>
      <c r="C681" s="1255"/>
      <c r="D681" s="1674"/>
      <c r="E681" s="1255"/>
    </row>
    <row r="682" spans="1:5">
      <c r="A682" s="1673">
        <v>4503</v>
      </c>
      <c r="B682" s="1174" t="s">
        <v>222</v>
      </c>
      <c r="C682" s="1675"/>
      <c r="D682" s="1674"/>
      <c r="E682" s="1255"/>
    </row>
    <row r="683" spans="1:5">
      <c r="A683" s="1673">
        <v>4504</v>
      </c>
      <c r="B683" s="1174" t="s">
        <v>223</v>
      </c>
      <c r="C683" s="1675"/>
      <c r="D683" s="1674"/>
      <c r="E683" s="1255"/>
    </row>
    <row r="684" spans="1:5">
      <c r="A684" s="1673">
        <v>4505</v>
      </c>
      <c r="B684" s="1174" t="s">
        <v>224</v>
      </c>
      <c r="C684" s="1675"/>
      <c r="D684" s="1674"/>
      <c r="E684" s="1255"/>
    </row>
    <row r="685" spans="1:5">
      <c r="A685" s="1673">
        <v>4506</v>
      </c>
      <c r="B685" s="1174" t="s">
        <v>225</v>
      </c>
      <c r="C685" s="1675"/>
      <c r="D685" s="1674"/>
      <c r="E685" s="1255"/>
    </row>
    <row r="686" spans="1:5">
      <c r="A686" s="1673">
        <v>4507</v>
      </c>
      <c r="B686" s="1174" t="s">
        <v>226</v>
      </c>
      <c r="C686" s="1675"/>
      <c r="D686" s="1674"/>
      <c r="E686" s="1255"/>
    </row>
    <row r="687" spans="1:5">
      <c r="A687" s="1673">
        <v>4508</v>
      </c>
      <c r="B687" s="1174" t="s">
        <v>227</v>
      </c>
      <c r="C687" s="1675"/>
      <c r="D687" s="1674"/>
      <c r="E687" s="1255"/>
    </row>
    <row r="688" spans="1:5">
      <c r="A688" s="1673">
        <v>4509</v>
      </c>
      <c r="B688" s="1174" t="s">
        <v>228</v>
      </c>
      <c r="C688" s="1675"/>
      <c r="D688" s="1674"/>
      <c r="E688" s="1255"/>
    </row>
    <row r="689" spans="1:5">
      <c r="A689" s="1673">
        <v>4510</v>
      </c>
      <c r="B689" s="1174" t="s">
        <v>229</v>
      </c>
      <c r="C689" s="1675"/>
      <c r="D689" s="1674"/>
      <c r="E689" s="1255"/>
    </row>
    <row r="690" spans="1:5">
      <c r="A690" s="1673">
        <v>4511</v>
      </c>
      <c r="B690" s="1174" t="s">
        <v>230</v>
      </c>
      <c r="C690" s="1675"/>
      <c r="D690" s="1674"/>
      <c r="E690" s="1255"/>
    </row>
    <row r="691" spans="1:5">
      <c r="A691" s="1673">
        <v>4512</v>
      </c>
      <c r="B691" s="1174" t="s">
        <v>231</v>
      </c>
      <c r="C691" s="1675"/>
      <c r="D691" s="1674"/>
      <c r="E691" s="1255"/>
    </row>
    <row r="692" spans="1:5">
      <c r="A692" s="1673">
        <v>4513</v>
      </c>
      <c r="B692" s="1174" t="s">
        <v>232</v>
      </c>
      <c r="C692" s="1675"/>
      <c r="D692" s="1674"/>
      <c r="E692" s="1255"/>
    </row>
    <row r="693" spans="1:5">
      <c r="A693" s="1673">
        <v>4514</v>
      </c>
      <c r="B693" s="1174" t="s">
        <v>233</v>
      </c>
      <c r="C693" s="1675"/>
      <c r="D693" s="1674"/>
      <c r="E693" s="1255"/>
    </row>
    <row r="694" spans="1:5">
      <c r="A694" s="1673">
        <v>4515</v>
      </c>
      <c r="B694" s="1174" t="s">
        <v>234</v>
      </c>
      <c r="C694" s="1675"/>
      <c r="D694" s="1674"/>
      <c r="E694" s="1255"/>
    </row>
    <row r="695" spans="1:5">
      <c r="A695" s="1673">
        <v>4516</v>
      </c>
      <c r="B695" s="1174" t="s">
        <v>235</v>
      </c>
      <c r="C695" s="1255"/>
      <c r="D695" s="1674"/>
      <c r="E695" s="1255"/>
    </row>
    <row r="696" spans="1:5">
      <c r="A696" s="1673">
        <v>4517</v>
      </c>
      <c r="B696" s="1174" t="s">
        <v>236</v>
      </c>
      <c r="C696" s="1675"/>
      <c r="D696" s="1674"/>
      <c r="E696" s="1255"/>
    </row>
    <row r="697" spans="1:5">
      <c r="A697" s="1673">
        <v>4518</v>
      </c>
      <c r="B697" s="1174" t="s">
        <v>237</v>
      </c>
      <c r="C697" s="1675"/>
      <c r="D697" s="1674"/>
      <c r="E697" s="1255"/>
    </row>
    <row r="698" spans="1:5">
      <c r="A698" s="1673">
        <v>4519</v>
      </c>
      <c r="B698" s="1174" t="s">
        <v>238</v>
      </c>
      <c r="C698" s="1255"/>
      <c r="D698" s="1674"/>
      <c r="E698" s="1255"/>
    </row>
    <row r="699" spans="1:5">
      <c r="A699" s="1673">
        <v>4520</v>
      </c>
      <c r="B699" s="1174" t="s">
        <v>239</v>
      </c>
      <c r="C699" s="1255"/>
      <c r="D699" s="1674"/>
      <c r="E699" s="1255"/>
    </row>
    <row r="700" spans="1:5">
      <c r="A700" s="1673">
        <v>4521</v>
      </c>
      <c r="B700" s="1174" t="s">
        <v>240</v>
      </c>
      <c r="C700" s="1673"/>
      <c r="D700" s="1674"/>
      <c r="E700" s="1255"/>
    </row>
    <row r="701" spans="1:5">
      <c r="A701" s="1673">
        <v>4522</v>
      </c>
      <c r="B701" s="1174" t="s">
        <v>241</v>
      </c>
      <c r="C701" s="1673"/>
      <c r="D701" s="1674"/>
      <c r="E701" s="1255"/>
    </row>
    <row r="702" spans="1:5">
      <c r="A702" s="1673">
        <v>4523</v>
      </c>
      <c r="B702" s="1174" t="s">
        <v>242</v>
      </c>
      <c r="C702" s="1673"/>
      <c r="D702" s="1674"/>
      <c r="E702" s="1255"/>
    </row>
    <row r="726" spans="1:5">
      <c r="A726" s="1256" t="s">
        <v>61</v>
      </c>
      <c r="B726" s="1257" t="s">
        <v>0</v>
      </c>
      <c r="C726" s="1258" t="s">
        <v>1</v>
      </c>
      <c r="D726" s="1258" t="s">
        <v>243</v>
      </c>
      <c r="E726" s="1258" t="s">
        <v>1741</v>
      </c>
    </row>
    <row r="727" spans="1:5">
      <c r="A727" s="1673" t="s">
        <v>276</v>
      </c>
      <c r="B727" s="1174" t="s">
        <v>278</v>
      </c>
      <c r="C727" s="1178"/>
      <c r="D727" s="1674"/>
      <c r="E727" s="1255"/>
    </row>
    <row r="728" spans="1:5">
      <c r="A728" s="1673" t="s">
        <v>277</v>
      </c>
      <c r="B728" s="1174" t="s">
        <v>279</v>
      </c>
      <c r="C728" s="1175"/>
      <c r="D728" s="1674"/>
      <c r="E728" s="1255"/>
    </row>
    <row r="729" spans="1:5">
      <c r="A729" s="1673" t="s">
        <v>244</v>
      </c>
      <c r="B729" s="1174" t="s">
        <v>280</v>
      </c>
      <c r="C729" s="1247"/>
      <c r="D729" s="1674"/>
      <c r="E729" s="1255"/>
    </row>
    <row r="730" spans="1:5">
      <c r="A730" s="1673" t="s">
        <v>245</v>
      </c>
      <c r="B730" s="1174" t="s">
        <v>582</v>
      </c>
      <c r="C730" s="1253"/>
      <c r="D730" s="1674"/>
      <c r="E730" s="1255"/>
    </row>
    <row r="731" spans="1:5">
      <c r="A731" s="1673" t="s">
        <v>246</v>
      </c>
      <c r="B731" s="1174" t="s">
        <v>281</v>
      </c>
      <c r="C731" s="1260"/>
      <c r="D731" s="1674"/>
      <c r="E731" s="1255"/>
    </row>
    <row r="732" spans="1:5">
      <c r="A732" s="1673" t="s">
        <v>247</v>
      </c>
      <c r="B732" s="1174" t="s">
        <v>282</v>
      </c>
      <c r="C732" s="1289"/>
      <c r="D732" s="1674"/>
      <c r="E732" s="1255"/>
    </row>
    <row r="733" spans="1:5">
      <c r="A733" s="1673" t="s">
        <v>248</v>
      </c>
      <c r="B733" s="1174" t="s">
        <v>497</v>
      </c>
      <c r="C733" s="1292"/>
      <c r="D733" s="1674"/>
      <c r="E733" s="1255"/>
    </row>
    <row r="734" spans="1:5">
      <c r="A734" s="1673" t="s">
        <v>249</v>
      </c>
      <c r="B734" s="1174" t="s">
        <v>283</v>
      </c>
      <c r="C734" s="1295"/>
      <c r="D734" s="1674"/>
      <c r="E734" s="1255"/>
    </row>
    <row r="735" spans="1:5">
      <c r="A735" s="1673" t="s">
        <v>250</v>
      </c>
      <c r="B735" s="1174" t="s">
        <v>346</v>
      </c>
      <c r="C735" s="1297"/>
      <c r="D735" s="1674"/>
      <c r="E735" s="1255"/>
    </row>
    <row r="736" spans="1:5">
      <c r="A736" s="1673" t="s">
        <v>251</v>
      </c>
      <c r="B736" s="1174" t="s">
        <v>597</v>
      </c>
      <c r="C736" s="1303"/>
      <c r="D736" s="1674"/>
      <c r="E736" s="1255"/>
    </row>
    <row r="737" spans="1:5">
      <c r="A737" s="1673" t="s">
        <v>252</v>
      </c>
      <c r="B737" s="1174" t="s">
        <v>284</v>
      </c>
      <c r="C737" s="1314"/>
      <c r="D737" s="1674"/>
      <c r="E737" s="1255"/>
    </row>
    <row r="738" spans="1:5">
      <c r="A738" s="1673" t="s">
        <v>253</v>
      </c>
      <c r="B738" s="1174" t="s">
        <v>430</v>
      </c>
      <c r="C738" s="1321"/>
      <c r="D738" s="1674"/>
      <c r="E738" s="1255"/>
    </row>
    <row r="739" spans="1:5">
      <c r="A739" s="1673" t="s">
        <v>254</v>
      </c>
      <c r="B739" s="1174" t="s">
        <v>602</v>
      </c>
      <c r="C739" s="1324"/>
      <c r="D739" s="1674"/>
      <c r="E739" s="1255"/>
    </row>
    <row r="740" spans="1:5">
      <c r="A740" s="1673" t="s">
        <v>255</v>
      </c>
      <c r="B740" s="1174" t="s">
        <v>432</v>
      </c>
      <c r="C740" s="1333"/>
      <c r="D740" s="1674"/>
      <c r="E740" s="1255"/>
    </row>
    <row r="741" spans="1:5">
      <c r="A741" s="1673" t="s">
        <v>792</v>
      </c>
      <c r="B741" s="1174" t="s">
        <v>793</v>
      </c>
      <c r="C741" s="1701"/>
      <c r="D741" s="1674"/>
      <c r="E741" s="1255"/>
    </row>
    <row r="742" spans="1:5">
      <c r="A742" s="1673" t="s">
        <v>256</v>
      </c>
      <c r="B742" s="1174" t="s">
        <v>455</v>
      </c>
      <c r="C742" s="1353"/>
      <c r="D742" s="1674"/>
      <c r="E742" s="1255"/>
    </row>
    <row r="743" spans="1:5">
      <c r="A743" s="1673" t="s">
        <v>257</v>
      </c>
      <c r="B743" s="1174" t="s">
        <v>285</v>
      </c>
      <c r="C743" s="1357"/>
      <c r="D743" s="1674"/>
      <c r="E743" s="1255"/>
    </row>
    <row r="744" spans="1:5">
      <c r="A744" s="1673" t="s">
        <v>258</v>
      </c>
      <c r="B744" s="1174" t="s">
        <v>286</v>
      </c>
      <c r="C744" s="1369"/>
      <c r="D744" s="1674"/>
      <c r="E744" s="1255"/>
    </row>
    <row r="745" spans="1:5">
      <c r="A745" s="1673" t="s">
        <v>259</v>
      </c>
      <c r="B745" s="1174" t="s">
        <v>610</v>
      </c>
      <c r="C745" s="1379"/>
      <c r="D745" s="1674"/>
      <c r="E745" s="1255"/>
    </row>
    <row r="746" spans="1:5">
      <c r="A746" s="1673" t="s">
        <v>260</v>
      </c>
      <c r="B746" s="1174" t="s">
        <v>287</v>
      </c>
      <c r="C746" s="1381"/>
      <c r="D746" s="1674"/>
      <c r="E746" s="1255"/>
    </row>
    <row r="747" spans="1:5">
      <c r="A747" s="1673" t="s">
        <v>261</v>
      </c>
      <c r="B747" s="1174" t="s">
        <v>364</v>
      </c>
      <c r="C747" s="1410"/>
      <c r="D747" s="1674"/>
      <c r="E747" s="1255"/>
    </row>
    <row r="748" spans="1:5">
      <c r="A748" s="1673" t="s">
        <v>262</v>
      </c>
      <c r="B748" s="1174" t="s">
        <v>367</v>
      </c>
      <c r="C748" s="1418"/>
      <c r="D748" s="1674"/>
      <c r="E748" s="1255"/>
    </row>
    <row r="749" spans="1:5">
      <c r="A749" s="1673" t="s">
        <v>263</v>
      </c>
      <c r="B749" s="1174" t="s">
        <v>288</v>
      </c>
      <c r="C749" s="1420"/>
      <c r="D749" s="1674"/>
      <c r="E749" s="1255"/>
    </row>
    <row r="750" spans="1:5">
      <c r="A750" s="1673" t="s">
        <v>264</v>
      </c>
      <c r="B750" s="1174" t="s">
        <v>438</v>
      </c>
      <c r="C750" s="1425"/>
      <c r="D750" s="1674"/>
      <c r="E750" s="1255"/>
    </row>
    <row r="751" spans="1:5">
      <c r="A751" s="1673" t="s">
        <v>265</v>
      </c>
      <c r="B751" s="1174" t="s">
        <v>373</v>
      </c>
      <c r="C751" s="1427"/>
      <c r="D751" s="1674"/>
      <c r="E751" s="1255"/>
    </row>
    <row r="752" spans="1:5">
      <c r="A752" s="1673" t="s">
        <v>266</v>
      </c>
      <c r="B752" s="1174" t="s">
        <v>514</v>
      </c>
      <c r="C752" s="1441"/>
      <c r="D752" s="1674"/>
      <c r="E752" s="1255"/>
    </row>
    <row r="753" spans="1:5">
      <c r="A753" s="1673" t="s">
        <v>267</v>
      </c>
      <c r="B753" s="1174" t="s">
        <v>678</v>
      </c>
      <c r="C753" s="1447"/>
      <c r="D753" s="1674"/>
      <c r="E753" s="1255"/>
    </row>
    <row r="754" spans="1:5">
      <c r="A754" s="1673" t="s">
        <v>268</v>
      </c>
      <c r="B754" s="1174" t="s">
        <v>376</v>
      </c>
      <c r="C754" s="1455"/>
      <c r="D754" s="1674"/>
      <c r="E754" s="1255"/>
    </row>
    <row r="755" spans="1:5">
      <c r="A755" s="1673" t="s">
        <v>269</v>
      </c>
      <c r="B755" s="1174" t="s">
        <v>630</v>
      </c>
      <c r="C755" s="1460"/>
      <c r="D755" s="1674"/>
      <c r="E755" s="1255"/>
    </row>
    <row r="756" spans="1:5">
      <c r="A756" s="1673" t="s">
        <v>270</v>
      </c>
      <c r="B756" s="1174" t="s">
        <v>378</v>
      </c>
      <c r="C756" s="1466"/>
      <c r="D756" s="1674"/>
      <c r="E756" s="1255"/>
    </row>
    <row r="757" spans="1:5">
      <c r="A757" s="1673" t="s">
        <v>271</v>
      </c>
      <c r="B757" s="1174" t="s">
        <v>680</v>
      </c>
      <c r="C757" s="1484"/>
      <c r="D757" s="1674"/>
      <c r="E757" s="1255"/>
    </row>
    <row r="758" spans="1:5">
      <c r="A758" s="1673" t="s">
        <v>272</v>
      </c>
      <c r="B758" s="1174" t="s">
        <v>689</v>
      </c>
      <c r="C758" s="1507"/>
      <c r="D758" s="1674"/>
      <c r="E758" s="1255"/>
    </row>
    <row r="759" spans="1:5">
      <c r="A759" s="1673" t="s">
        <v>273</v>
      </c>
      <c r="B759" s="1174" t="s">
        <v>382</v>
      </c>
      <c r="C759" s="1520"/>
      <c r="D759" s="1674"/>
      <c r="E759" s="1255"/>
    </row>
    <row r="760" spans="1:5">
      <c r="A760" s="1673" t="s">
        <v>274</v>
      </c>
      <c r="B760" s="1174" t="s">
        <v>289</v>
      </c>
      <c r="C760" s="1557"/>
      <c r="D760" s="1674"/>
      <c r="E760" s="1255"/>
    </row>
    <row r="761" spans="1:5">
      <c r="A761" s="1673" t="s">
        <v>275</v>
      </c>
      <c r="B761" s="1174" t="s">
        <v>443</v>
      </c>
      <c r="C761" s="1653"/>
      <c r="D761" s="1674"/>
      <c r="E761" s="1255"/>
    </row>
    <row r="774" spans="1:5">
      <c r="A774" s="1698" t="s">
        <v>61</v>
      </c>
      <c r="B774" s="1699" t="s">
        <v>0</v>
      </c>
      <c r="C774" s="1700" t="s">
        <v>1</v>
      </c>
      <c r="D774" s="1700" t="s">
        <v>243</v>
      </c>
      <c r="E774" s="1700" t="s">
        <v>1741</v>
      </c>
    </row>
    <row r="775" spans="1:5">
      <c r="A775" s="1673" t="s">
        <v>812</v>
      </c>
      <c r="B775" s="1675" t="s">
        <v>813</v>
      </c>
      <c r="C775" s="1178"/>
      <c r="D775" s="1176"/>
      <c r="E775" s="1255"/>
    </row>
    <row r="776" spans="1:5">
      <c r="A776" s="1673" t="s">
        <v>795</v>
      </c>
      <c r="B776" s="1174" t="s">
        <v>798</v>
      </c>
      <c r="C776" s="1237"/>
      <c r="D776" s="1176"/>
      <c r="E776" s="1255"/>
    </row>
    <row r="777" spans="1:5">
      <c r="A777" s="1673" t="s">
        <v>796</v>
      </c>
      <c r="B777" s="1675" t="s">
        <v>799</v>
      </c>
      <c r="C777" s="1245"/>
      <c r="D777" s="1176"/>
      <c r="E777" s="1255"/>
    </row>
    <row r="778" spans="1:5">
      <c r="A778" s="1673" t="s">
        <v>797</v>
      </c>
      <c r="B778" s="1675" t="s">
        <v>800</v>
      </c>
      <c r="C778" s="1702"/>
      <c r="D778" s="1176"/>
      <c r="E778" s="1255"/>
    </row>
    <row r="779" spans="1:5">
      <c r="A779" s="1673" t="s">
        <v>801</v>
      </c>
      <c r="B779" s="1675" t="s">
        <v>802</v>
      </c>
      <c r="C779" s="1260"/>
      <c r="D779" s="1176"/>
      <c r="E779" s="1255"/>
    </row>
    <row r="780" spans="1:5">
      <c r="A780" s="1673" t="s">
        <v>803</v>
      </c>
      <c r="B780" s="1675" t="s">
        <v>835</v>
      </c>
      <c r="C780" s="1262"/>
      <c r="D780" s="1176"/>
      <c r="E780" s="1255"/>
    </row>
    <row r="781" spans="1:5">
      <c r="A781" s="1673" t="s">
        <v>871</v>
      </c>
      <c r="B781" s="1675" t="s">
        <v>892</v>
      </c>
      <c r="C781" s="1703"/>
      <c r="D781" s="1176"/>
      <c r="E781" s="1255"/>
    </row>
    <row r="782" spans="1:5">
      <c r="A782" s="1673" t="s">
        <v>804</v>
      </c>
      <c r="B782" s="1675" t="s">
        <v>836</v>
      </c>
      <c r="C782" s="1273"/>
      <c r="D782" s="1176"/>
      <c r="E782" s="1255"/>
    </row>
    <row r="783" spans="1:5">
      <c r="A783" s="1673" t="s">
        <v>805</v>
      </c>
      <c r="B783" s="1675" t="s">
        <v>837</v>
      </c>
      <c r="C783" s="1274"/>
      <c r="D783" s="1176"/>
      <c r="E783" s="1255"/>
    </row>
    <row r="784" spans="1:5">
      <c r="A784" s="1673" t="s">
        <v>838</v>
      </c>
      <c r="B784" s="1675" t="s">
        <v>839</v>
      </c>
      <c r="C784" s="1278"/>
      <c r="D784" s="1176"/>
      <c r="E784" s="1255"/>
    </row>
    <row r="785" spans="1:5">
      <c r="A785" s="1673" t="s">
        <v>865</v>
      </c>
      <c r="B785" s="1675" t="s">
        <v>864</v>
      </c>
      <c r="C785" s="1288"/>
      <c r="D785" s="1176"/>
      <c r="E785" s="1255"/>
    </row>
    <row r="786" spans="1:5">
      <c r="A786" s="1673" t="s">
        <v>808</v>
      </c>
      <c r="B786" s="1675" t="s">
        <v>840</v>
      </c>
      <c r="C786" s="1289"/>
      <c r="D786" s="1176"/>
      <c r="E786" s="1255"/>
    </row>
    <row r="787" spans="1:5">
      <c r="A787" s="1673" t="s">
        <v>873</v>
      </c>
      <c r="B787" s="1675" t="s">
        <v>893</v>
      </c>
      <c r="C787" s="1704"/>
      <c r="D787" s="1176"/>
      <c r="E787" s="1255"/>
    </row>
    <row r="788" spans="1:5">
      <c r="A788" s="1673" t="s">
        <v>874</v>
      </c>
      <c r="B788" s="1675" t="s">
        <v>894</v>
      </c>
      <c r="C788" s="1705"/>
      <c r="D788" s="1176"/>
      <c r="E788" s="1255"/>
    </row>
    <row r="789" spans="1:5">
      <c r="A789" s="1673" t="s">
        <v>809</v>
      </c>
      <c r="B789" s="1675" t="s">
        <v>895</v>
      </c>
      <c r="C789" s="1303"/>
      <c r="D789" s="1176"/>
      <c r="E789" s="1255"/>
    </row>
    <row r="790" spans="1:5">
      <c r="A790" s="1673" t="s">
        <v>810</v>
      </c>
      <c r="B790" s="1675" t="s">
        <v>896</v>
      </c>
      <c r="C790" s="1304"/>
      <c r="D790" s="1176"/>
      <c r="E790" s="1255"/>
    </row>
    <row r="791" spans="1:5">
      <c r="A791" s="1673" t="s">
        <v>875</v>
      </c>
      <c r="B791" s="1675" t="s">
        <v>897</v>
      </c>
      <c r="C791" s="1706"/>
      <c r="D791" s="1176"/>
      <c r="E791" s="1255"/>
    </row>
    <row r="792" spans="1:5">
      <c r="A792" s="1673" t="s">
        <v>811</v>
      </c>
      <c r="B792" s="1675" t="s">
        <v>841</v>
      </c>
      <c r="C792" s="1310"/>
      <c r="D792" s="1176"/>
      <c r="E792" s="1255"/>
    </row>
    <row r="793" spans="1:5">
      <c r="A793" s="1673" t="s">
        <v>814</v>
      </c>
      <c r="B793" s="1675" t="s">
        <v>843</v>
      </c>
      <c r="C793" s="1321"/>
      <c r="D793" s="1176"/>
      <c r="E793" s="1255"/>
    </row>
    <row r="794" spans="1:5">
      <c r="A794" s="1673" t="s">
        <v>815</v>
      </c>
      <c r="B794" s="1675" t="s">
        <v>898</v>
      </c>
      <c r="C794" s="1322"/>
      <c r="D794" s="1176"/>
      <c r="E794" s="1255"/>
    </row>
    <row r="795" spans="1:5">
      <c r="A795" s="1673" t="s">
        <v>876</v>
      </c>
      <c r="B795" s="1675" t="s">
        <v>842</v>
      </c>
      <c r="C795" s="1707"/>
      <c r="D795" s="1176"/>
      <c r="E795" s="1255"/>
    </row>
    <row r="796" spans="1:5">
      <c r="A796" s="1673" t="s">
        <v>816</v>
      </c>
      <c r="B796" s="1675" t="s">
        <v>844</v>
      </c>
      <c r="C796" s="1334"/>
      <c r="D796" s="1176"/>
      <c r="E796" s="1255"/>
    </row>
    <row r="797" spans="1:5">
      <c r="A797" s="1673" t="s">
        <v>817</v>
      </c>
      <c r="B797" s="1675" t="s">
        <v>845</v>
      </c>
      <c r="C797" s="1335"/>
      <c r="D797" s="1176"/>
      <c r="E797" s="1255"/>
    </row>
    <row r="798" spans="1:5">
      <c r="A798" s="1673" t="s">
        <v>818</v>
      </c>
      <c r="B798" s="1675" t="s">
        <v>846</v>
      </c>
      <c r="C798" s="1339"/>
      <c r="D798" s="1176"/>
      <c r="E798" s="1255"/>
    </row>
    <row r="799" spans="1:5">
      <c r="A799" s="1673" t="s">
        <v>877</v>
      </c>
      <c r="B799" s="1675" t="s">
        <v>899</v>
      </c>
      <c r="C799" s="1708"/>
      <c r="D799" s="1176"/>
      <c r="E799" s="1255"/>
    </row>
    <row r="800" spans="1:5">
      <c r="A800" s="1673" t="s">
        <v>878</v>
      </c>
      <c r="B800" s="1675" t="s">
        <v>900</v>
      </c>
      <c r="C800" s="1709"/>
      <c r="D800" s="1176"/>
      <c r="E800" s="1255"/>
    </row>
    <row r="801" spans="1:5">
      <c r="A801" s="1673" t="s">
        <v>819</v>
      </c>
      <c r="B801" s="1675" t="s">
        <v>847</v>
      </c>
      <c r="C801" s="1358"/>
      <c r="D801" s="1176"/>
      <c r="E801" s="1255"/>
    </row>
    <row r="802" spans="1:5">
      <c r="A802" s="1673" t="s">
        <v>879</v>
      </c>
      <c r="B802" s="1174" t="s">
        <v>912</v>
      </c>
      <c r="C802" s="1360"/>
      <c r="D802" s="1176"/>
      <c r="E802" s="1255"/>
    </row>
    <row r="803" spans="1:5">
      <c r="A803" s="1673" t="s">
        <v>880</v>
      </c>
      <c r="B803" s="1174" t="s">
        <v>913</v>
      </c>
      <c r="C803" s="1363"/>
      <c r="D803" s="1176"/>
      <c r="E803" s="1255"/>
    </row>
    <row r="804" spans="1:5">
      <c r="A804" s="1673" t="s">
        <v>881</v>
      </c>
      <c r="B804" s="1174" t="s">
        <v>911</v>
      </c>
      <c r="C804" s="1370"/>
      <c r="D804" s="1176"/>
      <c r="E804" s="1255"/>
    </row>
    <row r="805" spans="1:5">
      <c r="A805" s="1673" t="s">
        <v>882</v>
      </c>
      <c r="B805" s="1675" t="s">
        <v>910</v>
      </c>
      <c r="C805" s="1710"/>
      <c r="D805" s="1176"/>
      <c r="E805" s="1255"/>
    </row>
    <row r="806" spans="1:5">
      <c r="A806" s="1673" t="s">
        <v>883</v>
      </c>
      <c r="B806" s="1675" t="s">
        <v>909</v>
      </c>
      <c r="C806" s="1711"/>
      <c r="D806" s="1176"/>
      <c r="E806" s="1255"/>
    </row>
    <row r="807" spans="1:5">
      <c r="A807" s="1673" t="s">
        <v>820</v>
      </c>
      <c r="B807" s="1675" t="s">
        <v>848</v>
      </c>
      <c r="C807" s="1382"/>
      <c r="D807" s="1176"/>
      <c r="E807" s="1255"/>
    </row>
    <row r="808" spans="1:5">
      <c r="A808" s="1673" t="s">
        <v>884</v>
      </c>
      <c r="B808" s="1174" t="s">
        <v>907</v>
      </c>
      <c r="C808" s="1385"/>
      <c r="D808" s="1176"/>
      <c r="E808" s="1255"/>
    </row>
    <row r="809" spans="1:5">
      <c r="A809" s="1673" t="s">
        <v>885</v>
      </c>
      <c r="B809" s="1174" t="s">
        <v>908</v>
      </c>
      <c r="C809" s="1386"/>
      <c r="D809" s="1176"/>
      <c r="E809" s="1255"/>
    </row>
    <row r="810" spans="1:5">
      <c r="A810" s="1673" t="s">
        <v>866</v>
      </c>
      <c r="B810" s="1675" t="s">
        <v>840</v>
      </c>
      <c r="C810" s="1393"/>
      <c r="D810" s="1176"/>
      <c r="E810" s="1255"/>
    </row>
    <row r="811" spans="1:5">
      <c r="A811" s="1673" t="s">
        <v>886</v>
      </c>
      <c r="B811" s="1174" t="s">
        <v>906</v>
      </c>
      <c r="C811" s="1396"/>
      <c r="D811" s="1176"/>
      <c r="E811" s="1255"/>
    </row>
    <row r="812" spans="1:5">
      <c r="A812" s="1673" t="s">
        <v>887</v>
      </c>
      <c r="B812" s="1675" t="s">
        <v>853</v>
      </c>
      <c r="C812" s="1409"/>
      <c r="D812" s="1176"/>
      <c r="E812" s="1255"/>
    </row>
    <row r="813" spans="1:5">
      <c r="A813" s="1673" t="s">
        <v>821</v>
      </c>
      <c r="B813" s="1675" t="s">
        <v>850</v>
      </c>
      <c r="C813" s="1410"/>
      <c r="D813" s="1176"/>
      <c r="E813" s="1255"/>
    </row>
    <row r="814" spans="1:5">
      <c r="A814" s="1673" t="s">
        <v>822</v>
      </c>
      <c r="B814" s="1675" t="s">
        <v>849</v>
      </c>
      <c r="C814" s="1411"/>
      <c r="D814" s="1176"/>
      <c r="E814" s="1255"/>
    </row>
    <row r="815" spans="1:5">
      <c r="A815" s="1673" t="s">
        <v>823</v>
      </c>
      <c r="B815" s="1675" t="s">
        <v>851</v>
      </c>
      <c r="C815" s="1412"/>
      <c r="D815" s="1176"/>
      <c r="E815" s="1255"/>
    </row>
    <row r="816" spans="1:5">
      <c r="A816" s="1673" t="s">
        <v>824</v>
      </c>
      <c r="B816" s="1675" t="s">
        <v>852</v>
      </c>
      <c r="C816" s="1422"/>
      <c r="D816" s="1176"/>
      <c r="E816" s="1255"/>
    </row>
    <row r="817" spans="1:5">
      <c r="A817" s="1673" t="s">
        <v>825</v>
      </c>
      <c r="B817" s="1675" t="s">
        <v>905</v>
      </c>
      <c r="C817" s="1425"/>
      <c r="D817" s="1176"/>
      <c r="E817" s="1255"/>
    </row>
    <row r="818" spans="1:5">
      <c r="A818" s="1673" t="s">
        <v>826</v>
      </c>
      <c r="B818" s="1675" t="s">
        <v>854</v>
      </c>
      <c r="C818" s="1442"/>
      <c r="D818" s="1176"/>
      <c r="E818" s="1255"/>
    </row>
    <row r="819" spans="1:5">
      <c r="A819" s="1673" t="s">
        <v>827</v>
      </c>
      <c r="B819" s="1675" t="s">
        <v>855</v>
      </c>
      <c r="C819" s="1453"/>
      <c r="D819" s="1176"/>
      <c r="E819" s="1255"/>
    </row>
    <row r="820" spans="1:5">
      <c r="A820" s="1673" t="s">
        <v>828</v>
      </c>
      <c r="B820" s="1675" t="s">
        <v>835</v>
      </c>
      <c r="C820" s="1454"/>
      <c r="D820" s="1176"/>
      <c r="E820" s="1255"/>
    </row>
    <row r="821" spans="1:5">
      <c r="A821" s="1673" t="s">
        <v>872</v>
      </c>
      <c r="B821" s="1675" t="s">
        <v>870</v>
      </c>
      <c r="C821" s="1712"/>
      <c r="D821" s="1176"/>
      <c r="E821" s="1255"/>
    </row>
    <row r="822" spans="1:5">
      <c r="A822" s="1256" t="s">
        <v>61</v>
      </c>
      <c r="B822" s="1257" t="s">
        <v>0</v>
      </c>
      <c r="C822" s="1258" t="s">
        <v>1</v>
      </c>
      <c r="D822" s="1258" t="s">
        <v>243</v>
      </c>
      <c r="E822" s="1258" t="s">
        <v>1741</v>
      </c>
    </row>
    <row r="823" spans="1:5">
      <c r="A823" s="1673" t="s">
        <v>888</v>
      </c>
      <c r="B823" s="1675" t="s">
        <v>904</v>
      </c>
      <c r="C823" s="1713"/>
      <c r="D823" s="1176"/>
      <c r="E823" s="1255"/>
    </row>
    <row r="824" spans="1:5">
      <c r="A824" s="1673" t="s">
        <v>829</v>
      </c>
      <c r="B824" s="1675" t="s">
        <v>856</v>
      </c>
      <c r="C824" s="1478"/>
      <c r="D824" s="1176"/>
      <c r="E824" s="1255"/>
    </row>
    <row r="825" spans="1:5">
      <c r="A825" s="1673" t="s">
        <v>889</v>
      </c>
      <c r="B825" s="1675" t="s">
        <v>903</v>
      </c>
      <c r="C825" s="1714"/>
      <c r="D825" s="1176"/>
      <c r="E825" s="1255"/>
    </row>
    <row r="826" spans="1:5">
      <c r="A826" s="1673" t="s">
        <v>830</v>
      </c>
      <c r="B826" s="1675" t="s">
        <v>857</v>
      </c>
      <c r="C826" s="1486"/>
      <c r="D826" s="1176"/>
      <c r="E826" s="1255"/>
    </row>
    <row r="827" spans="1:5">
      <c r="A827" s="1673" t="s">
        <v>831</v>
      </c>
      <c r="B827" s="1675" t="s">
        <v>858</v>
      </c>
      <c r="C827" s="1498"/>
      <c r="D827" s="1176"/>
      <c r="E827" s="1255"/>
    </row>
    <row r="828" spans="1:5">
      <c r="A828" s="1673" t="s">
        <v>890</v>
      </c>
      <c r="B828" s="1675" t="s">
        <v>902</v>
      </c>
      <c r="C828" s="1715"/>
      <c r="D828" s="1176"/>
      <c r="E828" s="1255"/>
    </row>
    <row r="829" spans="1:5">
      <c r="A829" s="1673" t="s">
        <v>832</v>
      </c>
      <c r="B829" s="1675" t="s">
        <v>859</v>
      </c>
      <c r="C829" s="1511"/>
      <c r="D829" s="1176"/>
      <c r="E829" s="1255"/>
    </row>
    <row r="830" spans="1:5">
      <c r="A830" s="1673" t="s">
        <v>833</v>
      </c>
      <c r="B830" s="1675" t="s">
        <v>860</v>
      </c>
      <c r="C830" s="1517"/>
      <c r="D830" s="1176"/>
      <c r="E830" s="1255"/>
    </row>
    <row r="831" spans="1:5">
      <c r="A831" s="1673" t="s">
        <v>834</v>
      </c>
      <c r="B831" s="1675" t="s">
        <v>861</v>
      </c>
      <c r="C831" s="1520"/>
      <c r="D831" s="1176"/>
      <c r="E831" s="1255"/>
    </row>
    <row r="832" spans="1:5">
      <c r="A832" s="1673" t="s">
        <v>867</v>
      </c>
      <c r="B832" s="1675" t="s">
        <v>868</v>
      </c>
      <c r="C832" s="1557"/>
      <c r="D832" s="1176"/>
      <c r="E832" s="1255"/>
    </row>
    <row r="833" spans="1:5">
      <c r="A833" s="1673" t="s">
        <v>891</v>
      </c>
      <c r="B833" s="1675" t="s">
        <v>901</v>
      </c>
      <c r="C833" s="1716"/>
      <c r="D833" s="1176"/>
      <c r="E833" s="1255"/>
    </row>
    <row r="834" spans="1:5">
      <c r="A834" s="1673" t="s">
        <v>806</v>
      </c>
      <c r="B834" s="1675" t="s">
        <v>862</v>
      </c>
      <c r="C834" s="1562"/>
      <c r="D834" s="1176"/>
      <c r="E834" s="1255"/>
    </row>
    <row r="835" spans="1:5">
      <c r="A835" s="1673" t="s">
        <v>807</v>
      </c>
      <c r="B835" s="1675" t="s">
        <v>863</v>
      </c>
      <c r="C835" s="1619"/>
      <c r="D835" s="1176"/>
      <c r="E835" s="1255"/>
    </row>
  </sheetData>
  <sheetProtection algorithmName="SHA-512" hashValue="N6o4TUNWVFh4UZN3Iv6Xdzrr8gdkkLONwawlqP3+5j8tomprJ9wIXBjPfM0mD9YFEM12VzVRka8oYlcavS/ltw==" saltValue="rCJ5F16TzR+cpRsoHSNJIA==" spinCount="100000" sheet="1" objects="1" scenarios="1"/>
  <pageMargins left="0.7" right="0.7" top="0.75" bottom="0.75" header="0.3" footer="0.3"/>
  <pageSetup paperSize="9" orientation="portrait" r:id="rId1"/>
  <headerFooter>
    <oddHeader>&amp;CDMC COLOR CHART INVENTORY SHEETS</oddHeader>
    <oddFooter>&amp;L&amp;"Calibri (Body)_x0000_,Regular"&amp;8By Lord Libidan&amp;R&amp;"Calibri (Body)_x0000_,Regular"&amp;9Page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9AFB-14FF-E340-98F7-94FF6206019B}">
  <sheetPr>
    <tabColor theme="6"/>
  </sheetPr>
  <dimension ref="A1:EA59"/>
  <sheetViews>
    <sheetView workbookViewId="0">
      <selection activeCell="H41" sqref="H41"/>
    </sheetView>
  </sheetViews>
  <sheetFormatPr baseColWidth="10" defaultColWidth="10.83203125" defaultRowHeight="16"/>
  <cols>
    <col min="1" max="1" width="2.1640625" customWidth="1"/>
    <col min="2" max="2" width="10.83203125" customWidth="1"/>
    <col min="3" max="3" width="27.6640625" customWidth="1"/>
    <col min="4" max="4" width="7" customWidth="1"/>
    <col min="5" max="5" width="8" customWidth="1"/>
    <col min="6" max="6" width="5.83203125" customWidth="1"/>
    <col min="7" max="7" width="10.83203125" customWidth="1"/>
    <col min="8" max="8" width="27.6640625" customWidth="1"/>
    <col min="9" max="9" width="5.83203125" customWidth="1"/>
    <col min="10" max="10" width="6.83203125" customWidth="1"/>
    <col min="11" max="11" width="5.83203125" customWidth="1"/>
    <col min="12" max="12" width="10.83203125" customWidth="1"/>
    <col min="13" max="13" width="27.6640625" customWidth="1"/>
    <col min="14" max="14" width="5.83203125" customWidth="1"/>
    <col min="15" max="15" width="6.83203125" customWidth="1"/>
    <col min="16" max="16" width="5.83203125" customWidth="1"/>
    <col min="17" max="17" width="10.83203125" customWidth="1"/>
    <col min="18" max="18" width="27.6640625" customWidth="1"/>
    <col min="19" max="19" width="5.83203125" customWidth="1"/>
    <col min="20" max="20" width="6.83203125" customWidth="1"/>
    <col min="21" max="21" width="5.83203125" customWidth="1"/>
    <col min="22" max="22" width="10.83203125" customWidth="1"/>
    <col min="23" max="23" width="27.6640625" customWidth="1"/>
    <col min="24" max="24" width="5.83203125" customWidth="1"/>
    <col min="25" max="25" width="6.83203125" customWidth="1"/>
    <col min="26" max="26" width="5.83203125" customWidth="1"/>
    <col min="27" max="27" width="10.83203125" customWidth="1"/>
    <col min="28" max="28" width="27.6640625" customWidth="1"/>
    <col min="29" max="29" width="5.83203125" customWidth="1"/>
    <col min="30" max="30" width="6.83203125" customWidth="1"/>
    <col min="31" max="31" width="5.83203125" customWidth="1"/>
    <col min="32" max="32" width="10.83203125" customWidth="1"/>
    <col min="33" max="33" width="27.6640625" customWidth="1"/>
    <col min="34" max="34" width="5.83203125" customWidth="1"/>
    <col min="35" max="35" width="6.83203125" customWidth="1"/>
    <col min="36" max="36" width="5.83203125" customWidth="1"/>
    <col min="37" max="37" width="10.83203125" customWidth="1"/>
    <col min="38" max="38" width="27.6640625" customWidth="1"/>
    <col min="39" max="39" width="5.83203125" customWidth="1"/>
    <col min="40" max="40" width="6.83203125" customWidth="1"/>
    <col min="41" max="41" width="5.83203125" customWidth="1"/>
    <col min="42" max="42" width="10.83203125" customWidth="1"/>
    <col min="43" max="43" width="27.6640625" customWidth="1"/>
    <col min="44" max="44" width="5.83203125" customWidth="1"/>
    <col min="45" max="45" width="6.83203125" customWidth="1"/>
    <col min="46" max="46" width="5.83203125" customWidth="1"/>
    <col min="47" max="47" width="10.83203125" customWidth="1"/>
    <col min="48" max="48" width="27.6640625" customWidth="1"/>
    <col min="49" max="49" width="5.83203125" customWidth="1"/>
    <col min="50" max="50" width="6.83203125" customWidth="1"/>
    <col min="51" max="51" width="5.83203125" customWidth="1"/>
    <col min="52" max="52" width="10.83203125" customWidth="1"/>
    <col min="53" max="53" width="27.6640625" customWidth="1"/>
    <col min="54" max="54" width="5.83203125" customWidth="1"/>
    <col min="55" max="55" width="6.83203125" customWidth="1"/>
    <col min="56" max="56" width="5.83203125" customWidth="1"/>
    <col min="57" max="57" width="10.83203125" customWidth="1"/>
    <col min="58" max="58" width="27.6640625" customWidth="1"/>
    <col min="59" max="59" width="5.83203125" customWidth="1"/>
    <col min="60" max="60" width="6.83203125" customWidth="1"/>
    <col min="61" max="61" width="5.83203125" customWidth="1"/>
    <col min="62" max="62" width="10.83203125" customWidth="1"/>
    <col min="63" max="63" width="27.6640625" customWidth="1"/>
    <col min="64" max="64" width="5.83203125" customWidth="1"/>
    <col min="65" max="65" width="6.83203125" customWidth="1"/>
    <col min="66" max="66" width="5.83203125" customWidth="1"/>
    <col min="67" max="67" width="10.83203125" customWidth="1"/>
    <col min="68" max="68" width="27.6640625" customWidth="1"/>
    <col min="69" max="69" width="5.83203125" customWidth="1"/>
    <col min="70" max="70" width="6.83203125" customWidth="1"/>
    <col min="71" max="71" width="5.83203125" customWidth="1"/>
    <col min="72" max="72" width="10.83203125" customWidth="1"/>
    <col min="73" max="73" width="27.6640625" customWidth="1"/>
    <col min="74" max="74" width="5.83203125" customWidth="1"/>
    <col min="75" max="75" width="6.83203125" customWidth="1"/>
    <col min="76" max="76" width="5.83203125" customWidth="1"/>
    <col min="77" max="77" width="10.83203125" customWidth="1"/>
    <col min="78" max="78" width="27.6640625" customWidth="1"/>
    <col min="79" max="79" width="5.83203125" customWidth="1"/>
    <col min="80" max="80" width="6.83203125" customWidth="1"/>
    <col min="81" max="81" width="5.83203125" customWidth="1"/>
    <col min="82" max="82" width="10.83203125" customWidth="1"/>
    <col min="83" max="83" width="27.6640625" customWidth="1"/>
    <col min="84" max="84" width="5.83203125" customWidth="1"/>
    <col min="85" max="85" width="6.83203125" customWidth="1"/>
    <col min="86" max="86" width="5.83203125" customWidth="1"/>
    <col min="87" max="87" width="10.83203125" customWidth="1"/>
    <col min="88" max="88" width="27.6640625" customWidth="1"/>
    <col min="89" max="89" width="5.83203125" customWidth="1"/>
    <col min="90" max="90" width="6.83203125" customWidth="1"/>
    <col min="91" max="91" width="5.83203125" customWidth="1"/>
    <col min="92" max="92" width="10.83203125" customWidth="1"/>
    <col min="93" max="93" width="27.6640625" customWidth="1"/>
    <col min="94" max="94" width="5.83203125" customWidth="1"/>
    <col min="95" max="95" width="6.83203125" customWidth="1"/>
    <col min="96" max="96" width="5.83203125" customWidth="1"/>
    <col min="97" max="97" width="10.83203125" customWidth="1"/>
    <col min="98" max="98" width="27.6640625" customWidth="1"/>
    <col min="99" max="99" width="5.83203125" customWidth="1"/>
    <col min="100" max="100" width="6.83203125" customWidth="1"/>
    <col min="101" max="101" width="5.83203125" customWidth="1"/>
    <col min="102" max="102" width="10.83203125" customWidth="1"/>
    <col min="103" max="103" width="27.6640625" customWidth="1"/>
    <col min="104" max="104" width="5.83203125" customWidth="1"/>
    <col min="105" max="105" width="6.83203125" customWidth="1"/>
    <col min="106" max="106" width="5.83203125" customWidth="1"/>
    <col min="107" max="107" width="10.83203125" customWidth="1"/>
    <col min="108" max="108" width="27.6640625" customWidth="1"/>
    <col min="109" max="109" width="5.83203125" customWidth="1"/>
    <col min="110" max="110" width="6.83203125" customWidth="1"/>
    <col min="111" max="111" width="5.83203125" customWidth="1"/>
    <col min="112" max="112" width="10.83203125" customWidth="1"/>
    <col min="113" max="113" width="27.6640625" customWidth="1"/>
    <col min="114" max="114" width="5.83203125" customWidth="1"/>
    <col min="115" max="115" width="6.83203125" customWidth="1"/>
    <col min="116" max="116" width="5.83203125" customWidth="1"/>
    <col min="117" max="117" width="10.83203125" customWidth="1"/>
    <col min="118" max="118" width="27.6640625" customWidth="1"/>
    <col min="119" max="119" width="5.83203125" customWidth="1"/>
    <col min="120" max="120" width="6.83203125" customWidth="1"/>
    <col min="121" max="121" width="5.83203125" customWidth="1"/>
    <col min="122" max="122" width="10.83203125" customWidth="1"/>
    <col min="123" max="123" width="27.6640625" customWidth="1"/>
    <col min="124" max="124" width="5.83203125" customWidth="1"/>
    <col min="125" max="125" width="6.83203125" customWidth="1"/>
    <col min="126" max="126" width="5.83203125" customWidth="1"/>
    <col min="127" max="127" width="10.83203125" customWidth="1"/>
    <col min="128" max="128" width="27.6640625" customWidth="1"/>
    <col min="129" max="129" width="5.83203125" customWidth="1"/>
    <col min="130" max="130" width="6.83203125" customWidth="1"/>
    <col min="131" max="131" width="5.83203125" customWidth="1"/>
  </cols>
  <sheetData>
    <row r="1" spans="1:131" ht="9" customHeight="1" thickBot="1">
      <c r="A1" s="1094"/>
      <c r="B1" s="1094"/>
      <c r="C1" s="1094"/>
      <c r="D1" s="1094"/>
      <c r="E1" s="1094"/>
      <c r="F1" s="1094"/>
      <c r="G1" s="1094"/>
      <c r="H1" s="1094"/>
      <c r="I1" s="1094"/>
      <c r="J1" s="1094"/>
      <c r="K1" s="1094"/>
      <c r="L1" s="1094"/>
      <c r="M1" s="1094"/>
      <c r="N1" s="1094"/>
      <c r="O1" s="1094"/>
      <c r="P1" s="1094"/>
      <c r="Q1" s="1094"/>
      <c r="R1" s="1094"/>
      <c r="S1" s="1094"/>
      <c r="T1" s="1094"/>
      <c r="U1" s="1094"/>
      <c r="V1" s="1094"/>
      <c r="W1" s="1094"/>
      <c r="X1" s="1094"/>
      <c r="Y1" s="1094"/>
      <c r="Z1" s="1094"/>
      <c r="AA1" s="1094"/>
      <c r="AB1" s="1094"/>
      <c r="AC1" s="1094"/>
      <c r="AD1" s="1094"/>
      <c r="AE1" s="1094"/>
      <c r="AF1" s="1094"/>
      <c r="AG1" s="1094"/>
      <c r="AH1" s="1094"/>
      <c r="AI1" s="1094"/>
      <c r="AJ1" s="1094"/>
      <c r="AK1" s="1094"/>
      <c r="AL1" s="1094"/>
      <c r="AM1" s="1094"/>
      <c r="AN1" s="1094"/>
      <c r="AO1" s="1094"/>
      <c r="AP1" s="1094"/>
      <c r="AQ1" s="1094"/>
      <c r="AR1" s="1094"/>
      <c r="AS1" s="1094"/>
      <c r="AT1" s="1094"/>
      <c r="AU1" s="1094"/>
      <c r="AV1" s="1094"/>
      <c r="AW1" s="1094"/>
      <c r="AX1" s="1094"/>
      <c r="AY1" s="1094"/>
      <c r="AZ1" s="1094"/>
      <c r="BA1" s="1094"/>
      <c r="BB1" s="1094"/>
      <c r="BC1" s="1094"/>
      <c r="BD1" s="1094"/>
      <c r="BE1" s="1094"/>
      <c r="BF1" s="1094"/>
      <c r="BG1" s="1094"/>
      <c r="BH1" s="1094"/>
      <c r="BI1" s="1094"/>
      <c r="BJ1" s="1094"/>
      <c r="BK1" s="1094"/>
      <c r="BL1" s="1094"/>
      <c r="BM1" s="1094"/>
      <c r="BN1" s="1094"/>
      <c r="BO1" s="1094"/>
      <c r="BP1" s="1094"/>
      <c r="BQ1" s="1094"/>
      <c r="BR1" s="1094"/>
      <c r="BS1" s="1094"/>
      <c r="BT1" s="1094"/>
      <c r="BU1" s="1094"/>
      <c r="BV1" s="1094"/>
      <c r="BW1" s="1094"/>
      <c r="BX1" s="1094"/>
      <c r="BY1" s="1094"/>
      <c r="BZ1" s="1094"/>
      <c r="CA1" s="1094"/>
      <c r="CB1" s="1094"/>
      <c r="CC1" s="1094"/>
      <c r="CD1" s="1094"/>
      <c r="CE1" s="1094"/>
      <c r="CF1" s="1094"/>
      <c r="CG1" s="1094"/>
      <c r="CH1" s="1094"/>
      <c r="CI1" s="1094"/>
      <c r="CJ1" s="1094"/>
      <c r="CK1" s="1094"/>
      <c r="CL1" s="1094"/>
      <c r="CM1" s="1094"/>
      <c r="CN1" s="1094"/>
      <c r="CO1" s="1094"/>
      <c r="CP1" s="1094"/>
      <c r="CQ1" s="1094"/>
      <c r="CR1" s="1094"/>
      <c r="CS1" s="1094"/>
      <c r="CT1" s="1094"/>
      <c r="CU1" s="1094"/>
      <c r="CV1" s="1094"/>
      <c r="CW1" s="1094"/>
      <c r="CX1" s="1094"/>
      <c r="CY1" s="1094"/>
      <c r="CZ1" s="1094"/>
      <c r="DA1" s="1094"/>
      <c r="DB1" s="1094"/>
      <c r="DC1" s="1094"/>
      <c r="DD1" s="1094"/>
      <c r="DE1" s="1094"/>
      <c r="DF1" s="1094"/>
      <c r="DG1" s="1094"/>
      <c r="DH1" s="1094"/>
      <c r="DI1" s="1094"/>
      <c r="DJ1" s="1094"/>
      <c r="DK1" s="1094"/>
      <c r="DL1" s="1094"/>
      <c r="DM1" s="1094"/>
      <c r="DN1" s="1094"/>
      <c r="DO1" s="1094"/>
      <c r="DP1" s="1094"/>
      <c r="DQ1" s="1094"/>
      <c r="DR1" s="1094"/>
      <c r="DS1" s="1094"/>
      <c r="DT1" s="1094"/>
      <c r="DU1" s="1094"/>
      <c r="DV1" s="1094"/>
      <c r="DW1" s="1094"/>
      <c r="DX1" s="1094"/>
      <c r="DY1" s="1094"/>
      <c r="DZ1" s="1094"/>
      <c r="EA1" s="1094"/>
    </row>
    <row r="2" spans="1:131" ht="29" customHeight="1" thickBot="1">
      <c r="A2" s="1094"/>
      <c r="B2" s="491" t="s">
        <v>1000</v>
      </c>
      <c r="C2" s="492" t="s">
        <v>0</v>
      </c>
      <c r="D2" s="493" t="s">
        <v>243</v>
      </c>
      <c r="E2" s="494" t="s">
        <v>991</v>
      </c>
      <c r="F2" s="1094"/>
      <c r="G2" s="1717"/>
      <c r="H2" s="1094"/>
      <c r="I2" s="1094"/>
      <c r="J2" s="1073"/>
      <c r="K2" s="1094"/>
      <c r="L2" s="1073"/>
      <c r="M2" s="1094"/>
      <c r="N2" s="1094"/>
      <c r="O2" s="1073"/>
      <c r="P2" s="1094"/>
      <c r="Q2" s="1073"/>
      <c r="R2" s="1094"/>
      <c r="S2" s="1094"/>
      <c r="T2" s="1073"/>
      <c r="U2" s="1094"/>
      <c r="V2" s="1073"/>
      <c r="W2" s="1094"/>
      <c r="X2" s="1094"/>
      <c r="Y2" s="1073"/>
      <c r="Z2" s="1094"/>
      <c r="AA2" s="1073"/>
      <c r="AB2" s="1094"/>
      <c r="AC2" s="1094"/>
      <c r="AD2" s="1073"/>
      <c r="AE2" s="1094"/>
      <c r="AF2" s="1073"/>
      <c r="AG2" s="1094"/>
      <c r="AH2" s="1094"/>
      <c r="AI2" s="1073"/>
      <c r="AJ2" s="1094"/>
      <c r="AK2" s="1073"/>
      <c r="AL2" s="1094"/>
      <c r="AM2" s="1094"/>
      <c r="AN2" s="1073"/>
      <c r="AO2" s="1094"/>
      <c r="AP2" s="1094"/>
      <c r="AQ2" s="1094"/>
      <c r="AR2" s="1094"/>
      <c r="AS2" s="1073"/>
      <c r="AT2" s="1094"/>
      <c r="AU2" s="1094"/>
      <c r="AV2" s="1094"/>
      <c r="AW2" s="1094"/>
      <c r="AX2" s="1073"/>
      <c r="AY2" s="1094"/>
      <c r="AZ2" s="1094"/>
      <c r="BA2" s="1094"/>
      <c r="BB2" s="1094"/>
      <c r="BC2" s="1073"/>
      <c r="BD2" s="1094"/>
      <c r="BE2" s="1094"/>
      <c r="BF2" s="1094"/>
      <c r="BG2" s="1094"/>
      <c r="BH2" s="1073"/>
      <c r="BI2" s="1094"/>
      <c r="BJ2" s="1094"/>
      <c r="BK2" s="1094"/>
      <c r="BL2" s="1094"/>
      <c r="BM2" s="1073"/>
      <c r="BN2" s="1094"/>
      <c r="BO2" s="1094"/>
      <c r="BP2" s="1094"/>
      <c r="BQ2" s="1094"/>
      <c r="BR2" s="1073"/>
      <c r="BS2" s="1094"/>
      <c r="BT2" s="1094"/>
      <c r="BU2" s="1094"/>
      <c r="BV2" s="1094"/>
      <c r="BW2" s="1094"/>
      <c r="BX2" s="1094"/>
      <c r="BY2" s="1094"/>
      <c r="BZ2" s="1094"/>
      <c r="CA2" s="1094"/>
      <c r="CB2" s="1094"/>
      <c r="CC2" s="1094"/>
      <c r="CD2" s="1094"/>
      <c r="CE2" s="1094"/>
      <c r="CF2" s="1094"/>
      <c r="CG2" s="1094"/>
      <c r="CH2" s="1094"/>
      <c r="CI2" s="1094"/>
      <c r="CJ2" s="1094"/>
      <c r="CK2" s="1094"/>
      <c r="CL2" s="1094"/>
      <c r="CM2" s="1094"/>
      <c r="CN2" s="1094"/>
      <c r="CO2" s="1094"/>
      <c r="CP2" s="1094"/>
      <c r="CQ2" s="1094"/>
      <c r="CR2" s="1094"/>
      <c r="CS2" s="1094"/>
      <c r="CT2" s="1094"/>
      <c r="CU2" s="1094"/>
      <c r="CV2" s="1094"/>
      <c r="CW2" s="1094"/>
      <c r="CX2" s="1094"/>
      <c r="CY2" s="1094"/>
      <c r="CZ2" s="1094"/>
      <c r="DA2" s="1094"/>
      <c r="DB2" s="1094"/>
      <c r="DC2" s="1094"/>
      <c r="DD2" s="1094"/>
      <c r="DE2" s="1094"/>
      <c r="DF2" s="1094"/>
      <c r="DG2" s="1094"/>
      <c r="DH2" s="1094"/>
      <c r="DI2" s="1094"/>
      <c r="DJ2" s="1094"/>
      <c r="DK2" s="1094"/>
      <c r="DL2" s="1094"/>
      <c r="DM2" s="1094"/>
      <c r="DN2" s="1094"/>
      <c r="DO2" s="1094"/>
      <c r="DP2" s="1094"/>
      <c r="DQ2" s="1094"/>
      <c r="DR2" s="1094"/>
      <c r="DS2" s="1094"/>
      <c r="DT2" s="1094"/>
      <c r="DU2" s="1094"/>
      <c r="DV2" s="1094"/>
      <c r="DW2" s="1094"/>
      <c r="DX2" s="1094"/>
      <c r="DY2" s="1094"/>
      <c r="DZ2" s="1094"/>
      <c r="EA2" s="1094"/>
    </row>
    <row r="3" spans="1:131" ht="28" customHeight="1" thickBot="1">
      <c r="A3" s="1094"/>
      <c r="B3" s="1159">
        <v>310</v>
      </c>
      <c r="C3" s="1160" t="str">
        <f>VLOOKUP(B3,Sheet1!A1:C575,2,FALSE)</f>
        <v>Black</v>
      </c>
      <c r="D3" s="1161">
        <f>VLOOKUP(B3,Sheet1!A1:C575,3,FALSE)</f>
        <v>0</v>
      </c>
      <c r="E3" s="1144">
        <f>VLOOKUP(B3,Sheet1!A1:D575,4,FALSE)</f>
        <v>20</v>
      </c>
      <c r="F3" s="1094"/>
      <c r="G3" s="1717"/>
      <c r="H3" s="1094"/>
      <c r="I3" s="1094"/>
      <c r="J3" s="1073"/>
      <c r="K3" s="1094"/>
      <c r="L3" s="1073"/>
      <c r="M3" s="1094"/>
      <c r="N3" s="1094"/>
      <c r="O3" s="1073"/>
      <c r="P3" s="1094"/>
      <c r="Q3" s="1073"/>
      <c r="R3" s="1094"/>
      <c r="S3" s="1094"/>
      <c r="T3" s="1073"/>
      <c r="U3" s="1094"/>
      <c r="V3" s="1073"/>
      <c r="W3" s="1094"/>
      <c r="X3" s="1094"/>
      <c r="Y3" s="1073"/>
      <c r="Z3" s="1094"/>
      <c r="AA3" s="1073"/>
      <c r="AB3" s="1094"/>
      <c r="AC3" s="1094"/>
      <c r="AD3" s="1073"/>
      <c r="AE3" s="1094"/>
      <c r="AF3" s="1073"/>
      <c r="AG3" s="1094"/>
      <c r="AH3" s="1094"/>
      <c r="AI3" s="1073"/>
      <c r="AJ3" s="1094"/>
      <c r="AK3" s="1073"/>
      <c r="AL3" s="1094"/>
      <c r="AM3" s="1094"/>
      <c r="AN3" s="1073"/>
      <c r="AO3" s="1094"/>
      <c r="AP3" s="1094"/>
      <c r="AQ3" s="1094"/>
      <c r="AR3" s="1094"/>
      <c r="AS3" s="1073"/>
      <c r="AT3" s="1094"/>
      <c r="AU3" s="1094"/>
      <c r="AV3" s="1094"/>
      <c r="AW3" s="1094"/>
      <c r="AX3" s="1073"/>
      <c r="AY3" s="1094"/>
      <c r="AZ3" s="1094"/>
      <c r="BA3" s="1094"/>
      <c r="BB3" s="1094"/>
      <c r="BC3" s="1073"/>
      <c r="BD3" s="1094"/>
      <c r="BE3" s="1094"/>
      <c r="BF3" s="1094"/>
      <c r="BG3" s="1094"/>
      <c r="BH3" s="1073"/>
      <c r="BI3" s="1094"/>
      <c r="BJ3" s="1094"/>
      <c r="BK3" s="1094"/>
      <c r="BL3" s="1094"/>
      <c r="BM3" s="1073"/>
      <c r="BN3" s="1094"/>
      <c r="BO3" s="1094"/>
      <c r="BP3" s="1094"/>
      <c r="BQ3" s="1094"/>
      <c r="BR3" s="1073"/>
      <c r="BS3" s="1094"/>
      <c r="BT3" s="1094"/>
      <c r="BU3" s="1094"/>
      <c r="BV3" s="1094"/>
      <c r="BW3" s="1094"/>
      <c r="BX3" s="1094"/>
      <c r="BY3" s="1094"/>
      <c r="BZ3" s="1094"/>
      <c r="CA3" s="1094"/>
      <c r="CB3" s="1094"/>
      <c r="CC3" s="1094"/>
      <c r="CD3" s="1094"/>
      <c r="CE3" s="1094"/>
      <c r="CF3" s="1094"/>
      <c r="CG3" s="1094"/>
      <c r="CH3" s="1094"/>
      <c r="CI3" s="1094"/>
      <c r="CJ3" s="1094"/>
      <c r="CK3" s="1094"/>
      <c r="CL3" s="1094"/>
      <c r="CM3" s="1094"/>
      <c r="CN3" s="1094"/>
      <c r="CO3" s="1094"/>
      <c r="CP3" s="1094"/>
      <c r="CQ3" s="1094"/>
      <c r="CR3" s="1094"/>
      <c r="CS3" s="1094"/>
      <c r="CT3" s="1094"/>
      <c r="CU3" s="1094"/>
      <c r="CV3" s="1094"/>
      <c r="CW3" s="1094"/>
      <c r="CX3" s="1094"/>
      <c r="CY3" s="1094"/>
      <c r="CZ3" s="1094"/>
      <c r="DA3" s="1094"/>
      <c r="DB3" s="1094"/>
      <c r="DC3" s="1094"/>
      <c r="DD3" s="1094"/>
      <c r="DE3" s="1094"/>
      <c r="DF3" s="1094"/>
      <c r="DG3" s="1094"/>
      <c r="DH3" s="1094"/>
      <c r="DI3" s="1094"/>
      <c r="DJ3" s="1094"/>
      <c r="DK3" s="1094"/>
      <c r="DL3" s="1094"/>
      <c r="DM3" s="1094"/>
      <c r="DN3" s="1094"/>
      <c r="DO3" s="1094"/>
      <c r="DP3" s="1094"/>
      <c r="DQ3" s="1094"/>
      <c r="DR3" s="1094"/>
      <c r="DS3" s="1094"/>
      <c r="DT3" s="1094"/>
      <c r="DU3" s="1094"/>
      <c r="DV3" s="1094"/>
      <c r="DW3" s="1094"/>
      <c r="DX3" s="1094"/>
      <c r="DY3" s="1094"/>
      <c r="DZ3" s="1094"/>
      <c r="EA3" s="1094"/>
    </row>
    <row r="4" spans="1:131" ht="10" customHeight="1" thickBot="1">
      <c r="A4" s="1094"/>
      <c r="B4" s="1741"/>
      <c r="C4" s="1094"/>
      <c r="D4" s="1094"/>
      <c r="E4" s="1094"/>
      <c r="F4" s="1094"/>
      <c r="G4" s="1717" t="s">
        <v>290</v>
      </c>
      <c r="H4" s="1094"/>
      <c r="I4" s="1094"/>
      <c r="J4" s="1094"/>
      <c r="K4" s="1094"/>
      <c r="L4" s="1741"/>
      <c r="M4" s="1094"/>
      <c r="N4" s="1094"/>
      <c r="O4" s="1094"/>
      <c r="P4" s="1094"/>
      <c r="Q4" s="1741"/>
      <c r="R4" s="1094"/>
      <c r="S4" s="1094"/>
      <c r="T4" s="1094"/>
      <c r="U4" s="1094"/>
      <c r="V4" s="1741"/>
      <c r="W4" s="1094"/>
      <c r="X4" s="1094"/>
      <c r="Y4" s="1094"/>
      <c r="Z4" s="1094"/>
      <c r="AA4" s="1741"/>
      <c r="AB4" s="1094"/>
      <c r="AC4" s="1094"/>
      <c r="AD4" s="1094"/>
      <c r="AE4" s="1094"/>
      <c r="AF4" s="1741"/>
      <c r="AG4" s="1094"/>
      <c r="AH4" s="1094"/>
      <c r="AI4" s="1094"/>
      <c r="AJ4" s="1094"/>
      <c r="AK4" s="1741"/>
      <c r="AL4" s="1094"/>
      <c r="AM4" s="1094"/>
      <c r="AN4" s="1094"/>
      <c r="AO4" s="1744"/>
      <c r="AP4" s="1741"/>
      <c r="AQ4" s="1094"/>
      <c r="AR4" s="1094"/>
      <c r="AS4" s="1094"/>
      <c r="AT4" s="1744"/>
      <c r="AU4" s="1741"/>
      <c r="AV4" s="1094"/>
      <c r="AW4" s="1094"/>
      <c r="AX4" s="1094"/>
      <c r="AY4" s="1094"/>
      <c r="AZ4" s="1741"/>
      <c r="BA4" s="1094"/>
      <c r="BB4" s="1094"/>
      <c r="BC4" s="1094"/>
      <c r="BD4" s="1744"/>
      <c r="BE4" s="1741"/>
      <c r="BF4" s="1094"/>
      <c r="BG4" s="1094"/>
      <c r="BH4" s="1094"/>
      <c r="BI4" s="1744"/>
      <c r="BJ4" s="1741"/>
      <c r="BK4" s="1094"/>
      <c r="BL4" s="1094"/>
      <c r="BM4" s="1094"/>
      <c r="BN4" s="1094"/>
      <c r="BO4" s="1741"/>
      <c r="BP4" s="1094"/>
      <c r="BQ4" s="1094"/>
      <c r="BR4" s="1094"/>
      <c r="BS4" s="1744"/>
      <c r="BT4" s="1741"/>
      <c r="BU4" s="1094"/>
      <c r="BV4" s="1094"/>
      <c r="BW4" s="1094"/>
      <c r="BX4" s="1744"/>
      <c r="BY4" s="1741"/>
      <c r="BZ4" s="1094"/>
      <c r="CA4" s="1094"/>
      <c r="CB4" s="1094"/>
      <c r="CC4" s="1094"/>
      <c r="CD4" s="1741"/>
      <c r="CE4" s="1094"/>
      <c r="CF4" s="1094"/>
      <c r="CG4" s="1094"/>
      <c r="CH4" s="1744"/>
      <c r="CI4" s="1741"/>
      <c r="CJ4" s="1094"/>
      <c r="CK4" s="1094"/>
      <c r="CL4" s="1094"/>
      <c r="CM4" s="1744"/>
      <c r="CN4" s="1741"/>
      <c r="CO4" s="1094"/>
      <c r="CP4" s="1094"/>
      <c r="CQ4" s="1094"/>
      <c r="CR4" s="1744"/>
      <c r="CS4" s="1741"/>
      <c r="CT4" s="1094"/>
      <c r="CU4" s="1094"/>
      <c r="CV4" s="1094"/>
      <c r="CW4" s="1744"/>
      <c r="CX4" s="1741"/>
      <c r="CY4" s="1094"/>
      <c r="CZ4" s="1094"/>
      <c r="DA4" s="1094"/>
      <c r="DB4" s="1744"/>
      <c r="DC4" s="1741"/>
      <c r="DD4" s="1094"/>
      <c r="DE4" s="1094"/>
      <c r="DF4" s="1094"/>
      <c r="DG4" s="1744"/>
      <c r="DH4" s="1741"/>
      <c r="DI4" s="1094"/>
      <c r="DJ4" s="1094"/>
      <c r="DK4" s="1094"/>
      <c r="DL4" s="1744"/>
      <c r="DM4" s="1741"/>
      <c r="DN4" s="1094"/>
      <c r="DO4" s="1094"/>
      <c r="DP4" s="1094"/>
      <c r="DQ4" s="1744"/>
      <c r="DR4" s="1741"/>
      <c r="DS4" s="1094"/>
      <c r="DT4" s="1094"/>
      <c r="DU4" s="1094"/>
      <c r="DV4" s="1744"/>
      <c r="DW4" s="1741"/>
      <c r="DX4" s="1094"/>
      <c r="DY4" s="1094"/>
      <c r="DZ4" s="1094"/>
      <c r="EA4" s="1744"/>
    </row>
    <row r="5" spans="1:131" ht="17" customHeight="1" thickBot="1">
      <c r="A5" s="1094"/>
      <c r="B5" s="2096" t="s">
        <v>965</v>
      </c>
      <c r="C5" s="2097"/>
      <c r="D5" s="2097"/>
      <c r="E5" s="2098"/>
      <c r="F5" s="1094"/>
      <c r="G5" s="2096" t="s">
        <v>966</v>
      </c>
      <c r="H5" s="2097"/>
      <c r="I5" s="2097"/>
      <c r="J5" s="2098"/>
      <c r="K5" s="1094"/>
      <c r="L5" s="2096" t="s">
        <v>967</v>
      </c>
      <c r="M5" s="2097"/>
      <c r="N5" s="2097"/>
      <c r="O5" s="2098"/>
      <c r="P5" s="1094"/>
      <c r="Q5" s="2096" t="s">
        <v>968</v>
      </c>
      <c r="R5" s="2097"/>
      <c r="S5" s="2097"/>
      <c r="T5" s="2098"/>
      <c r="U5" s="1094"/>
      <c r="V5" s="2096" t="s">
        <v>969</v>
      </c>
      <c r="W5" s="2097"/>
      <c r="X5" s="2097"/>
      <c r="Y5" s="2098"/>
      <c r="Z5" s="1094"/>
      <c r="AA5" s="2096" t="s">
        <v>970</v>
      </c>
      <c r="AB5" s="2097"/>
      <c r="AC5" s="2097"/>
      <c r="AD5" s="2098"/>
      <c r="AE5" s="1094"/>
      <c r="AF5" s="2096" t="s">
        <v>971</v>
      </c>
      <c r="AG5" s="2097"/>
      <c r="AH5" s="2097"/>
      <c r="AI5" s="2098"/>
      <c r="AJ5" s="1094"/>
      <c r="AK5" s="2096" t="s">
        <v>972</v>
      </c>
      <c r="AL5" s="2097"/>
      <c r="AM5" s="2097"/>
      <c r="AN5" s="2098"/>
      <c r="AO5" s="1744"/>
      <c r="AP5" s="2096" t="s">
        <v>973</v>
      </c>
      <c r="AQ5" s="2097"/>
      <c r="AR5" s="2097"/>
      <c r="AS5" s="2098"/>
      <c r="AT5" s="1744"/>
      <c r="AU5" s="2096" t="s">
        <v>974</v>
      </c>
      <c r="AV5" s="2097"/>
      <c r="AW5" s="2097"/>
      <c r="AX5" s="2098"/>
      <c r="AY5" s="1094"/>
      <c r="AZ5" s="2096" t="s">
        <v>975</v>
      </c>
      <c r="BA5" s="2097"/>
      <c r="BB5" s="2097"/>
      <c r="BC5" s="2098"/>
      <c r="BD5" s="1744"/>
      <c r="BE5" s="2096" t="s">
        <v>976</v>
      </c>
      <c r="BF5" s="2097"/>
      <c r="BG5" s="2097"/>
      <c r="BH5" s="2098"/>
      <c r="BI5" s="1744"/>
      <c r="BJ5" s="2096" t="s">
        <v>977</v>
      </c>
      <c r="BK5" s="2097"/>
      <c r="BL5" s="2097"/>
      <c r="BM5" s="2098"/>
      <c r="BN5" s="1094"/>
      <c r="BO5" s="2096" t="s">
        <v>978</v>
      </c>
      <c r="BP5" s="2097"/>
      <c r="BQ5" s="2097"/>
      <c r="BR5" s="2098"/>
      <c r="BS5" s="1744"/>
      <c r="BT5" s="2096" t="s">
        <v>979</v>
      </c>
      <c r="BU5" s="2097"/>
      <c r="BV5" s="2097"/>
      <c r="BW5" s="2098"/>
      <c r="BX5" s="1744"/>
      <c r="BY5" s="2096" t="s">
        <v>980</v>
      </c>
      <c r="BZ5" s="2097"/>
      <c r="CA5" s="2097"/>
      <c r="CB5" s="2098"/>
      <c r="CC5" s="1094"/>
      <c r="CD5" s="2096" t="s">
        <v>981</v>
      </c>
      <c r="CE5" s="2097"/>
      <c r="CF5" s="2097"/>
      <c r="CG5" s="2098"/>
      <c r="CH5" s="1744"/>
      <c r="CI5" s="2096" t="s">
        <v>982</v>
      </c>
      <c r="CJ5" s="2097"/>
      <c r="CK5" s="2097"/>
      <c r="CL5" s="2098"/>
      <c r="CM5" s="1744"/>
      <c r="CN5" s="2096" t="s">
        <v>983</v>
      </c>
      <c r="CO5" s="2097"/>
      <c r="CP5" s="2097"/>
      <c r="CQ5" s="2098"/>
      <c r="CR5" s="1744"/>
      <c r="CS5" s="2096" t="s">
        <v>984</v>
      </c>
      <c r="CT5" s="2097"/>
      <c r="CU5" s="2097"/>
      <c r="CV5" s="2098"/>
      <c r="CW5" s="1744"/>
      <c r="CX5" s="2096" t="s">
        <v>985</v>
      </c>
      <c r="CY5" s="2097"/>
      <c r="CZ5" s="2097"/>
      <c r="DA5" s="2098"/>
      <c r="DB5" s="1744"/>
      <c r="DC5" s="2096" t="s">
        <v>986</v>
      </c>
      <c r="DD5" s="2097"/>
      <c r="DE5" s="2097"/>
      <c r="DF5" s="2098"/>
      <c r="DG5" s="1744"/>
      <c r="DH5" s="2096" t="s">
        <v>987</v>
      </c>
      <c r="DI5" s="2097"/>
      <c r="DJ5" s="2097"/>
      <c r="DK5" s="2098"/>
      <c r="DL5" s="1744"/>
      <c r="DM5" s="2096" t="s">
        <v>988</v>
      </c>
      <c r="DN5" s="2097"/>
      <c r="DO5" s="2097"/>
      <c r="DP5" s="2098"/>
      <c r="DQ5" s="1744"/>
      <c r="DR5" s="2096" t="s">
        <v>989</v>
      </c>
      <c r="DS5" s="2097"/>
      <c r="DT5" s="2097"/>
      <c r="DU5" s="2098"/>
      <c r="DV5" s="1744"/>
      <c r="DW5" s="2096" t="s">
        <v>990</v>
      </c>
      <c r="DX5" s="2097"/>
      <c r="DY5" s="2097"/>
      <c r="DZ5" s="2098"/>
      <c r="EA5" s="1744"/>
    </row>
    <row r="6" spans="1:131" ht="17" customHeight="1" thickBot="1">
      <c r="A6" s="1094"/>
      <c r="B6" s="491" t="s">
        <v>61</v>
      </c>
      <c r="C6" s="492" t="s">
        <v>0</v>
      </c>
      <c r="D6" s="493" t="s">
        <v>1</v>
      </c>
      <c r="E6" s="494" t="s">
        <v>243</v>
      </c>
      <c r="F6" s="1094"/>
      <c r="G6" s="491" t="s">
        <v>61</v>
      </c>
      <c r="H6" s="492" t="s">
        <v>0</v>
      </c>
      <c r="I6" s="493" t="s">
        <v>1</v>
      </c>
      <c r="J6" s="494" t="s">
        <v>243</v>
      </c>
      <c r="K6" s="1094"/>
      <c r="L6" s="491" t="s">
        <v>61</v>
      </c>
      <c r="M6" s="492" t="s">
        <v>0</v>
      </c>
      <c r="N6" s="493" t="s">
        <v>1</v>
      </c>
      <c r="O6" s="494" t="s">
        <v>243</v>
      </c>
      <c r="P6" s="1094"/>
      <c r="Q6" s="491" t="s">
        <v>61</v>
      </c>
      <c r="R6" s="492" t="s">
        <v>0</v>
      </c>
      <c r="S6" s="493" t="s">
        <v>1</v>
      </c>
      <c r="T6" s="494" t="s">
        <v>243</v>
      </c>
      <c r="U6" s="1094"/>
      <c r="V6" s="491" t="s">
        <v>61</v>
      </c>
      <c r="W6" s="492" t="s">
        <v>0</v>
      </c>
      <c r="X6" s="493" t="s">
        <v>1</v>
      </c>
      <c r="Y6" s="494" t="s">
        <v>243</v>
      </c>
      <c r="Z6" s="1094"/>
      <c r="AA6" s="491" t="s">
        <v>61</v>
      </c>
      <c r="AB6" s="492" t="s">
        <v>0</v>
      </c>
      <c r="AC6" s="493" t="s">
        <v>1</v>
      </c>
      <c r="AD6" s="494" t="s">
        <v>243</v>
      </c>
      <c r="AE6" s="1094"/>
      <c r="AF6" s="491" t="s">
        <v>61</v>
      </c>
      <c r="AG6" s="492" t="s">
        <v>0</v>
      </c>
      <c r="AH6" s="493" t="s">
        <v>1</v>
      </c>
      <c r="AI6" s="494" t="s">
        <v>243</v>
      </c>
      <c r="AJ6" s="1094"/>
      <c r="AK6" s="491" t="s">
        <v>61</v>
      </c>
      <c r="AL6" s="492" t="s">
        <v>0</v>
      </c>
      <c r="AM6" s="493" t="s">
        <v>1</v>
      </c>
      <c r="AN6" s="494" t="s">
        <v>243</v>
      </c>
      <c r="AO6" s="1742"/>
      <c r="AP6" s="491" t="s">
        <v>61</v>
      </c>
      <c r="AQ6" s="492" t="s">
        <v>0</v>
      </c>
      <c r="AR6" s="493" t="s">
        <v>1</v>
      </c>
      <c r="AS6" s="494" t="s">
        <v>243</v>
      </c>
      <c r="AT6" s="1742"/>
      <c r="AU6" s="491" t="s">
        <v>61</v>
      </c>
      <c r="AV6" s="492" t="s">
        <v>0</v>
      </c>
      <c r="AW6" s="493" t="s">
        <v>1</v>
      </c>
      <c r="AX6" s="494" t="s">
        <v>243</v>
      </c>
      <c r="AY6" s="1094"/>
      <c r="AZ6" s="491" t="s">
        <v>61</v>
      </c>
      <c r="BA6" s="492" t="s">
        <v>0</v>
      </c>
      <c r="BB6" s="493" t="s">
        <v>1</v>
      </c>
      <c r="BC6" s="494" t="s">
        <v>243</v>
      </c>
      <c r="BD6" s="1742"/>
      <c r="BE6" s="491" t="s">
        <v>61</v>
      </c>
      <c r="BF6" s="492" t="s">
        <v>0</v>
      </c>
      <c r="BG6" s="493" t="s">
        <v>1</v>
      </c>
      <c r="BH6" s="494" t="s">
        <v>243</v>
      </c>
      <c r="BI6" s="1742"/>
      <c r="BJ6" s="491" t="s">
        <v>61</v>
      </c>
      <c r="BK6" s="492" t="s">
        <v>0</v>
      </c>
      <c r="BL6" s="493" t="s">
        <v>1</v>
      </c>
      <c r="BM6" s="494" t="s">
        <v>243</v>
      </c>
      <c r="BN6" s="1094"/>
      <c r="BO6" s="491" t="s">
        <v>61</v>
      </c>
      <c r="BP6" s="492" t="s">
        <v>0</v>
      </c>
      <c r="BQ6" s="493" t="s">
        <v>1</v>
      </c>
      <c r="BR6" s="494" t="s">
        <v>243</v>
      </c>
      <c r="BS6" s="1742"/>
      <c r="BT6" s="491" t="s">
        <v>61</v>
      </c>
      <c r="BU6" s="492" t="s">
        <v>0</v>
      </c>
      <c r="BV6" s="493" t="s">
        <v>1</v>
      </c>
      <c r="BW6" s="494" t="s">
        <v>243</v>
      </c>
      <c r="BX6" s="1742"/>
      <c r="BY6" s="491" t="s">
        <v>61</v>
      </c>
      <c r="BZ6" s="492" t="s">
        <v>0</v>
      </c>
      <c r="CA6" s="493" t="s">
        <v>1</v>
      </c>
      <c r="CB6" s="494" t="s">
        <v>243</v>
      </c>
      <c r="CC6" s="1094"/>
      <c r="CD6" s="491" t="s">
        <v>61</v>
      </c>
      <c r="CE6" s="492" t="s">
        <v>0</v>
      </c>
      <c r="CF6" s="493" t="s">
        <v>1</v>
      </c>
      <c r="CG6" s="494" t="s">
        <v>243</v>
      </c>
      <c r="CH6" s="1742"/>
      <c r="CI6" s="491" t="s">
        <v>61</v>
      </c>
      <c r="CJ6" s="492" t="s">
        <v>0</v>
      </c>
      <c r="CK6" s="493" t="s">
        <v>1</v>
      </c>
      <c r="CL6" s="494" t="s">
        <v>243</v>
      </c>
      <c r="CM6" s="1742"/>
      <c r="CN6" s="491" t="s">
        <v>61</v>
      </c>
      <c r="CO6" s="492" t="s">
        <v>0</v>
      </c>
      <c r="CP6" s="493" t="s">
        <v>1</v>
      </c>
      <c r="CQ6" s="494" t="s">
        <v>243</v>
      </c>
      <c r="CR6" s="1742"/>
      <c r="CS6" s="491" t="s">
        <v>61</v>
      </c>
      <c r="CT6" s="492" t="s">
        <v>0</v>
      </c>
      <c r="CU6" s="493" t="s">
        <v>1</v>
      </c>
      <c r="CV6" s="494" t="s">
        <v>243</v>
      </c>
      <c r="CW6" s="1742"/>
      <c r="CX6" s="519" t="s">
        <v>61</v>
      </c>
      <c r="CY6" s="520" t="s">
        <v>0</v>
      </c>
      <c r="CZ6" s="521" t="s">
        <v>1</v>
      </c>
      <c r="DA6" s="522" t="s">
        <v>243</v>
      </c>
      <c r="DB6" s="1742"/>
      <c r="DC6" s="519" t="s">
        <v>61</v>
      </c>
      <c r="DD6" s="520" t="s">
        <v>0</v>
      </c>
      <c r="DE6" s="521" t="s">
        <v>1</v>
      </c>
      <c r="DF6" s="522" t="s">
        <v>243</v>
      </c>
      <c r="DG6" s="1742"/>
      <c r="DH6" s="491" t="s">
        <v>61</v>
      </c>
      <c r="DI6" s="492" t="s">
        <v>0</v>
      </c>
      <c r="DJ6" s="493" t="s">
        <v>1</v>
      </c>
      <c r="DK6" s="494" t="s">
        <v>243</v>
      </c>
      <c r="DL6" s="1742"/>
      <c r="DM6" s="519" t="s">
        <v>61</v>
      </c>
      <c r="DN6" s="520" t="s">
        <v>0</v>
      </c>
      <c r="DO6" s="521" t="s">
        <v>1</v>
      </c>
      <c r="DP6" s="522" t="s">
        <v>243</v>
      </c>
      <c r="DQ6" s="1742"/>
      <c r="DR6" s="519" t="s">
        <v>61</v>
      </c>
      <c r="DS6" s="520" t="s">
        <v>0</v>
      </c>
      <c r="DT6" s="521" t="s">
        <v>1</v>
      </c>
      <c r="DU6" s="522" t="s">
        <v>243</v>
      </c>
      <c r="DV6" s="1742"/>
      <c r="DW6" s="491" t="s">
        <v>61</v>
      </c>
      <c r="DX6" s="492" t="s">
        <v>0</v>
      </c>
      <c r="DY6" s="493" t="s">
        <v>1</v>
      </c>
      <c r="DZ6" s="494" t="s">
        <v>243</v>
      </c>
      <c r="EA6" s="1742"/>
    </row>
    <row r="7" spans="1:131">
      <c r="A7" s="1094"/>
      <c r="B7" s="1016">
        <v>3713</v>
      </c>
      <c r="C7" s="1017" t="s">
        <v>639</v>
      </c>
      <c r="D7" s="1018"/>
      <c r="E7" s="1164">
        <f>Sheet1!C391</f>
        <v>0</v>
      </c>
      <c r="F7" s="1094"/>
      <c r="G7" s="1016">
        <v>894</v>
      </c>
      <c r="H7" s="1017" t="s">
        <v>542</v>
      </c>
      <c r="I7" s="1024"/>
      <c r="J7" s="1164">
        <f>Sheet1!C274</f>
        <v>0</v>
      </c>
      <c r="K7" s="1094"/>
      <c r="L7" s="1016">
        <v>23</v>
      </c>
      <c r="M7" s="1017" t="s">
        <v>125</v>
      </c>
      <c r="N7" s="1026"/>
      <c r="O7" s="1164">
        <f>Sheet1!C27</f>
        <v>0</v>
      </c>
      <c r="P7" s="1094"/>
      <c r="Q7" s="1016">
        <v>778</v>
      </c>
      <c r="R7" s="1017" t="s">
        <v>575</v>
      </c>
      <c r="S7" s="1028"/>
      <c r="T7" s="1164">
        <f>Sheet1!C221</f>
        <v>0</v>
      </c>
      <c r="U7" s="1094"/>
      <c r="V7" s="1016">
        <v>3743</v>
      </c>
      <c r="W7" s="1017" t="s">
        <v>657</v>
      </c>
      <c r="X7" s="1030"/>
      <c r="Y7" s="1164">
        <f>Sheet1!C400</f>
        <v>0</v>
      </c>
      <c r="Z7" s="1094"/>
      <c r="AA7" s="1016">
        <v>3840</v>
      </c>
      <c r="AB7" s="1017" t="s">
        <v>655</v>
      </c>
      <c r="AC7" s="1032"/>
      <c r="AD7" s="1164">
        <f>Sheet1!C466</f>
        <v>0</v>
      </c>
      <c r="AE7" s="1094"/>
      <c r="AF7" s="1016">
        <v>159</v>
      </c>
      <c r="AG7" s="1017" t="s">
        <v>633</v>
      </c>
      <c r="AH7" s="1034"/>
      <c r="AI7" s="1164">
        <f>Sheet1!C49</f>
        <v>0</v>
      </c>
      <c r="AJ7" s="1094"/>
      <c r="AK7" s="1016">
        <v>828</v>
      </c>
      <c r="AL7" s="1017" t="s">
        <v>681</v>
      </c>
      <c r="AM7" s="1036"/>
      <c r="AN7" s="1164">
        <f>Sheet1!C255</f>
        <v>0</v>
      </c>
      <c r="AO7" s="1094"/>
      <c r="AP7" s="1016">
        <v>964</v>
      </c>
      <c r="AQ7" s="1017" t="s">
        <v>641</v>
      </c>
      <c r="AR7" s="1038"/>
      <c r="AS7" s="1164">
        <f>Sheet1!C325</f>
        <v>0</v>
      </c>
      <c r="AT7" s="1094"/>
      <c r="AU7" s="1016">
        <v>955</v>
      </c>
      <c r="AV7" s="1017" t="s">
        <v>632</v>
      </c>
      <c r="AW7" s="1040"/>
      <c r="AX7" s="1164">
        <f>Sheet1!C317</f>
        <v>0</v>
      </c>
      <c r="AY7" s="1094"/>
      <c r="AZ7" s="1016">
        <v>14</v>
      </c>
      <c r="BA7" s="1017" t="s">
        <v>696</v>
      </c>
      <c r="BB7" s="1042"/>
      <c r="BC7" s="1164">
        <f>Sheet1!C18</f>
        <v>0</v>
      </c>
      <c r="BD7" s="1094"/>
      <c r="BE7" s="1016">
        <v>10</v>
      </c>
      <c r="BF7" s="1017" t="s">
        <v>714</v>
      </c>
      <c r="BG7" s="1044"/>
      <c r="BH7" s="1164">
        <f>Sheet1!C14</f>
        <v>0</v>
      </c>
      <c r="BI7" s="1094"/>
      <c r="BJ7" s="1016">
        <v>17</v>
      </c>
      <c r="BK7" s="1017" t="s">
        <v>692</v>
      </c>
      <c r="BL7" s="1046"/>
      <c r="BM7" s="1164">
        <f>Sheet1!C21</f>
        <v>0</v>
      </c>
      <c r="BN7" s="1094"/>
      <c r="BO7" s="1016">
        <v>676</v>
      </c>
      <c r="BP7" s="1017" t="s">
        <v>618</v>
      </c>
      <c r="BQ7" s="1048"/>
      <c r="BR7" s="1164">
        <f>Sheet1!C177</f>
        <v>0</v>
      </c>
      <c r="BS7" s="1094"/>
      <c r="BT7" s="1016">
        <v>445</v>
      </c>
      <c r="BU7" s="1017" t="s">
        <v>601</v>
      </c>
      <c r="BV7" s="1050"/>
      <c r="BW7" s="1164">
        <f>Sheet1!C120</f>
        <v>0</v>
      </c>
      <c r="BX7" s="1094"/>
      <c r="BY7" s="1016">
        <v>951</v>
      </c>
      <c r="BZ7" s="1017" t="s">
        <v>627</v>
      </c>
      <c r="CA7" s="1052"/>
      <c r="CB7" s="1164">
        <f>Sheet1!C315</f>
        <v>0</v>
      </c>
      <c r="CC7" s="1094"/>
      <c r="CD7" s="1016">
        <v>948</v>
      </c>
      <c r="CE7" s="1017" t="s">
        <v>620</v>
      </c>
      <c r="CF7" s="1054"/>
      <c r="CG7" s="1164">
        <f>Sheet1!C313</f>
        <v>0</v>
      </c>
      <c r="CH7" s="1094"/>
      <c r="CI7" s="1016">
        <v>453</v>
      </c>
      <c r="CJ7" s="1017" t="s">
        <v>640</v>
      </c>
      <c r="CK7" s="1056"/>
      <c r="CL7" s="1164">
        <f>Sheet1!C123</f>
        <v>0</v>
      </c>
      <c r="CM7" s="1094"/>
      <c r="CN7" s="1016">
        <v>3865</v>
      </c>
      <c r="CO7" s="1017" t="s">
        <v>80</v>
      </c>
      <c r="CP7" s="1058"/>
      <c r="CQ7" s="1164">
        <f>Sheet1!C491</f>
        <v>0</v>
      </c>
      <c r="CR7" s="1094"/>
      <c r="CS7" s="1016">
        <v>3072</v>
      </c>
      <c r="CT7" s="1017" t="s">
        <v>590</v>
      </c>
      <c r="CU7" s="1060"/>
      <c r="CV7" s="1164">
        <f>Sheet1!C363</f>
        <v>0</v>
      </c>
      <c r="CW7" s="1094"/>
      <c r="CX7" s="11">
        <v>48</v>
      </c>
      <c r="CY7" s="518" t="s">
        <v>131</v>
      </c>
      <c r="CZ7" s="518"/>
      <c r="DA7" s="1164">
        <f>Sheet1!C742</f>
        <v>0</v>
      </c>
      <c r="DB7" s="1094"/>
      <c r="DC7" s="11" t="s">
        <v>89</v>
      </c>
      <c r="DD7" s="518" t="s">
        <v>192</v>
      </c>
      <c r="DE7" s="1063"/>
      <c r="DF7" s="1164">
        <f>Sheet1!C547</f>
        <v>0</v>
      </c>
      <c r="DG7" s="1094"/>
      <c r="DH7" s="11" t="s">
        <v>113</v>
      </c>
      <c r="DI7" s="518" t="s">
        <v>184</v>
      </c>
      <c r="DJ7" s="536"/>
      <c r="DK7" s="1164">
        <f>Sheet1!C527</f>
        <v>0</v>
      </c>
      <c r="DL7" s="1094"/>
      <c r="DM7" s="11">
        <v>4010</v>
      </c>
      <c r="DN7" s="14" t="s">
        <v>869</v>
      </c>
      <c r="DO7" s="518"/>
      <c r="DP7" s="1164">
        <f>Sheet1!C587</f>
        <v>0</v>
      </c>
      <c r="DQ7" s="1094"/>
      <c r="DR7" s="11">
        <v>4130</v>
      </c>
      <c r="DS7" s="14" t="s">
        <v>153</v>
      </c>
      <c r="DT7" s="518"/>
      <c r="DU7" s="1155">
        <f>Sheet1!C608</f>
        <v>0</v>
      </c>
      <c r="DV7" s="1094"/>
      <c r="DW7" s="11">
        <v>5282</v>
      </c>
      <c r="DX7" s="14" t="s">
        <v>217</v>
      </c>
      <c r="DY7" s="1066"/>
      <c r="DZ7" s="1153">
        <f>Sheet1!C585</f>
        <v>0</v>
      </c>
      <c r="EA7" s="1094"/>
    </row>
    <row r="8" spans="1:131" ht="17" thickBot="1">
      <c r="A8" s="1094"/>
      <c r="B8" s="1019">
        <v>761</v>
      </c>
      <c r="C8" s="572" t="s">
        <v>559</v>
      </c>
      <c r="D8" s="574"/>
      <c r="E8" s="1165">
        <f>Sheet1!C215</f>
        <v>0</v>
      </c>
      <c r="F8" s="1094"/>
      <c r="G8" s="1019">
        <v>893</v>
      </c>
      <c r="H8" s="572" t="s">
        <v>540</v>
      </c>
      <c r="I8" s="575"/>
      <c r="J8" s="1165">
        <f>Sheet1!C273</f>
        <v>0</v>
      </c>
      <c r="K8" s="1094"/>
      <c r="L8" s="1019">
        <v>3689</v>
      </c>
      <c r="M8" s="572" t="s">
        <v>635</v>
      </c>
      <c r="N8" s="576"/>
      <c r="O8" s="1165">
        <f>Sheet1!C386</f>
        <v>0</v>
      </c>
      <c r="P8" s="1094"/>
      <c r="Q8" s="1019">
        <v>3727</v>
      </c>
      <c r="R8" s="572" t="s">
        <v>652</v>
      </c>
      <c r="S8" s="577"/>
      <c r="T8" s="1165">
        <f>Sheet1!C396</f>
        <v>0</v>
      </c>
      <c r="U8" s="1094"/>
      <c r="V8" s="1019">
        <v>3042</v>
      </c>
      <c r="W8" s="572" t="s">
        <v>576</v>
      </c>
      <c r="X8" s="578"/>
      <c r="Y8" s="1165">
        <f>Sheet1!C355</f>
        <v>0</v>
      </c>
      <c r="Z8" s="1094"/>
      <c r="AA8" s="1019">
        <v>3839</v>
      </c>
      <c r="AB8" s="572" t="s">
        <v>532</v>
      </c>
      <c r="AC8" s="579"/>
      <c r="AD8" s="1165">
        <f>Sheet1!C465</f>
        <v>0</v>
      </c>
      <c r="AE8" s="1094"/>
      <c r="AF8" s="1019">
        <v>160</v>
      </c>
      <c r="AG8" s="572" t="s">
        <v>517</v>
      </c>
      <c r="AH8" s="580"/>
      <c r="AI8" s="1165">
        <f>Sheet1!C50</f>
        <v>0</v>
      </c>
      <c r="AJ8" s="1094"/>
      <c r="AK8" s="1019">
        <v>3761</v>
      </c>
      <c r="AL8" s="572" t="s">
        <v>546</v>
      </c>
      <c r="AM8" s="581"/>
      <c r="AN8" s="1165">
        <f>Sheet1!C409</f>
        <v>0</v>
      </c>
      <c r="AO8" s="1094"/>
      <c r="AP8" s="1019">
        <v>959</v>
      </c>
      <c r="AQ8" s="572" t="s">
        <v>518</v>
      </c>
      <c r="AR8" s="582"/>
      <c r="AS8" s="1165">
        <f>Sheet1!C321</f>
        <v>0</v>
      </c>
      <c r="AT8" s="1094"/>
      <c r="AU8" s="1019">
        <v>13</v>
      </c>
      <c r="AV8" s="572" t="s">
        <v>694</v>
      </c>
      <c r="AW8" s="583"/>
      <c r="AX8" s="1165">
        <f>Sheet1!C17</f>
        <v>0</v>
      </c>
      <c r="AY8" s="1094"/>
      <c r="AZ8" s="1019">
        <v>15</v>
      </c>
      <c r="BA8" s="572" t="s">
        <v>121</v>
      </c>
      <c r="BB8" s="584"/>
      <c r="BC8" s="1165">
        <f>Sheet1!C19</f>
        <v>0</v>
      </c>
      <c r="BD8" s="1094"/>
      <c r="BE8" s="1019">
        <v>11</v>
      </c>
      <c r="BF8" s="572" t="s">
        <v>695</v>
      </c>
      <c r="BG8" s="585"/>
      <c r="BH8" s="1165">
        <f>Sheet1!C15</f>
        <v>0</v>
      </c>
      <c r="BI8" s="1094"/>
      <c r="BJ8" s="1019">
        <v>18</v>
      </c>
      <c r="BK8" s="572" t="s">
        <v>122</v>
      </c>
      <c r="BL8" s="586"/>
      <c r="BM8" s="1165">
        <f>Sheet1!C22</f>
        <v>0</v>
      </c>
      <c r="BN8" s="1094"/>
      <c r="BO8" s="1019">
        <v>729</v>
      </c>
      <c r="BP8" s="572" t="s">
        <v>529</v>
      </c>
      <c r="BQ8" s="587"/>
      <c r="BR8" s="1165">
        <f>Sheet1!C196</f>
        <v>0</v>
      </c>
      <c r="BS8" s="1094"/>
      <c r="BT8" s="1019">
        <v>307</v>
      </c>
      <c r="BU8" s="572" t="s">
        <v>2</v>
      </c>
      <c r="BV8" s="588"/>
      <c r="BW8" s="1165">
        <f>Sheet1!C71</f>
        <v>0</v>
      </c>
      <c r="BX8" s="1094"/>
      <c r="BY8" s="1019">
        <v>3856</v>
      </c>
      <c r="BZ8" s="572" t="s">
        <v>668</v>
      </c>
      <c r="CA8" s="589"/>
      <c r="CB8" s="1165">
        <f>Sheet1!C482</f>
        <v>0</v>
      </c>
      <c r="CC8" s="1094"/>
      <c r="CD8" s="1019">
        <v>754</v>
      </c>
      <c r="CE8" s="572" t="s">
        <v>552</v>
      </c>
      <c r="CF8" s="590"/>
      <c r="CG8" s="1165">
        <f>Sheet1!C212</f>
        <v>0</v>
      </c>
      <c r="CH8" s="1094"/>
      <c r="CI8" s="1019">
        <v>452</v>
      </c>
      <c r="CJ8" s="572" t="s">
        <v>522</v>
      </c>
      <c r="CK8" s="591"/>
      <c r="CL8" s="1165">
        <f>Sheet1!C122</f>
        <v>0</v>
      </c>
      <c r="CM8" s="1094"/>
      <c r="CN8" s="1019" t="s">
        <v>44</v>
      </c>
      <c r="CO8" s="572" t="s">
        <v>45</v>
      </c>
      <c r="CP8" s="592"/>
      <c r="CQ8" s="1165">
        <f>Sheet1!C1</f>
        <v>0</v>
      </c>
      <c r="CR8" s="1094"/>
      <c r="CS8" s="1019">
        <v>647</v>
      </c>
      <c r="CT8" s="572" t="s">
        <v>509</v>
      </c>
      <c r="CU8" s="593"/>
      <c r="CV8" s="1165">
        <f>Sheet1!C174</f>
        <v>0</v>
      </c>
      <c r="CW8" s="1094"/>
      <c r="CX8" s="9">
        <v>107</v>
      </c>
      <c r="CY8" s="6" t="s">
        <v>144</v>
      </c>
      <c r="CZ8" s="6"/>
      <c r="DA8" s="1165">
        <f>Sheet1!C765</f>
        <v>0</v>
      </c>
      <c r="DB8" s="1094"/>
      <c r="DC8" s="9" t="s">
        <v>92</v>
      </c>
      <c r="DD8" s="6" t="s">
        <v>201</v>
      </c>
      <c r="DE8" s="58"/>
      <c r="DF8" s="1165">
        <f>Sheet1!C556</f>
        <v>0</v>
      </c>
      <c r="DG8" s="1094"/>
      <c r="DH8" s="9" t="s">
        <v>107</v>
      </c>
      <c r="DI8" s="6" t="s">
        <v>202</v>
      </c>
      <c r="DJ8" s="59"/>
      <c r="DK8" s="1165">
        <f>Sheet1!C557</f>
        <v>0</v>
      </c>
      <c r="DL8" s="1094"/>
      <c r="DM8" s="9">
        <v>4015</v>
      </c>
      <c r="DN8" s="2" t="s">
        <v>149</v>
      </c>
      <c r="DO8" s="6"/>
      <c r="DP8" s="1165">
        <f>Sheet1!C588</f>
        <v>0</v>
      </c>
      <c r="DQ8" s="1094"/>
      <c r="DR8" s="9">
        <v>4140</v>
      </c>
      <c r="DS8" s="2" t="s">
        <v>154</v>
      </c>
      <c r="DT8" s="6"/>
      <c r="DU8" s="1149">
        <f>Sheet1!C609</f>
        <v>0</v>
      </c>
      <c r="DV8" s="1094"/>
      <c r="DW8" s="10">
        <v>5283</v>
      </c>
      <c r="DX8" s="4" t="s">
        <v>218</v>
      </c>
      <c r="DY8" s="1067"/>
      <c r="DZ8" s="1152">
        <f>Sheet1!C586</f>
        <v>0</v>
      </c>
      <c r="EA8" s="1094"/>
    </row>
    <row r="9" spans="1:131">
      <c r="A9" s="1094"/>
      <c r="B9" s="1019">
        <v>760</v>
      </c>
      <c r="C9" s="572" t="s">
        <v>23</v>
      </c>
      <c r="D9" s="594"/>
      <c r="E9" s="1165">
        <f>Sheet1!C214</f>
        <v>0</v>
      </c>
      <c r="F9" s="1094"/>
      <c r="G9" s="1019">
        <v>892</v>
      </c>
      <c r="H9" s="572" t="s">
        <v>465</v>
      </c>
      <c r="I9" s="595"/>
      <c r="J9" s="1165">
        <f>Sheet1!C272</f>
        <v>0</v>
      </c>
      <c r="K9" s="1094"/>
      <c r="L9" s="1019">
        <v>3688</v>
      </c>
      <c r="M9" s="596" t="s">
        <v>516</v>
      </c>
      <c r="N9" s="597"/>
      <c r="O9" s="1165">
        <f>Sheet1!C385</f>
        <v>0</v>
      </c>
      <c r="P9" s="1094"/>
      <c r="Q9" s="1019">
        <v>316</v>
      </c>
      <c r="R9" s="572" t="s">
        <v>474</v>
      </c>
      <c r="S9" s="598"/>
      <c r="T9" s="1165">
        <f>Sheet1!C77</f>
        <v>0</v>
      </c>
      <c r="U9" s="1094"/>
      <c r="V9" s="1019">
        <v>3041</v>
      </c>
      <c r="W9" s="572" t="s">
        <v>486</v>
      </c>
      <c r="X9" s="599"/>
      <c r="Y9" s="1165">
        <f>Sheet1!C354</f>
        <v>0</v>
      </c>
      <c r="Z9" s="1094"/>
      <c r="AA9" s="1019">
        <v>3838</v>
      </c>
      <c r="AB9" s="572" t="s">
        <v>394</v>
      </c>
      <c r="AC9" s="600"/>
      <c r="AD9" s="1165">
        <f>Sheet1!C464</f>
        <v>0</v>
      </c>
      <c r="AE9" s="1094"/>
      <c r="AF9" s="1019">
        <v>161</v>
      </c>
      <c r="AG9" s="572" t="s">
        <v>379</v>
      </c>
      <c r="AH9" s="601"/>
      <c r="AI9" s="1165">
        <f>Sheet1!C51</f>
        <v>0</v>
      </c>
      <c r="AJ9" s="1094"/>
      <c r="AK9" s="1019">
        <v>519</v>
      </c>
      <c r="AL9" s="572" t="s">
        <v>10</v>
      </c>
      <c r="AM9" s="602"/>
      <c r="AN9" s="1165">
        <f>Sheet1!C137</f>
        <v>0</v>
      </c>
      <c r="AO9" s="1094"/>
      <c r="AP9" s="1019">
        <v>958</v>
      </c>
      <c r="AQ9" s="572" t="s">
        <v>380</v>
      </c>
      <c r="AR9" s="603"/>
      <c r="AS9" s="1165">
        <f>Sheet1!C320</f>
        <v>0</v>
      </c>
      <c r="AT9" s="1094"/>
      <c r="AU9" s="1019">
        <v>954</v>
      </c>
      <c r="AV9" s="572" t="s">
        <v>32</v>
      </c>
      <c r="AW9" s="604"/>
      <c r="AX9" s="1165">
        <f>Sheet1!C316</f>
        <v>0</v>
      </c>
      <c r="AY9" s="1094"/>
      <c r="AZ9" s="1019">
        <v>16</v>
      </c>
      <c r="BA9" s="572" t="s">
        <v>693</v>
      </c>
      <c r="BB9" s="605"/>
      <c r="BC9" s="1165">
        <f>Sheet1!C20</f>
        <v>0</v>
      </c>
      <c r="BD9" s="1094"/>
      <c r="BE9" s="1019">
        <v>12</v>
      </c>
      <c r="BF9" s="572" t="s">
        <v>120</v>
      </c>
      <c r="BG9" s="606"/>
      <c r="BH9" s="1165">
        <f>Sheet1!C16</f>
        <v>0</v>
      </c>
      <c r="BI9" s="1094"/>
      <c r="BJ9" s="1019">
        <v>834</v>
      </c>
      <c r="BK9" s="572" t="s">
        <v>649</v>
      </c>
      <c r="BL9" s="607"/>
      <c r="BM9" s="1165">
        <f>Sheet1!C261</f>
        <v>0</v>
      </c>
      <c r="BN9" s="1094"/>
      <c r="BO9" s="1019">
        <v>680</v>
      </c>
      <c r="BP9" s="572" t="s">
        <v>375</v>
      </c>
      <c r="BQ9" s="608"/>
      <c r="BR9" s="1165">
        <f>Sheet1!C179</f>
        <v>0</v>
      </c>
      <c r="BS9" s="1094"/>
      <c r="BT9" s="1019">
        <v>973</v>
      </c>
      <c r="BU9" s="572" t="s">
        <v>459</v>
      </c>
      <c r="BV9" s="609"/>
      <c r="BW9" s="1147">
        <f>Sheet1!C331</f>
        <v>0</v>
      </c>
      <c r="BX9" s="1094"/>
      <c r="BY9" s="1019">
        <v>722</v>
      </c>
      <c r="BZ9" s="572" t="s">
        <v>588</v>
      </c>
      <c r="CA9" s="610"/>
      <c r="CB9" s="1165">
        <f>Sheet1!C190</f>
        <v>0</v>
      </c>
      <c r="CC9" s="1094"/>
      <c r="CD9" s="1019">
        <v>3771</v>
      </c>
      <c r="CE9" s="572" t="s">
        <v>327</v>
      </c>
      <c r="CF9" s="611"/>
      <c r="CG9" s="1165">
        <f>Sheet1!C414</f>
        <v>0</v>
      </c>
      <c r="CH9" s="1094"/>
      <c r="CI9" s="1019">
        <v>451</v>
      </c>
      <c r="CJ9" s="572" t="s">
        <v>385</v>
      </c>
      <c r="CK9" s="612"/>
      <c r="CL9" s="1165">
        <f>Sheet1!C121</f>
        <v>0</v>
      </c>
      <c r="CM9" s="1094"/>
      <c r="CN9" s="1019">
        <v>822</v>
      </c>
      <c r="CO9" s="572" t="s">
        <v>628</v>
      </c>
      <c r="CP9" s="613"/>
      <c r="CQ9" s="1165">
        <f>Sheet1!C249</f>
        <v>0</v>
      </c>
      <c r="CR9" s="1094"/>
      <c r="CS9" s="1019">
        <v>3023</v>
      </c>
      <c r="CT9" s="572" t="s">
        <v>560</v>
      </c>
      <c r="CU9" s="614"/>
      <c r="CV9" s="1165">
        <f>Sheet1!C349</f>
        <v>0</v>
      </c>
      <c r="CW9" s="1094"/>
      <c r="CX9" s="9">
        <v>115</v>
      </c>
      <c r="CY9" s="6" t="s">
        <v>146</v>
      </c>
      <c r="CZ9" s="6"/>
      <c r="DA9" s="1165">
        <f>Sheet1!C771</f>
        <v>0</v>
      </c>
      <c r="DB9" s="1094"/>
      <c r="DC9" s="9" t="s">
        <v>87</v>
      </c>
      <c r="DD9" s="6" t="s">
        <v>213</v>
      </c>
      <c r="DE9" s="530"/>
      <c r="DF9" s="1165">
        <f>Sheet1!C568</f>
        <v>0</v>
      </c>
      <c r="DG9" s="1094"/>
      <c r="DH9" s="9" t="s">
        <v>111</v>
      </c>
      <c r="DI9" s="6" t="s">
        <v>209</v>
      </c>
      <c r="DJ9" s="66"/>
      <c r="DK9" s="1149">
        <f>Sheet1!C564</f>
        <v>0</v>
      </c>
      <c r="DL9" s="1094"/>
      <c r="DM9" s="9">
        <v>4020</v>
      </c>
      <c r="DN9" s="2" t="s">
        <v>168</v>
      </c>
      <c r="DO9" s="6"/>
      <c r="DP9" s="1165">
        <f>Sheet1!C589</f>
        <v>0</v>
      </c>
      <c r="DQ9" s="1094"/>
      <c r="DR9" s="9">
        <v>4145</v>
      </c>
      <c r="DS9" s="2" t="s">
        <v>155</v>
      </c>
      <c r="DT9" s="6"/>
      <c r="DU9" s="1149">
        <f>Sheet1!C610</f>
        <v>0</v>
      </c>
      <c r="DV9" s="1094"/>
      <c r="DW9" s="1739"/>
      <c r="DX9" s="1740"/>
      <c r="DY9" s="1739"/>
      <c r="DZ9" s="1739"/>
      <c r="EA9" s="1094"/>
    </row>
    <row r="10" spans="1:131">
      <c r="A10" s="1094"/>
      <c r="B10" s="1019">
        <v>3712</v>
      </c>
      <c r="C10" s="596" t="s">
        <v>521</v>
      </c>
      <c r="D10" s="615"/>
      <c r="E10" s="1165">
        <f>Sheet1!C390</f>
        <v>0</v>
      </c>
      <c r="F10" s="1094"/>
      <c r="G10" s="1019">
        <v>891</v>
      </c>
      <c r="H10" s="572" t="s">
        <v>316</v>
      </c>
      <c r="I10" s="616"/>
      <c r="J10" s="1165">
        <f>Sheet1!C271</f>
        <v>0</v>
      </c>
      <c r="K10" s="1094"/>
      <c r="L10" s="1019">
        <v>3687</v>
      </c>
      <c r="M10" s="572" t="s">
        <v>41</v>
      </c>
      <c r="N10" s="617"/>
      <c r="O10" s="1165">
        <f>Sheet1!C384</f>
        <v>0</v>
      </c>
      <c r="P10" s="1094"/>
      <c r="Q10" s="1019">
        <v>3726</v>
      </c>
      <c r="R10" s="572" t="s">
        <v>391</v>
      </c>
      <c r="S10" s="618"/>
      <c r="T10" s="1165">
        <f>Sheet1!C395</f>
        <v>0</v>
      </c>
      <c r="U10" s="1094"/>
      <c r="V10" s="1019">
        <v>3740</v>
      </c>
      <c r="W10" s="572" t="s">
        <v>353</v>
      </c>
      <c r="X10" s="619"/>
      <c r="Y10" s="1165">
        <f>Sheet1!C399</f>
        <v>0</v>
      </c>
      <c r="Z10" s="1094"/>
      <c r="AA10" s="1019">
        <v>800</v>
      </c>
      <c r="AB10" s="572" t="s">
        <v>699</v>
      </c>
      <c r="AC10" s="620"/>
      <c r="AD10" s="1165">
        <f>Sheet1!C235</f>
        <v>0</v>
      </c>
      <c r="AE10" s="1094"/>
      <c r="AF10" s="1019">
        <v>3756</v>
      </c>
      <c r="AG10" s="572" t="s">
        <v>595</v>
      </c>
      <c r="AH10" s="621"/>
      <c r="AI10" s="1165">
        <f>Sheet1!C407</f>
        <v>0</v>
      </c>
      <c r="AJ10" s="1094"/>
      <c r="AK10" s="1019">
        <v>518</v>
      </c>
      <c r="AL10" s="572" t="s">
        <v>537</v>
      </c>
      <c r="AM10" s="622"/>
      <c r="AN10" s="1165">
        <f>Sheet1!C136</f>
        <v>0</v>
      </c>
      <c r="AO10" s="1094"/>
      <c r="AP10" s="1019">
        <v>3812</v>
      </c>
      <c r="AQ10" s="572" t="s">
        <v>434</v>
      </c>
      <c r="AR10" s="623"/>
      <c r="AS10" s="1165">
        <f>Sheet1!C438</f>
        <v>0</v>
      </c>
      <c r="AT10" s="1094"/>
      <c r="AU10" s="1019">
        <v>913</v>
      </c>
      <c r="AV10" s="572" t="s">
        <v>487</v>
      </c>
      <c r="AW10" s="624"/>
      <c r="AX10" s="1165">
        <f>Sheet1!C288</f>
        <v>0</v>
      </c>
      <c r="AY10" s="1094"/>
      <c r="AZ10" s="1019">
        <v>704</v>
      </c>
      <c r="BA10" s="572" t="s">
        <v>458</v>
      </c>
      <c r="BB10" s="625"/>
      <c r="BC10" s="1165">
        <f>Sheet1!C185</f>
        <v>0</v>
      </c>
      <c r="BD10" s="1094"/>
      <c r="BE10" s="1019">
        <v>165</v>
      </c>
      <c r="BF10" s="572" t="s">
        <v>457</v>
      </c>
      <c r="BG10" s="626"/>
      <c r="BH10" s="1165">
        <f>Sheet1!C55</f>
        <v>0</v>
      </c>
      <c r="BI10" s="1094"/>
      <c r="BJ10" s="1019">
        <v>833</v>
      </c>
      <c r="BK10" s="572" t="s">
        <v>646</v>
      </c>
      <c r="BL10" s="627"/>
      <c r="BM10" s="1165">
        <f>Sheet1!C260</f>
        <v>0</v>
      </c>
      <c r="BN10" s="1094"/>
      <c r="BO10" s="1019">
        <v>3829</v>
      </c>
      <c r="BP10" s="572" t="s">
        <v>442</v>
      </c>
      <c r="BQ10" s="628"/>
      <c r="BR10" s="1165">
        <f>Sheet1!C455</f>
        <v>0</v>
      </c>
      <c r="BS10" s="1094"/>
      <c r="BT10" s="1019">
        <v>444</v>
      </c>
      <c r="BU10" s="572" t="s">
        <v>383</v>
      </c>
      <c r="BV10" s="629"/>
      <c r="BW10" s="1165">
        <f>Sheet1!C119</f>
        <v>0</v>
      </c>
      <c r="BX10" s="1094"/>
      <c r="BY10" s="1019">
        <v>721</v>
      </c>
      <c r="BZ10" s="572" t="s">
        <v>523</v>
      </c>
      <c r="CA10" s="630"/>
      <c r="CB10" s="1165">
        <f>Sheet1!C189</f>
        <v>0</v>
      </c>
      <c r="CC10" s="1094"/>
      <c r="CD10" s="1019">
        <v>758</v>
      </c>
      <c r="CE10" s="572" t="s">
        <v>555</v>
      </c>
      <c r="CF10" s="631"/>
      <c r="CG10" s="1165">
        <f>Sheet1!C213</f>
        <v>0</v>
      </c>
      <c r="CH10" s="1094"/>
      <c r="CI10" s="1019">
        <v>3861</v>
      </c>
      <c r="CJ10" s="572" t="s">
        <v>573</v>
      </c>
      <c r="CK10" s="632"/>
      <c r="CL10" s="1165">
        <f>Sheet1!C487</f>
        <v>0</v>
      </c>
      <c r="CM10" s="1094"/>
      <c r="CN10" s="1019">
        <v>644</v>
      </c>
      <c r="CO10" s="572" t="s">
        <v>507</v>
      </c>
      <c r="CP10" s="633"/>
      <c r="CQ10" s="1165">
        <f>Sheet1!C171</f>
        <v>0</v>
      </c>
      <c r="CR10" s="1094"/>
      <c r="CS10" s="1019">
        <v>3022</v>
      </c>
      <c r="CT10" s="572" t="s">
        <v>477</v>
      </c>
      <c r="CU10" s="634"/>
      <c r="CV10" s="1165">
        <f>Sheet1!C348</f>
        <v>0</v>
      </c>
      <c r="CW10" s="1094"/>
      <c r="CX10" s="9">
        <v>99</v>
      </c>
      <c r="CY10" s="6" t="s">
        <v>141</v>
      </c>
      <c r="CZ10" s="6"/>
      <c r="DA10" s="1165">
        <f>Sheet1!C758</f>
        <v>0</v>
      </c>
      <c r="DB10" s="1094"/>
      <c r="DC10" s="9" t="s">
        <v>83</v>
      </c>
      <c r="DD10" s="6" t="s">
        <v>187</v>
      </c>
      <c r="DE10" s="44"/>
      <c r="DF10" s="1165">
        <f>Sheet1!C542</f>
        <v>0</v>
      </c>
      <c r="DG10" s="1094"/>
      <c r="DH10" s="9" t="s">
        <v>109</v>
      </c>
      <c r="DI10" s="6" t="s">
        <v>205</v>
      </c>
      <c r="DJ10" s="62"/>
      <c r="DK10" s="1149">
        <f>Sheet1!C560</f>
        <v>0</v>
      </c>
      <c r="DL10" s="1094"/>
      <c r="DM10" s="9">
        <v>4025</v>
      </c>
      <c r="DN10" s="2" t="s">
        <v>169</v>
      </c>
      <c r="DO10" s="6"/>
      <c r="DP10" s="1165">
        <f>Sheet1!C590</f>
        <v>0</v>
      </c>
      <c r="DQ10" s="1094"/>
      <c r="DR10" s="9">
        <v>4150</v>
      </c>
      <c r="DS10" s="2" t="s">
        <v>156</v>
      </c>
      <c r="DT10" s="6"/>
      <c r="DU10" s="1149">
        <f>Sheet1!C611</f>
        <v>0</v>
      </c>
      <c r="DV10" s="1094"/>
      <c r="DW10" s="1739"/>
      <c r="DX10" s="1740"/>
      <c r="DY10" s="1739"/>
      <c r="DZ10" s="1739"/>
      <c r="EA10" s="1094"/>
    </row>
    <row r="11" spans="1:131">
      <c r="A11" s="1094"/>
      <c r="B11" s="1019">
        <v>3328</v>
      </c>
      <c r="C11" s="572" t="s">
        <v>352</v>
      </c>
      <c r="D11" s="635"/>
      <c r="E11" s="1165">
        <f>Sheet1!C367</f>
        <v>0</v>
      </c>
      <c r="F11" s="1094"/>
      <c r="G11" s="1019">
        <v>818</v>
      </c>
      <c r="H11" s="572" t="s">
        <v>27</v>
      </c>
      <c r="I11" s="636"/>
      <c r="J11" s="1165">
        <f>Sheet1!C246</f>
        <v>0</v>
      </c>
      <c r="K11" s="1094"/>
      <c r="L11" s="1019">
        <v>3803</v>
      </c>
      <c r="M11" s="572" t="s">
        <v>344</v>
      </c>
      <c r="N11" s="637"/>
      <c r="O11" s="1165">
        <f>Sheet1!C429</f>
        <v>0</v>
      </c>
      <c r="P11" s="1094"/>
      <c r="Q11" s="1019">
        <v>315</v>
      </c>
      <c r="R11" s="572" t="s">
        <v>472</v>
      </c>
      <c r="S11" s="638"/>
      <c r="T11" s="1165">
        <f>Sheet1!C76</f>
        <v>0</v>
      </c>
      <c r="U11" s="1094"/>
      <c r="V11" s="1019">
        <v>27</v>
      </c>
      <c r="W11" s="572" t="s">
        <v>127</v>
      </c>
      <c r="X11" s="639"/>
      <c r="Y11" s="1165">
        <f>Sheet1!C31</f>
        <v>0</v>
      </c>
      <c r="Z11" s="1094"/>
      <c r="AA11" s="1019">
        <v>809</v>
      </c>
      <c r="AB11" s="572" t="s">
        <v>64</v>
      </c>
      <c r="AC11" s="640"/>
      <c r="AD11" s="1165">
        <f>Sheet1!C240</f>
        <v>0</v>
      </c>
      <c r="AE11" s="1094"/>
      <c r="AF11" s="1019">
        <v>775</v>
      </c>
      <c r="AG11" s="572" t="s">
        <v>569</v>
      </c>
      <c r="AH11" s="641"/>
      <c r="AI11" s="1165">
        <f>Sheet1!C218</f>
        <v>0</v>
      </c>
      <c r="AJ11" s="1094"/>
      <c r="AK11" s="1019">
        <v>3760</v>
      </c>
      <c r="AL11" s="572" t="s">
        <v>468</v>
      </c>
      <c r="AM11" s="642"/>
      <c r="AN11" s="1165">
        <f>Sheet1!C408</f>
        <v>0</v>
      </c>
      <c r="AO11" s="1094"/>
      <c r="AP11" s="1019">
        <v>3851</v>
      </c>
      <c r="AQ11" s="572" t="s">
        <v>548</v>
      </c>
      <c r="AR11" s="643"/>
      <c r="AS11" s="1165">
        <f>Sheet1!C477</f>
        <v>0</v>
      </c>
      <c r="AT11" s="1094"/>
      <c r="AU11" s="1019">
        <v>912</v>
      </c>
      <c r="AV11" s="572" t="s">
        <v>574</v>
      </c>
      <c r="AW11" s="644"/>
      <c r="AX11" s="1165">
        <f>Sheet1!C287</f>
        <v>0</v>
      </c>
      <c r="AY11" s="1094"/>
      <c r="AZ11" s="1019">
        <v>703</v>
      </c>
      <c r="BA11" s="572" t="s">
        <v>16</v>
      </c>
      <c r="BB11" s="645"/>
      <c r="BC11" s="1165">
        <f>Sheet1!C184</f>
        <v>0</v>
      </c>
      <c r="BD11" s="1094"/>
      <c r="BE11" s="1019">
        <v>3819</v>
      </c>
      <c r="BF11" s="572" t="s">
        <v>617</v>
      </c>
      <c r="BG11" s="646"/>
      <c r="BH11" s="1165">
        <f>Sheet1!C445</f>
        <v>0</v>
      </c>
      <c r="BI11" s="1094"/>
      <c r="BJ11" s="1019">
        <v>832</v>
      </c>
      <c r="BK11" s="572" t="s">
        <v>28</v>
      </c>
      <c r="BL11" s="647"/>
      <c r="BM11" s="1165">
        <f>Sheet1!C259</f>
        <v>0</v>
      </c>
      <c r="BN11" s="1094"/>
      <c r="BO11" s="1019">
        <v>3822</v>
      </c>
      <c r="BP11" s="572" t="s">
        <v>625</v>
      </c>
      <c r="BQ11" s="648"/>
      <c r="BR11" s="1165">
        <f>Sheet1!C448</f>
        <v>0</v>
      </c>
      <c r="BS11" s="1094"/>
      <c r="BT11" s="1019">
        <v>3078</v>
      </c>
      <c r="BU11" s="572" t="s">
        <v>592</v>
      </c>
      <c r="BV11" s="649"/>
      <c r="BW11" s="1165">
        <f>Sheet1!C364</f>
        <v>0</v>
      </c>
      <c r="BX11" s="1094"/>
      <c r="BY11" s="1019">
        <v>720</v>
      </c>
      <c r="BZ11" s="572" t="s">
        <v>386</v>
      </c>
      <c r="CA11" s="650"/>
      <c r="CB11" s="1165">
        <f>Sheet1!C188</f>
        <v>0</v>
      </c>
      <c r="CC11" s="1094"/>
      <c r="CD11" s="1019">
        <v>3778</v>
      </c>
      <c r="CE11" s="572" t="s">
        <v>572</v>
      </c>
      <c r="CF11" s="651"/>
      <c r="CG11" s="1165">
        <f>Sheet1!C420</f>
        <v>0</v>
      </c>
      <c r="CH11" s="1094"/>
      <c r="CI11" s="1019">
        <v>3860</v>
      </c>
      <c r="CJ11" s="572" t="s">
        <v>79</v>
      </c>
      <c r="CK11" s="652"/>
      <c r="CL11" s="1165">
        <f>Sheet1!C486</f>
        <v>0</v>
      </c>
      <c r="CM11" s="1094"/>
      <c r="CN11" s="1019">
        <v>642</v>
      </c>
      <c r="CO11" s="572" t="s">
        <v>359</v>
      </c>
      <c r="CP11" s="653"/>
      <c r="CQ11" s="1165">
        <f>Sheet1!C170</f>
        <v>0</v>
      </c>
      <c r="CR11" s="1094"/>
      <c r="CS11" s="1019">
        <v>3024</v>
      </c>
      <c r="CT11" s="572" t="s">
        <v>563</v>
      </c>
      <c r="CU11" s="654"/>
      <c r="CV11" s="1165">
        <f>Sheet1!C350</f>
        <v>0</v>
      </c>
      <c r="CW11" s="1094"/>
      <c r="CX11" s="9">
        <v>52</v>
      </c>
      <c r="CY11" s="6" t="s">
        <v>133</v>
      </c>
      <c r="CZ11" s="6"/>
      <c r="DA11" s="1165">
        <f>Sheet1!C744</f>
        <v>0</v>
      </c>
      <c r="DB11" s="1094"/>
      <c r="DC11" s="9" t="s">
        <v>94</v>
      </c>
      <c r="DD11" s="6" t="s">
        <v>206</v>
      </c>
      <c r="DE11" s="63"/>
      <c r="DF11" s="1165">
        <f>Sheet1!C561</f>
        <v>0</v>
      </c>
      <c r="DG11" s="1094"/>
      <c r="DH11" s="9" t="s">
        <v>106</v>
      </c>
      <c r="DI11" s="6" t="s">
        <v>189</v>
      </c>
      <c r="DJ11" s="46"/>
      <c r="DK11" s="1147">
        <f>Sheet1!C544</f>
        <v>0</v>
      </c>
      <c r="DL11" s="1094"/>
      <c r="DM11" s="9">
        <v>4030</v>
      </c>
      <c r="DN11" s="2" t="s">
        <v>170</v>
      </c>
      <c r="DO11" s="6"/>
      <c r="DP11" s="1165">
        <f>Sheet1!C591</f>
        <v>0</v>
      </c>
      <c r="DQ11" s="1094"/>
      <c r="DR11" s="9">
        <v>4160</v>
      </c>
      <c r="DS11" s="2" t="s">
        <v>157</v>
      </c>
      <c r="DT11" s="6"/>
      <c r="DU11" s="1149">
        <f>Sheet1!C612</f>
        <v>0</v>
      </c>
      <c r="DV11" s="1094"/>
      <c r="DW11" s="1739"/>
      <c r="DX11" s="1740"/>
      <c r="DY11" s="1739"/>
      <c r="DZ11" s="1739"/>
      <c r="EA11" s="1094"/>
    </row>
    <row r="12" spans="1:131">
      <c r="A12" s="1094"/>
      <c r="B12" s="1019">
        <v>347</v>
      </c>
      <c r="C12" s="572" t="s">
        <v>424</v>
      </c>
      <c r="D12" s="655"/>
      <c r="E12" s="1165">
        <f>Sheet1!C92</f>
        <v>0</v>
      </c>
      <c r="F12" s="1094"/>
      <c r="G12" s="1019">
        <v>957</v>
      </c>
      <c r="H12" s="572" t="s">
        <v>702</v>
      </c>
      <c r="I12" s="656"/>
      <c r="J12" s="1165">
        <f>Sheet1!C319</f>
        <v>0</v>
      </c>
      <c r="K12" s="1094"/>
      <c r="L12" s="1019">
        <v>3685</v>
      </c>
      <c r="M12" s="572" t="s">
        <v>428</v>
      </c>
      <c r="N12" s="657"/>
      <c r="O12" s="1165">
        <f>Sheet1!C383</f>
        <v>0</v>
      </c>
      <c r="P12" s="1094"/>
      <c r="Q12" s="1019">
        <v>3802</v>
      </c>
      <c r="R12" s="572" t="s">
        <v>426</v>
      </c>
      <c r="S12" s="658"/>
      <c r="T12" s="1165">
        <f>Sheet1!C428</f>
        <v>0</v>
      </c>
      <c r="U12" s="1094"/>
      <c r="V12" s="1019">
        <v>28</v>
      </c>
      <c r="W12" s="572" t="s">
        <v>709</v>
      </c>
      <c r="X12" s="659"/>
      <c r="Y12" s="1165">
        <f>Sheet1!C32</f>
        <v>0</v>
      </c>
      <c r="Z12" s="1094"/>
      <c r="AA12" s="1019">
        <v>799</v>
      </c>
      <c r="AB12" s="572" t="s">
        <v>502</v>
      </c>
      <c r="AC12" s="660"/>
      <c r="AD12" s="1165">
        <f>Sheet1!C234</f>
        <v>0</v>
      </c>
      <c r="AE12" s="1094"/>
      <c r="AF12" s="1019">
        <v>3841</v>
      </c>
      <c r="AG12" s="572" t="s">
        <v>704</v>
      </c>
      <c r="AH12" s="661"/>
      <c r="AI12" s="1165">
        <f>Sheet1!C467</f>
        <v>0</v>
      </c>
      <c r="AJ12" s="1094"/>
      <c r="AK12" s="1019">
        <v>517</v>
      </c>
      <c r="AL12" s="572" t="s">
        <v>315</v>
      </c>
      <c r="AM12" s="662"/>
      <c r="AN12" s="1165">
        <f>Sheet1!C135</f>
        <v>0</v>
      </c>
      <c r="AO12" s="1094"/>
      <c r="AP12" s="1019">
        <v>943</v>
      </c>
      <c r="AQ12" s="572" t="s">
        <v>510</v>
      </c>
      <c r="AR12" s="663"/>
      <c r="AS12" s="1165">
        <f>Sheet1!C309</f>
        <v>0</v>
      </c>
      <c r="AT12" s="1094"/>
      <c r="AU12" s="1019">
        <v>911</v>
      </c>
      <c r="AV12" s="572" t="s">
        <v>485</v>
      </c>
      <c r="AW12" s="664"/>
      <c r="AX12" s="1165">
        <f>Sheet1!C286</f>
        <v>0</v>
      </c>
      <c r="AY12" s="1094"/>
      <c r="AZ12" s="1019">
        <v>702</v>
      </c>
      <c r="BA12" s="572" t="s">
        <v>15</v>
      </c>
      <c r="BB12" s="665"/>
      <c r="BC12" s="1165">
        <f>Sheet1!C183</f>
        <v>0</v>
      </c>
      <c r="BD12" s="1094"/>
      <c r="BE12" s="1019">
        <v>166</v>
      </c>
      <c r="BF12" s="572" t="s">
        <v>56</v>
      </c>
      <c r="BG12" s="666"/>
      <c r="BH12" s="1165">
        <f>Sheet1!C56</f>
        <v>0</v>
      </c>
      <c r="BI12" s="1094"/>
      <c r="BJ12" s="1019">
        <v>831</v>
      </c>
      <c r="BK12" s="572" t="s">
        <v>525</v>
      </c>
      <c r="BL12" s="667"/>
      <c r="BM12" s="1165">
        <f>Sheet1!C258</f>
        <v>0</v>
      </c>
      <c r="BN12" s="1094"/>
      <c r="BO12" s="1019">
        <v>3821</v>
      </c>
      <c r="BP12" s="572" t="s">
        <v>75</v>
      </c>
      <c r="BQ12" s="668"/>
      <c r="BR12" s="1165">
        <f>Sheet1!C447</f>
        <v>0</v>
      </c>
      <c r="BS12" s="1094"/>
      <c r="BT12" s="1019">
        <v>727</v>
      </c>
      <c r="BU12" s="572" t="s">
        <v>648</v>
      </c>
      <c r="BV12" s="669"/>
      <c r="BW12" s="1165">
        <f>Sheet1!C194</f>
        <v>0</v>
      </c>
      <c r="BX12" s="1094"/>
      <c r="BY12" s="1019">
        <v>3825</v>
      </c>
      <c r="BZ12" s="572" t="s">
        <v>701</v>
      </c>
      <c r="CA12" s="670"/>
      <c r="CB12" s="1165">
        <f>Sheet1!C451</f>
        <v>0</v>
      </c>
      <c r="CC12" s="1094"/>
      <c r="CD12" s="1019">
        <v>356</v>
      </c>
      <c r="CE12" s="572" t="s">
        <v>501</v>
      </c>
      <c r="CF12" s="671"/>
      <c r="CG12" s="1165">
        <f>Sheet1!C99</f>
        <v>0</v>
      </c>
      <c r="CH12" s="1094"/>
      <c r="CI12" s="1019">
        <v>779</v>
      </c>
      <c r="CJ12" s="572" t="s">
        <v>65</v>
      </c>
      <c r="CK12" s="672"/>
      <c r="CL12" s="1165">
        <f>Sheet1!C222</f>
        <v>0</v>
      </c>
      <c r="CM12" s="1094"/>
      <c r="CN12" s="1019">
        <v>640</v>
      </c>
      <c r="CO12" s="572" t="s">
        <v>433</v>
      </c>
      <c r="CP12" s="673"/>
      <c r="CQ12" s="1165">
        <f>Sheet1!C169</f>
        <v>0</v>
      </c>
      <c r="CR12" s="1094"/>
      <c r="CS12" s="1019">
        <v>648</v>
      </c>
      <c r="CT12" s="572" t="s">
        <v>616</v>
      </c>
      <c r="CU12" s="674"/>
      <c r="CV12" s="1165">
        <f>Sheet1!C175</f>
        <v>0</v>
      </c>
      <c r="CW12" s="1094"/>
      <c r="CX12" s="9">
        <v>93</v>
      </c>
      <c r="CY12" s="6" t="s">
        <v>139</v>
      </c>
      <c r="CZ12" s="6"/>
      <c r="DA12" s="1165">
        <f>Sheet1!C755</f>
        <v>0</v>
      </c>
      <c r="DB12" s="1094"/>
      <c r="DC12" s="9" t="s">
        <v>88</v>
      </c>
      <c r="DD12" s="6" t="s">
        <v>214</v>
      </c>
      <c r="DE12" s="531"/>
      <c r="DF12" s="1165">
        <f>Sheet1!C569</f>
        <v>0</v>
      </c>
      <c r="DG12" s="1094"/>
      <c r="DH12" s="9" t="s">
        <v>112</v>
      </c>
      <c r="DI12" s="6" t="s">
        <v>211</v>
      </c>
      <c r="DJ12" s="534"/>
      <c r="DK12" s="1149">
        <f>Sheet1!C566</f>
        <v>0</v>
      </c>
      <c r="DL12" s="1094"/>
      <c r="DM12" s="9">
        <v>4040</v>
      </c>
      <c r="DN12" s="2" t="s">
        <v>171</v>
      </c>
      <c r="DO12" s="6"/>
      <c r="DP12" s="1165">
        <f>Sheet1!C592</f>
        <v>0</v>
      </c>
      <c r="DQ12" s="1094"/>
      <c r="DR12" s="9">
        <v>4170</v>
      </c>
      <c r="DS12" s="2" t="s">
        <v>158</v>
      </c>
      <c r="DT12" s="6"/>
      <c r="DU12" s="1149">
        <f>Sheet1!C613</f>
        <v>0</v>
      </c>
      <c r="DV12" s="1094"/>
      <c r="DW12" s="1739"/>
      <c r="DX12" s="1740"/>
      <c r="DY12" s="1739"/>
      <c r="DZ12" s="1739"/>
      <c r="EA12" s="1094"/>
    </row>
    <row r="13" spans="1:131">
      <c r="A13" s="1094"/>
      <c r="B13" s="1019">
        <v>353</v>
      </c>
      <c r="C13" s="572" t="s">
        <v>58</v>
      </c>
      <c r="D13" s="675"/>
      <c r="E13" s="1165">
        <f>Sheet1!C97</f>
        <v>0</v>
      </c>
      <c r="F13" s="1094"/>
      <c r="G13" s="1019">
        <v>956</v>
      </c>
      <c r="H13" s="572" t="s">
        <v>33</v>
      </c>
      <c r="I13" s="676"/>
      <c r="J13" s="1165">
        <f>Sheet1!C318</f>
        <v>0</v>
      </c>
      <c r="K13" s="1094"/>
      <c r="L13" s="1019">
        <v>605</v>
      </c>
      <c r="M13" s="572" t="s">
        <v>589</v>
      </c>
      <c r="N13" s="677"/>
      <c r="O13" s="1165">
        <f>Sheet1!C161</f>
        <v>0</v>
      </c>
      <c r="P13" s="1094"/>
      <c r="Q13" s="1019">
        <v>902</v>
      </c>
      <c r="R13" s="572" t="s">
        <v>409</v>
      </c>
      <c r="S13" s="678"/>
      <c r="T13" s="1165">
        <f>Sheet1!C279</f>
        <v>0</v>
      </c>
      <c r="U13" s="1094"/>
      <c r="V13" s="1019">
        <v>29</v>
      </c>
      <c r="W13" s="572" t="s">
        <v>128</v>
      </c>
      <c r="X13" s="679"/>
      <c r="Y13" s="1165">
        <f>Sheet1!C33</f>
        <v>0</v>
      </c>
      <c r="Z13" s="1094"/>
      <c r="AA13" s="1019">
        <v>798</v>
      </c>
      <c r="AB13" s="572" t="s">
        <v>350</v>
      </c>
      <c r="AC13" s="680"/>
      <c r="AD13" s="1165">
        <f>Sheet1!C233</f>
        <v>0</v>
      </c>
      <c r="AE13" s="1094"/>
      <c r="AF13" s="1019">
        <v>3325</v>
      </c>
      <c r="AG13" s="572" t="s">
        <v>595</v>
      </c>
      <c r="AH13" s="681"/>
      <c r="AI13" s="1165">
        <f>Sheet1!C365</f>
        <v>0</v>
      </c>
      <c r="AJ13" s="1094"/>
      <c r="AK13" s="1019">
        <v>3842</v>
      </c>
      <c r="AL13" s="572" t="s">
        <v>315</v>
      </c>
      <c r="AM13" s="682"/>
      <c r="AN13" s="1165">
        <f>Sheet1!C468</f>
        <v>0</v>
      </c>
      <c r="AO13" s="1094"/>
      <c r="AP13" s="1019">
        <v>3850</v>
      </c>
      <c r="AQ13" s="572" t="s">
        <v>322</v>
      </c>
      <c r="AR13" s="683"/>
      <c r="AS13" s="1165">
        <f>Sheet1!C476</f>
        <v>0</v>
      </c>
      <c r="AT13" s="1094"/>
      <c r="AU13" s="1019">
        <v>910</v>
      </c>
      <c r="AV13" s="572" t="s">
        <v>330</v>
      </c>
      <c r="AW13" s="684"/>
      <c r="AX13" s="1165">
        <f>Sheet1!C285</f>
        <v>0</v>
      </c>
      <c r="AY13" s="1094"/>
      <c r="AZ13" s="1019">
        <v>701</v>
      </c>
      <c r="BA13" s="572" t="s">
        <v>584</v>
      </c>
      <c r="BB13" s="685"/>
      <c r="BC13" s="1165">
        <f>Sheet1!C182</f>
        <v>0</v>
      </c>
      <c r="BD13" s="1094"/>
      <c r="BE13" s="1019">
        <v>581</v>
      </c>
      <c r="BF13" s="572" t="s">
        <v>13</v>
      </c>
      <c r="BG13" s="686"/>
      <c r="BH13" s="1165">
        <f>Sheet1!C153</f>
        <v>0</v>
      </c>
      <c r="BI13" s="1094"/>
      <c r="BJ13" s="1019">
        <v>830</v>
      </c>
      <c r="BK13" s="572" t="s">
        <v>388</v>
      </c>
      <c r="BL13" s="687"/>
      <c r="BM13" s="1165">
        <f>Sheet1!C257</f>
        <v>0</v>
      </c>
      <c r="BN13" s="1094"/>
      <c r="BO13" s="1019">
        <v>3820</v>
      </c>
      <c r="BP13" s="572" t="s">
        <v>372</v>
      </c>
      <c r="BQ13" s="688"/>
      <c r="BR13" s="1165">
        <f>Sheet1!C446</f>
        <v>0</v>
      </c>
      <c r="BS13" s="1094"/>
      <c r="BT13" s="1019">
        <v>726</v>
      </c>
      <c r="BU13" s="572" t="s">
        <v>645</v>
      </c>
      <c r="BV13" s="689"/>
      <c r="BW13" s="1165">
        <f>Sheet1!C193</f>
        <v>0</v>
      </c>
      <c r="BX13" s="1094"/>
      <c r="BY13" s="1019">
        <v>922</v>
      </c>
      <c r="BZ13" s="572" t="s">
        <v>587</v>
      </c>
      <c r="CA13" s="690"/>
      <c r="CB13" s="1165">
        <f>Sheet1!C295</f>
        <v>0</v>
      </c>
      <c r="CC13" s="1094"/>
      <c r="CD13" s="1019">
        <v>3830</v>
      </c>
      <c r="CE13" s="572" t="s">
        <v>78</v>
      </c>
      <c r="CF13" s="691"/>
      <c r="CG13" s="1165">
        <f>Sheet1!C456</f>
        <v>0</v>
      </c>
      <c r="CH13" s="1094"/>
      <c r="CI13" s="1019">
        <v>9</v>
      </c>
      <c r="CJ13" s="572" t="s">
        <v>715</v>
      </c>
      <c r="CK13" s="692"/>
      <c r="CL13" s="1165">
        <f>Sheet1!C13</f>
        <v>0</v>
      </c>
      <c r="CM13" s="1094"/>
      <c r="CN13" s="1019">
        <v>3787</v>
      </c>
      <c r="CO13" s="572" t="s">
        <v>336</v>
      </c>
      <c r="CP13" s="693"/>
      <c r="CQ13" s="1165">
        <f>Sheet1!C424</f>
        <v>0</v>
      </c>
      <c r="CR13" s="1094"/>
      <c r="CS13" s="1019">
        <v>646</v>
      </c>
      <c r="CT13" s="572" t="s">
        <v>362</v>
      </c>
      <c r="CU13" s="694"/>
      <c r="CV13" s="1165">
        <f>Sheet1!C173</f>
        <v>0</v>
      </c>
      <c r="CW13" s="1094"/>
      <c r="CX13" s="9">
        <v>121</v>
      </c>
      <c r="CY13" s="6" t="s">
        <v>147</v>
      </c>
      <c r="CZ13" s="6"/>
      <c r="DA13" s="1165">
        <f>Sheet1!C773</f>
        <v>0</v>
      </c>
      <c r="DB13" s="1094"/>
      <c r="DC13" s="9" t="s">
        <v>85</v>
      </c>
      <c r="DD13" s="6" t="s">
        <v>195</v>
      </c>
      <c r="DE13" s="52"/>
      <c r="DF13" s="1165">
        <f>Sheet1!C550</f>
        <v>0</v>
      </c>
      <c r="DG13" s="1094"/>
      <c r="DH13" s="9" t="s">
        <v>110</v>
      </c>
      <c r="DI13" s="6" t="s">
        <v>203</v>
      </c>
      <c r="DJ13" s="60"/>
      <c r="DK13" s="1149">
        <f>Sheet1!C558</f>
        <v>0</v>
      </c>
      <c r="DL13" s="1094"/>
      <c r="DM13" s="9">
        <v>4045</v>
      </c>
      <c r="DN13" s="2" t="s">
        <v>172</v>
      </c>
      <c r="DO13" s="6"/>
      <c r="DP13" s="1165">
        <f>Sheet1!C593</f>
        <v>0</v>
      </c>
      <c r="DQ13" s="1094"/>
      <c r="DR13" s="9">
        <v>4180</v>
      </c>
      <c r="DS13" s="2" t="s">
        <v>159</v>
      </c>
      <c r="DT13" s="6"/>
      <c r="DU13" s="1149">
        <f>Sheet1!C614</f>
        <v>0</v>
      </c>
      <c r="DV13" s="1094"/>
      <c r="DW13" s="1739"/>
      <c r="DX13" s="1740"/>
      <c r="DY13" s="1739"/>
      <c r="DZ13" s="1739"/>
      <c r="EA13" s="1094"/>
    </row>
    <row r="14" spans="1:131">
      <c r="A14" s="1094"/>
      <c r="B14" s="1019">
        <v>352</v>
      </c>
      <c r="C14" s="572" t="s">
        <v>593</v>
      </c>
      <c r="D14" s="695"/>
      <c r="E14" s="1165">
        <f>Sheet1!C96</f>
        <v>0</v>
      </c>
      <c r="F14" s="1094"/>
      <c r="G14" s="1019">
        <v>3708</v>
      </c>
      <c r="H14" s="572" t="s">
        <v>638</v>
      </c>
      <c r="I14" s="696"/>
      <c r="J14" s="1165">
        <f>Sheet1!C389</f>
        <v>0</v>
      </c>
      <c r="K14" s="1094"/>
      <c r="L14" s="1019">
        <v>604</v>
      </c>
      <c r="M14" s="572" t="s">
        <v>586</v>
      </c>
      <c r="N14" s="697"/>
      <c r="O14" s="1165">
        <f>Sheet1!C160</f>
        <v>0</v>
      </c>
      <c r="P14" s="1094"/>
      <c r="Q14" s="1019">
        <v>3836</v>
      </c>
      <c r="R14" s="572" t="s">
        <v>651</v>
      </c>
      <c r="S14" s="698"/>
      <c r="T14" s="1165">
        <f>Sheet1!C462</f>
        <v>0</v>
      </c>
      <c r="U14" s="1094"/>
      <c r="V14" s="1019">
        <v>3747</v>
      </c>
      <c r="W14" s="572" t="s">
        <v>662</v>
      </c>
      <c r="X14" s="699"/>
      <c r="Y14" s="1165">
        <f>Sheet1!C402</f>
        <v>0</v>
      </c>
      <c r="Z14" s="1094"/>
      <c r="AA14" s="1019">
        <v>797</v>
      </c>
      <c r="AB14" s="572" t="s">
        <v>24</v>
      </c>
      <c r="AC14" s="700"/>
      <c r="AD14" s="1165">
        <f>Sheet1!C232</f>
        <v>0</v>
      </c>
      <c r="AE14" s="1094"/>
      <c r="AF14" s="1019">
        <v>3755</v>
      </c>
      <c r="AG14" s="572" t="s">
        <v>43</v>
      </c>
      <c r="AH14" s="701"/>
      <c r="AI14" s="1165">
        <f>Sheet1!C406</f>
        <v>0</v>
      </c>
      <c r="AJ14" s="1094"/>
      <c r="AK14" s="1019">
        <v>311</v>
      </c>
      <c r="AL14" s="572" t="s">
        <v>469</v>
      </c>
      <c r="AM14" s="702"/>
      <c r="AN14" s="1165">
        <f>Sheet1!C74</f>
        <v>0</v>
      </c>
      <c r="AO14" s="1094"/>
      <c r="AP14" s="1019">
        <v>993</v>
      </c>
      <c r="AQ14" s="572" t="s">
        <v>543</v>
      </c>
      <c r="AR14" s="703"/>
      <c r="AS14" s="1165">
        <f>Sheet1!C341</f>
        <v>0</v>
      </c>
      <c r="AT14" s="1094"/>
      <c r="AU14" s="1019">
        <v>909</v>
      </c>
      <c r="AV14" s="572" t="s">
        <v>415</v>
      </c>
      <c r="AW14" s="704"/>
      <c r="AX14" s="1165">
        <f>Sheet1!C284</f>
        <v>0</v>
      </c>
      <c r="AY14" s="1094"/>
      <c r="AZ14" s="1019">
        <v>700</v>
      </c>
      <c r="BA14" s="572" t="s">
        <v>457</v>
      </c>
      <c r="BB14" s="705"/>
      <c r="BC14" s="1165">
        <f>Sheet1!C181</f>
        <v>0</v>
      </c>
      <c r="BD14" s="1094"/>
      <c r="BE14" s="1019">
        <v>580</v>
      </c>
      <c r="BF14" s="572" t="s">
        <v>331</v>
      </c>
      <c r="BG14" s="706"/>
      <c r="BH14" s="1165">
        <f>Sheet1!C152</f>
        <v>0</v>
      </c>
      <c r="BI14" s="1094"/>
      <c r="BJ14" s="1019">
        <v>829</v>
      </c>
      <c r="BK14" s="572" t="s">
        <v>444</v>
      </c>
      <c r="BL14" s="707"/>
      <c r="BM14" s="1165">
        <f>Sheet1!C256</f>
        <v>0</v>
      </c>
      <c r="BN14" s="1094"/>
      <c r="BO14" s="1019">
        <v>3852</v>
      </c>
      <c r="BP14" s="572" t="s">
        <v>407</v>
      </c>
      <c r="BQ14" s="708"/>
      <c r="BR14" s="1165">
        <f>Sheet1!C478</f>
        <v>0</v>
      </c>
      <c r="BS14" s="1094"/>
      <c r="BT14" s="1019">
        <v>725</v>
      </c>
      <c r="BU14" s="572" t="s">
        <v>19</v>
      </c>
      <c r="BV14" s="709"/>
      <c r="BW14" s="1165">
        <f>Sheet1!C192</f>
        <v>0</v>
      </c>
      <c r="BX14" s="1094"/>
      <c r="BY14" s="1019">
        <v>921</v>
      </c>
      <c r="BZ14" s="572" t="s">
        <v>30</v>
      </c>
      <c r="CA14" s="710"/>
      <c r="CB14" s="1165">
        <f>Sheet1!C294</f>
        <v>0</v>
      </c>
      <c r="CC14" s="1094"/>
      <c r="CD14" s="1019">
        <v>355</v>
      </c>
      <c r="CE14" s="572" t="s">
        <v>349</v>
      </c>
      <c r="CF14" s="711"/>
      <c r="CG14" s="1165">
        <f>Sheet1!C98</f>
        <v>0</v>
      </c>
      <c r="CH14" s="1094"/>
      <c r="CI14" s="1019">
        <v>712</v>
      </c>
      <c r="CJ14" s="572" t="s">
        <v>17</v>
      </c>
      <c r="CK14" s="712"/>
      <c r="CL14" s="1165">
        <f>Sheet1!C186</f>
        <v>0</v>
      </c>
      <c r="CM14" s="1094"/>
      <c r="CN14" s="1019">
        <v>3021</v>
      </c>
      <c r="CO14" s="572" t="s">
        <v>411</v>
      </c>
      <c r="CP14" s="713"/>
      <c r="CQ14" s="1165">
        <f>Sheet1!C347</f>
        <v>0</v>
      </c>
      <c r="CR14" s="1094"/>
      <c r="CS14" s="1019">
        <v>645</v>
      </c>
      <c r="CT14" s="572" t="s">
        <v>436</v>
      </c>
      <c r="CU14" s="714"/>
      <c r="CV14" s="1165">
        <f>Sheet1!C172</f>
        <v>0</v>
      </c>
      <c r="CW14" s="1094"/>
      <c r="CX14" s="9">
        <v>67</v>
      </c>
      <c r="CY14" s="6" t="s">
        <v>135</v>
      </c>
      <c r="CZ14" s="6"/>
      <c r="DA14" s="1165">
        <f>Sheet1!C749</f>
        <v>0</v>
      </c>
      <c r="DB14" s="1094"/>
      <c r="DC14" s="9" t="s">
        <v>90</v>
      </c>
      <c r="DD14" s="6" t="s">
        <v>215</v>
      </c>
      <c r="DE14" s="532"/>
      <c r="DF14" s="1165">
        <f>Sheet1!C570</f>
        <v>0</v>
      </c>
      <c r="DG14" s="1094"/>
      <c r="DH14" s="9" t="s">
        <v>108</v>
      </c>
      <c r="DI14" s="6" t="s">
        <v>208</v>
      </c>
      <c r="DJ14" s="65"/>
      <c r="DK14" s="1149">
        <f>Sheet1!C563</f>
        <v>0</v>
      </c>
      <c r="DL14" s="1094"/>
      <c r="DM14" s="9">
        <v>4050</v>
      </c>
      <c r="DN14" s="2" t="s">
        <v>173</v>
      </c>
      <c r="DO14" s="6"/>
      <c r="DP14" s="1165">
        <f>Sheet1!C594</f>
        <v>0</v>
      </c>
      <c r="DQ14" s="1094"/>
      <c r="DR14" s="9">
        <v>4190</v>
      </c>
      <c r="DS14" s="2" t="s">
        <v>160</v>
      </c>
      <c r="DT14" s="6"/>
      <c r="DU14" s="1149">
        <f>Sheet1!C615</f>
        <v>0</v>
      </c>
      <c r="DV14" s="1094"/>
      <c r="DW14" s="1739"/>
      <c r="DX14" s="1740"/>
      <c r="DY14" s="1739"/>
      <c r="DZ14" s="1739"/>
      <c r="EA14" s="1094"/>
    </row>
    <row r="15" spans="1:131">
      <c r="A15" s="1094"/>
      <c r="B15" s="1019">
        <v>351</v>
      </c>
      <c r="C15" s="572" t="s">
        <v>5</v>
      </c>
      <c r="D15" s="716"/>
      <c r="E15" s="1147">
        <f>Sheet1!C95</f>
        <v>0</v>
      </c>
      <c r="F15" s="1094"/>
      <c r="G15" s="1019">
        <v>3706</v>
      </c>
      <c r="H15" s="572" t="s">
        <v>519</v>
      </c>
      <c r="I15" s="717"/>
      <c r="J15" s="1165">
        <f>Sheet1!C388</f>
        <v>0</v>
      </c>
      <c r="K15" s="1094"/>
      <c r="L15" s="1019">
        <v>603</v>
      </c>
      <c r="M15" s="572" t="s">
        <v>585</v>
      </c>
      <c r="N15" s="718"/>
      <c r="O15" s="1165">
        <f>Sheet1!C159</f>
        <v>0</v>
      </c>
      <c r="P15" s="1094"/>
      <c r="Q15" s="1019">
        <v>3835</v>
      </c>
      <c r="R15" s="572" t="s">
        <v>528</v>
      </c>
      <c r="S15" s="719"/>
      <c r="T15" s="1165">
        <f>Sheet1!C461</f>
        <v>0</v>
      </c>
      <c r="U15" s="1094"/>
      <c r="V15" s="1019">
        <v>341</v>
      </c>
      <c r="W15" s="572" t="s">
        <v>583</v>
      </c>
      <c r="X15" s="720"/>
      <c r="Y15" s="1165">
        <f>Sheet1!C91</f>
        <v>0</v>
      </c>
      <c r="Z15" s="1094"/>
      <c r="AA15" s="1019">
        <v>796</v>
      </c>
      <c r="AB15" s="572" t="s">
        <v>347</v>
      </c>
      <c r="AC15" s="721"/>
      <c r="AD15" s="1165">
        <f>Sheet1!C231</f>
        <v>0</v>
      </c>
      <c r="AE15" s="1094"/>
      <c r="AF15" s="1019">
        <v>334</v>
      </c>
      <c r="AG15" s="572" t="s">
        <v>489</v>
      </c>
      <c r="AH15" s="722"/>
      <c r="AI15" s="1165">
        <f>Sheet1!C87</f>
        <v>0</v>
      </c>
      <c r="AJ15" s="1094"/>
      <c r="AK15" s="1019">
        <v>747</v>
      </c>
      <c r="AL15" s="572" t="s">
        <v>551</v>
      </c>
      <c r="AM15" s="723"/>
      <c r="AN15" s="1165">
        <f>Sheet1!C211</f>
        <v>0</v>
      </c>
      <c r="AO15" s="1094"/>
      <c r="AP15" s="1019">
        <v>992</v>
      </c>
      <c r="AQ15" s="572" t="s">
        <v>541</v>
      </c>
      <c r="AR15" s="724"/>
      <c r="AS15" s="1165">
        <f>Sheet1!C340</f>
        <v>0</v>
      </c>
      <c r="AT15" s="1094"/>
      <c r="AU15" s="1019">
        <v>3818</v>
      </c>
      <c r="AV15" s="572" t="s">
        <v>677</v>
      </c>
      <c r="AW15" s="725"/>
      <c r="AX15" s="1165">
        <f>Sheet1!C444</f>
        <v>0</v>
      </c>
      <c r="AY15" s="1094"/>
      <c r="AZ15" s="1019">
        <v>699</v>
      </c>
      <c r="BA15" s="572" t="s">
        <v>55</v>
      </c>
      <c r="BB15" s="726"/>
      <c r="BC15" s="1165">
        <f>Sheet1!C180</f>
        <v>0</v>
      </c>
      <c r="BD15" s="1094"/>
      <c r="BE15" s="1019">
        <v>523</v>
      </c>
      <c r="BF15" s="572" t="s">
        <v>545</v>
      </c>
      <c r="BG15" s="727"/>
      <c r="BH15" s="1165">
        <f>Sheet1!C140</f>
        <v>0</v>
      </c>
      <c r="BI15" s="1094"/>
      <c r="BJ15" s="1019">
        <v>746</v>
      </c>
      <c r="BK15" s="572" t="s">
        <v>22</v>
      </c>
      <c r="BL15" s="728"/>
      <c r="BM15" s="1165">
        <f>Sheet1!C210</f>
        <v>0</v>
      </c>
      <c r="BN15" s="1094"/>
      <c r="BO15" s="1019">
        <v>728</v>
      </c>
      <c r="BP15" s="572" t="s">
        <v>63</v>
      </c>
      <c r="BQ15" s="729"/>
      <c r="BR15" s="1165">
        <f>Sheet1!C195</f>
        <v>0</v>
      </c>
      <c r="BS15" s="1094"/>
      <c r="BT15" s="1019">
        <v>972</v>
      </c>
      <c r="BU15" s="572" t="s">
        <v>690</v>
      </c>
      <c r="BV15" s="730"/>
      <c r="BW15" s="1165">
        <f>Sheet1!C330</f>
        <v>0</v>
      </c>
      <c r="BX15" s="1094"/>
      <c r="BY15" s="1019">
        <v>920</v>
      </c>
      <c r="BZ15" s="572" t="s">
        <v>495</v>
      </c>
      <c r="CA15" s="731"/>
      <c r="CB15" s="1165">
        <f>Sheet1!C293</f>
        <v>0</v>
      </c>
      <c r="CC15" s="1094"/>
      <c r="CD15" s="1019">
        <v>3777</v>
      </c>
      <c r="CE15" s="572" t="s">
        <v>417</v>
      </c>
      <c r="CF15" s="732"/>
      <c r="CG15" s="1165">
        <f>Sheet1!C419</f>
        <v>0</v>
      </c>
      <c r="CH15" s="1094"/>
      <c r="CI15" s="1019">
        <v>739</v>
      </c>
      <c r="CJ15" s="572" t="s">
        <v>664</v>
      </c>
      <c r="CK15" s="733"/>
      <c r="CL15" s="1165">
        <f>Sheet1!C203</f>
        <v>0</v>
      </c>
      <c r="CM15" s="1094"/>
      <c r="CN15" s="1019">
        <v>844</v>
      </c>
      <c r="CO15" s="572" t="s">
        <v>685</v>
      </c>
      <c r="CP15" s="734"/>
      <c r="CQ15" s="1165">
        <f>Sheet1!C267</f>
        <v>0</v>
      </c>
      <c r="CR15" s="1094"/>
      <c r="CS15" s="1019" t="s">
        <v>47</v>
      </c>
      <c r="CT15" s="572" t="s">
        <v>48</v>
      </c>
      <c r="CU15" s="735"/>
      <c r="CV15" s="1165">
        <f>Sheet1!C4</f>
        <v>0</v>
      </c>
      <c r="CW15" s="1094"/>
      <c r="CX15" s="9">
        <v>125</v>
      </c>
      <c r="CY15" s="6" t="s">
        <v>148</v>
      </c>
      <c r="CZ15" s="6"/>
      <c r="DA15" s="1165">
        <f>Sheet1!C777</f>
        <v>0</v>
      </c>
      <c r="DB15" s="1094"/>
      <c r="DC15" s="9" t="s">
        <v>91</v>
      </c>
      <c r="DD15" s="6" t="s">
        <v>200</v>
      </c>
      <c r="DE15" s="57"/>
      <c r="DF15" s="1165">
        <f>Sheet1!C555</f>
        <v>0</v>
      </c>
      <c r="DG15" s="1094"/>
      <c r="DH15" s="9" t="s">
        <v>95</v>
      </c>
      <c r="DI15" s="6" t="s">
        <v>188</v>
      </c>
      <c r="DJ15" s="45"/>
      <c r="DK15" s="1147">
        <f>Sheet1!C543</f>
        <v>0</v>
      </c>
      <c r="DL15" s="1094"/>
      <c r="DM15" s="9">
        <v>4060</v>
      </c>
      <c r="DN15" s="2" t="s">
        <v>174</v>
      </c>
      <c r="DO15" s="6"/>
      <c r="DP15" s="1165">
        <f>Sheet1!C595</f>
        <v>0</v>
      </c>
      <c r="DQ15" s="1094"/>
      <c r="DR15" s="9">
        <v>4200</v>
      </c>
      <c r="DS15" s="2" t="s">
        <v>161</v>
      </c>
      <c r="DT15" s="6"/>
      <c r="DU15" s="1149">
        <f>Sheet1!C616</f>
        <v>0</v>
      </c>
      <c r="DV15" s="1094"/>
      <c r="DW15" s="1739"/>
      <c r="DX15" s="1740"/>
      <c r="DY15" s="1739"/>
      <c r="DZ15" s="1739"/>
      <c r="EA15" s="1094"/>
    </row>
    <row r="16" spans="1:131">
      <c r="A16" s="1094"/>
      <c r="B16" s="1019">
        <v>350</v>
      </c>
      <c r="C16" s="572" t="s">
        <v>498</v>
      </c>
      <c r="D16" s="737"/>
      <c r="E16" s="1165">
        <f>Sheet1!C94</f>
        <v>0</v>
      </c>
      <c r="F16" s="1094"/>
      <c r="G16" s="1019">
        <v>3705</v>
      </c>
      <c r="H16" s="572" t="s">
        <v>381</v>
      </c>
      <c r="I16" s="738"/>
      <c r="J16" s="1165">
        <f>Sheet1!C387</f>
        <v>0</v>
      </c>
      <c r="K16" s="1094"/>
      <c r="L16" s="1019">
        <v>602</v>
      </c>
      <c r="M16" s="572" t="s">
        <v>493</v>
      </c>
      <c r="N16" s="739"/>
      <c r="O16" s="1165">
        <f>Sheet1!C158</f>
        <v>0</v>
      </c>
      <c r="P16" s="1094"/>
      <c r="Q16" s="1019">
        <v>3834</v>
      </c>
      <c r="R16" s="572" t="s">
        <v>390</v>
      </c>
      <c r="S16" s="740"/>
      <c r="T16" s="1165">
        <f>Sheet1!C460</f>
        <v>0</v>
      </c>
      <c r="U16" s="1094"/>
      <c r="V16" s="1019">
        <v>156</v>
      </c>
      <c r="W16" s="572" t="s">
        <v>469</v>
      </c>
      <c r="X16" s="741"/>
      <c r="Y16" s="1165">
        <f>Sheet1!C46</f>
        <v>0</v>
      </c>
      <c r="Z16" s="1094"/>
      <c r="AA16" s="1019">
        <v>820</v>
      </c>
      <c r="AB16" s="572" t="s">
        <v>441</v>
      </c>
      <c r="AC16" s="742"/>
      <c r="AD16" s="1165">
        <f>Sheet1!C248</f>
        <v>0</v>
      </c>
      <c r="AE16" s="1094"/>
      <c r="AF16" s="1019">
        <v>322</v>
      </c>
      <c r="AG16" s="572" t="s">
        <v>43</v>
      </c>
      <c r="AH16" s="743"/>
      <c r="AI16" s="1165">
        <f>Sheet1!C83</f>
        <v>0</v>
      </c>
      <c r="AJ16" s="1094"/>
      <c r="AK16" s="1019">
        <v>3766</v>
      </c>
      <c r="AL16" s="572" t="s">
        <v>550</v>
      </c>
      <c r="AM16" s="744"/>
      <c r="AN16" s="1165">
        <f>Sheet1!C411</f>
        <v>0</v>
      </c>
      <c r="AO16" s="1094"/>
      <c r="AP16" s="1019">
        <v>3814</v>
      </c>
      <c r="AQ16" s="572" t="s">
        <v>36</v>
      </c>
      <c r="AR16" s="745"/>
      <c r="AS16" s="1165">
        <f>Sheet1!C440</f>
        <v>0</v>
      </c>
      <c r="AT16" s="1094"/>
      <c r="AU16" s="1019">
        <v>369</v>
      </c>
      <c r="AV16" s="572" t="s">
        <v>607</v>
      </c>
      <c r="AW16" s="746"/>
      <c r="AX16" s="1165">
        <f>Sheet1!C102</f>
        <v>0</v>
      </c>
      <c r="AY16" s="1094"/>
      <c r="AZ16" s="1019">
        <v>907</v>
      </c>
      <c r="BA16" s="572" t="s">
        <v>562</v>
      </c>
      <c r="BB16" s="747"/>
      <c r="BC16" s="1165">
        <f>Sheet1!C283</f>
        <v>0</v>
      </c>
      <c r="BD16" s="1094"/>
      <c r="BE16" s="1019">
        <v>3053</v>
      </c>
      <c r="BF16" s="572" t="s">
        <v>69</v>
      </c>
      <c r="BG16" s="748"/>
      <c r="BH16" s="1165">
        <f>Sheet1!C361</f>
        <v>0</v>
      </c>
      <c r="BI16" s="1094"/>
      <c r="BJ16" s="1019">
        <v>677</v>
      </c>
      <c r="BK16" s="572" t="s">
        <v>619</v>
      </c>
      <c r="BL16" s="749"/>
      <c r="BM16" s="1165">
        <f>Sheet1!C178</f>
        <v>0</v>
      </c>
      <c r="BN16" s="1094"/>
      <c r="BO16" s="1019">
        <v>783</v>
      </c>
      <c r="BP16" s="572" t="s">
        <v>494</v>
      </c>
      <c r="BQ16" s="750"/>
      <c r="BR16" s="1165">
        <f>Sheet1!C226</f>
        <v>0</v>
      </c>
      <c r="BS16" s="1094"/>
      <c r="BT16" s="1019">
        <v>745</v>
      </c>
      <c r="BU16" s="572" t="s">
        <v>698</v>
      </c>
      <c r="BV16" s="751"/>
      <c r="BW16" s="1165">
        <f>Sheet1!C209</f>
        <v>0</v>
      </c>
      <c r="BX16" s="1094"/>
      <c r="BY16" s="1019">
        <v>919</v>
      </c>
      <c r="BZ16" s="572" t="s">
        <v>29</v>
      </c>
      <c r="CA16" s="752"/>
      <c r="CB16" s="1165">
        <f>Sheet1!C292</f>
        <v>0</v>
      </c>
      <c r="CC16" s="1094"/>
      <c r="CD16" s="1019">
        <v>3779</v>
      </c>
      <c r="CE16" s="572" t="s">
        <v>669</v>
      </c>
      <c r="CF16" s="753"/>
      <c r="CG16" s="1165">
        <f>Sheet1!C421</f>
        <v>0</v>
      </c>
      <c r="CH16" s="1094"/>
      <c r="CI16" s="1019">
        <v>738</v>
      </c>
      <c r="CJ16" s="572" t="s">
        <v>663</v>
      </c>
      <c r="CK16" s="754"/>
      <c r="CL16" s="1165">
        <f>Sheet1!C202</f>
        <v>0</v>
      </c>
      <c r="CM16" s="1094"/>
      <c r="CN16" s="1019">
        <v>3033</v>
      </c>
      <c r="CO16" s="572" t="s">
        <v>571</v>
      </c>
      <c r="CP16" s="755"/>
      <c r="CQ16" s="1165">
        <f>Sheet1!C353</f>
        <v>0</v>
      </c>
      <c r="CR16" s="1094"/>
      <c r="CS16" s="1019" t="s">
        <v>962</v>
      </c>
      <c r="CT16" s="572" t="s">
        <v>46</v>
      </c>
      <c r="CU16" s="756"/>
      <c r="CV16" s="1165">
        <f>Sheet1!C2</f>
        <v>0</v>
      </c>
      <c r="CW16" s="1094"/>
      <c r="CX16" s="9">
        <v>92</v>
      </c>
      <c r="CY16" s="6" t="s">
        <v>138</v>
      </c>
      <c r="CZ16" s="6"/>
      <c r="DA16" s="1165">
        <f>Sheet1!C754</f>
        <v>0</v>
      </c>
      <c r="DB16" s="1094"/>
      <c r="DC16" s="9" t="s">
        <v>86</v>
      </c>
      <c r="DD16" s="6" t="s">
        <v>199</v>
      </c>
      <c r="DE16" s="56"/>
      <c r="DF16" s="1165">
        <f>Sheet1!C554</f>
        <v>0</v>
      </c>
      <c r="DG16" s="1094"/>
      <c r="DH16" s="9" t="s">
        <v>105</v>
      </c>
      <c r="DI16" s="6" t="s">
        <v>196</v>
      </c>
      <c r="DJ16" s="53"/>
      <c r="DK16" s="1149">
        <f>Sheet1!C551</f>
        <v>0</v>
      </c>
      <c r="DL16" s="1094"/>
      <c r="DM16" s="9">
        <v>4065</v>
      </c>
      <c r="DN16" s="2" t="s">
        <v>175</v>
      </c>
      <c r="DO16" s="6"/>
      <c r="DP16" s="1165">
        <f>Sheet1!C596</f>
        <v>0</v>
      </c>
      <c r="DQ16" s="1094"/>
      <c r="DR16" s="9">
        <v>4210</v>
      </c>
      <c r="DS16" s="2" t="s">
        <v>162</v>
      </c>
      <c r="DT16" s="6"/>
      <c r="DU16" s="1149">
        <f>Sheet1!C617</f>
        <v>0</v>
      </c>
      <c r="DV16" s="1094"/>
      <c r="DW16" s="1739"/>
      <c r="DX16" s="1740"/>
      <c r="DY16" s="1739"/>
      <c r="DZ16" s="1739"/>
      <c r="EA16" s="1094"/>
    </row>
    <row r="17" spans="1:131">
      <c r="A17" s="1094"/>
      <c r="B17" s="1019">
        <v>349</v>
      </c>
      <c r="C17" s="572" t="s">
        <v>342</v>
      </c>
      <c r="D17" s="758"/>
      <c r="E17" s="1165">
        <f>Sheet1!C93</f>
        <v>0</v>
      </c>
      <c r="F17" s="1094"/>
      <c r="G17" s="1019">
        <v>963</v>
      </c>
      <c r="H17" s="572" t="s">
        <v>682</v>
      </c>
      <c r="I17" s="759"/>
      <c r="J17" s="1165">
        <f>Sheet1!C324</f>
        <v>0</v>
      </c>
      <c r="K17" s="1094"/>
      <c r="L17" s="1019">
        <v>601</v>
      </c>
      <c r="M17" s="572" t="s">
        <v>338</v>
      </c>
      <c r="N17" s="760"/>
      <c r="O17" s="1165">
        <f>Sheet1!C157</f>
        <v>0</v>
      </c>
      <c r="P17" s="1094"/>
      <c r="Q17" s="1019">
        <v>154</v>
      </c>
      <c r="R17" s="572" t="s">
        <v>440</v>
      </c>
      <c r="S17" s="761"/>
      <c r="T17" s="1165">
        <f>Sheet1!C44</f>
        <v>0</v>
      </c>
      <c r="U17" s="1094"/>
      <c r="V17" s="1019">
        <v>340</v>
      </c>
      <c r="W17" s="572" t="s">
        <v>492</v>
      </c>
      <c r="X17" s="762"/>
      <c r="Y17" s="1165">
        <f>Sheet1!C90</f>
        <v>0</v>
      </c>
      <c r="Z17" s="1094"/>
      <c r="AA17" s="1019">
        <v>162</v>
      </c>
      <c r="AB17" s="572" t="s">
        <v>595</v>
      </c>
      <c r="AC17" s="763"/>
      <c r="AD17" s="1165">
        <f>Sheet1!C52</f>
        <v>0</v>
      </c>
      <c r="AE17" s="1094"/>
      <c r="AF17" s="1019">
        <v>312</v>
      </c>
      <c r="AG17" s="572" t="s">
        <v>406</v>
      </c>
      <c r="AH17" s="764"/>
      <c r="AI17" s="1165">
        <f>Sheet1!C75</f>
        <v>0</v>
      </c>
      <c r="AJ17" s="1094"/>
      <c r="AK17" s="1019">
        <v>807</v>
      </c>
      <c r="AL17" s="572" t="s">
        <v>25</v>
      </c>
      <c r="AM17" s="765"/>
      <c r="AN17" s="1165">
        <f>Sheet1!C239</f>
        <v>0</v>
      </c>
      <c r="AO17" s="1094"/>
      <c r="AP17" s="1019">
        <v>991</v>
      </c>
      <c r="AQ17" s="572" t="s">
        <v>317</v>
      </c>
      <c r="AR17" s="766"/>
      <c r="AS17" s="1165">
        <f>Sheet1!C339</f>
        <v>0</v>
      </c>
      <c r="AT17" s="1094"/>
      <c r="AU17" s="1019">
        <v>368</v>
      </c>
      <c r="AV17" s="572" t="s">
        <v>605</v>
      </c>
      <c r="AW17" s="767"/>
      <c r="AX17" s="1165">
        <f>Sheet1!C101</f>
        <v>0</v>
      </c>
      <c r="AY17" s="1094"/>
      <c r="AZ17" s="1019">
        <v>906</v>
      </c>
      <c r="BA17" s="572" t="s">
        <v>478</v>
      </c>
      <c r="BB17" s="768"/>
      <c r="BC17" s="1165">
        <f>Sheet1!C282</f>
        <v>0</v>
      </c>
      <c r="BD17" s="1094"/>
      <c r="BE17" s="1019">
        <v>3052</v>
      </c>
      <c r="BF17" s="572" t="s">
        <v>496</v>
      </c>
      <c r="BG17" s="769"/>
      <c r="BH17" s="1165">
        <f>Sheet1!C360</f>
        <v>0</v>
      </c>
      <c r="BI17" s="1094"/>
      <c r="BJ17" s="1019">
        <v>422</v>
      </c>
      <c r="BK17" s="572" t="s">
        <v>626</v>
      </c>
      <c r="BL17" s="770"/>
      <c r="BM17" s="1165">
        <f>Sheet1!C113</f>
        <v>0</v>
      </c>
      <c r="BN17" s="1094"/>
      <c r="BO17" s="1019">
        <v>782</v>
      </c>
      <c r="BP17" s="572" t="s">
        <v>339</v>
      </c>
      <c r="BQ17" s="771"/>
      <c r="BR17" s="1165">
        <f>Sheet1!C225</f>
        <v>0</v>
      </c>
      <c r="BS17" s="1094"/>
      <c r="BT17" s="1019">
        <v>744</v>
      </c>
      <c r="BU17" s="572" t="s">
        <v>697</v>
      </c>
      <c r="BV17" s="772"/>
      <c r="BW17" s="1165">
        <f>Sheet1!C208</f>
        <v>0</v>
      </c>
      <c r="BX17" s="1094"/>
      <c r="BY17" s="1019">
        <v>918</v>
      </c>
      <c r="BZ17" s="572" t="s">
        <v>337</v>
      </c>
      <c r="CA17" s="773"/>
      <c r="CB17" s="1165">
        <f>Sheet1!C291</f>
        <v>0</v>
      </c>
      <c r="CC17" s="1094"/>
      <c r="CD17" s="1019">
        <v>3859</v>
      </c>
      <c r="CE17" s="572" t="s">
        <v>567</v>
      </c>
      <c r="CF17" s="774"/>
      <c r="CG17" s="1165">
        <f>Sheet1!C485</f>
        <v>0</v>
      </c>
      <c r="CH17" s="1094"/>
      <c r="CI17" s="1019">
        <v>437</v>
      </c>
      <c r="CJ17" s="572" t="s">
        <v>636</v>
      </c>
      <c r="CK17" s="775"/>
      <c r="CL17" s="1165">
        <f>Sheet1!C118</f>
        <v>0</v>
      </c>
      <c r="CM17" s="1094"/>
      <c r="CN17" s="1019">
        <v>3782</v>
      </c>
      <c r="CO17" s="572" t="s">
        <v>577</v>
      </c>
      <c r="CP17" s="776"/>
      <c r="CQ17" s="1165">
        <f>Sheet1!C423</f>
        <v>0</v>
      </c>
      <c r="CR17" s="1094"/>
      <c r="CS17" s="1019" t="s">
        <v>961</v>
      </c>
      <c r="CT17" s="572" t="s">
        <v>46</v>
      </c>
      <c r="CU17" s="756"/>
      <c r="CV17" s="1165">
        <f>Sheet1!C3</f>
        <v>0</v>
      </c>
      <c r="CW17" s="1094"/>
      <c r="CX17" s="9">
        <v>94</v>
      </c>
      <c r="CY17" s="6" t="s">
        <v>140</v>
      </c>
      <c r="CZ17" s="6"/>
      <c r="DA17" s="1165">
        <f>Sheet1!C756</f>
        <v>0</v>
      </c>
      <c r="DB17" s="1094"/>
      <c r="DC17" s="9" t="s">
        <v>82</v>
      </c>
      <c r="DD17" s="6" t="s">
        <v>186</v>
      </c>
      <c r="DE17" s="6"/>
      <c r="DF17" s="1149">
        <f>Sheet1!C531</f>
        <v>0</v>
      </c>
      <c r="DG17" s="1094"/>
      <c r="DH17" s="9" t="s">
        <v>97</v>
      </c>
      <c r="DI17" s="6" t="s">
        <v>193</v>
      </c>
      <c r="DJ17" s="50"/>
      <c r="DK17" s="1147">
        <f>Sheet1!C548</f>
        <v>0</v>
      </c>
      <c r="DL17" s="1094"/>
      <c r="DM17" s="9">
        <v>4070</v>
      </c>
      <c r="DN17" s="2" t="s">
        <v>176</v>
      </c>
      <c r="DO17" s="6"/>
      <c r="DP17" s="1165">
        <f>Sheet1!C597</f>
        <v>0</v>
      </c>
      <c r="DQ17" s="1094"/>
      <c r="DR17" s="9">
        <v>4215</v>
      </c>
      <c r="DS17" s="2" t="s">
        <v>163</v>
      </c>
      <c r="DT17" s="6"/>
      <c r="DU17" s="1149">
        <f>Sheet1!C618</f>
        <v>0</v>
      </c>
      <c r="DV17" s="1094"/>
      <c r="DW17" s="1739"/>
      <c r="DX17" s="1740"/>
      <c r="DY17" s="1739"/>
      <c r="DZ17" s="1739"/>
      <c r="EA17" s="1094"/>
    </row>
    <row r="18" spans="1:131">
      <c r="A18" s="1094"/>
      <c r="B18" s="1019">
        <v>817</v>
      </c>
      <c r="C18" s="572" t="s">
        <v>439</v>
      </c>
      <c r="D18" s="777"/>
      <c r="E18" s="1165">
        <f>Sheet1!C245</f>
        <v>0</v>
      </c>
      <c r="F18" s="1094"/>
      <c r="G18" s="1019">
        <v>3716</v>
      </c>
      <c r="H18" s="572" t="s">
        <v>642</v>
      </c>
      <c r="I18" s="778"/>
      <c r="J18" s="1165">
        <f>Sheet1!C392</f>
        <v>0</v>
      </c>
      <c r="K18" s="1739"/>
      <c r="L18" s="1019">
        <v>600</v>
      </c>
      <c r="M18" s="572" t="s">
        <v>420</v>
      </c>
      <c r="N18" s="779"/>
      <c r="O18" s="1165">
        <f>Sheet1!C156</f>
        <v>0</v>
      </c>
      <c r="P18" s="1094"/>
      <c r="Q18" s="1019">
        <v>24</v>
      </c>
      <c r="R18" s="572" t="s">
        <v>126</v>
      </c>
      <c r="S18" s="780"/>
      <c r="T18" s="1165">
        <f>Sheet1!C28</f>
        <v>0</v>
      </c>
      <c r="U18" s="1094"/>
      <c r="V18" s="1019">
        <v>155</v>
      </c>
      <c r="W18" s="572" t="s">
        <v>53</v>
      </c>
      <c r="X18" s="781"/>
      <c r="Y18" s="1165">
        <f>Sheet1!C45</f>
        <v>0</v>
      </c>
      <c r="Z18" s="1094"/>
      <c r="AA18" s="1019">
        <v>827</v>
      </c>
      <c r="AB18" s="572" t="s">
        <v>637</v>
      </c>
      <c r="AC18" s="782"/>
      <c r="AD18" s="1165">
        <f>Sheet1!C254</f>
        <v>0</v>
      </c>
      <c r="AE18" s="1094"/>
      <c r="AF18" s="1019">
        <v>803</v>
      </c>
      <c r="AG18" s="572" t="s">
        <v>688</v>
      </c>
      <c r="AH18" s="783"/>
      <c r="AI18" s="1165">
        <f>Sheet1!C237</f>
        <v>0</v>
      </c>
      <c r="AJ18" s="1094"/>
      <c r="AK18" s="1019">
        <v>3765</v>
      </c>
      <c r="AL18" s="572" t="s">
        <v>405</v>
      </c>
      <c r="AM18" s="784"/>
      <c r="AN18" s="1165">
        <f>Sheet1!C410</f>
        <v>0</v>
      </c>
      <c r="AO18" s="1094"/>
      <c r="AP18" s="1019">
        <v>966</v>
      </c>
      <c r="AQ18" s="572" t="s">
        <v>526</v>
      </c>
      <c r="AR18" s="785"/>
      <c r="AS18" s="1165">
        <f>Sheet1!C326</f>
        <v>0</v>
      </c>
      <c r="AT18" s="1094"/>
      <c r="AU18" s="1019">
        <v>320</v>
      </c>
      <c r="AV18" s="572" t="s">
        <v>480</v>
      </c>
      <c r="AW18" s="786"/>
      <c r="AX18" s="1165">
        <f>Sheet1!C81</f>
        <v>0</v>
      </c>
      <c r="AY18" s="1094"/>
      <c r="AZ18" s="1019">
        <v>905</v>
      </c>
      <c r="BA18" s="572" t="s">
        <v>328</v>
      </c>
      <c r="BB18" s="787"/>
      <c r="BC18" s="1165">
        <f>Sheet1!C281</f>
        <v>0</v>
      </c>
      <c r="BD18" s="1094"/>
      <c r="BE18" s="1019">
        <v>3051</v>
      </c>
      <c r="BF18" s="572" t="s">
        <v>340</v>
      </c>
      <c r="BG18" s="788"/>
      <c r="BH18" s="1165">
        <f>Sheet1!C359</f>
        <v>0</v>
      </c>
      <c r="BI18" s="1094"/>
      <c r="BJ18" s="1019">
        <v>3828</v>
      </c>
      <c r="BK18" s="572" t="s">
        <v>77</v>
      </c>
      <c r="BL18" s="789"/>
      <c r="BM18" s="1165">
        <f>Sheet1!C454</f>
        <v>0</v>
      </c>
      <c r="BN18" s="1094"/>
      <c r="BO18" s="1019">
        <v>780</v>
      </c>
      <c r="BP18" s="572" t="s">
        <v>670</v>
      </c>
      <c r="BQ18" s="790"/>
      <c r="BR18" s="1165">
        <f>Sheet1!C223</f>
        <v>0</v>
      </c>
      <c r="BS18" s="1094"/>
      <c r="BT18" s="1019">
        <v>743</v>
      </c>
      <c r="BU18" s="572" t="s">
        <v>467</v>
      </c>
      <c r="BV18" s="791"/>
      <c r="BW18" s="1165">
        <f>Sheet1!C207</f>
        <v>0</v>
      </c>
      <c r="BX18" s="1094"/>
      <c r="BY18" s="1019">
        <v>3770</v>
      </c>
      <c r="BZ18" s="572" t="s">
        <v>554</v>
      </c>
      <c r="CA18" s="792"/>
      <c r="CB18" s="1165">
        <f>Sheet1!C413</f>
        <v>0</v>
      </c>
      <c r="CC18" s="1094"/>
      <c r="CD18" s="1019">
        <v>3858</v>
      </c>
      <c r="CE18" s="572" t="s">
        <v>481</v>
      </c>
      <c r="CF18" s="793"/>
      <c r="CG18" s="1165">
        <f>Sheet1!C484</f>
        <v>0</v>
      </c>
      <c r="CH18" s="1094"/>
      <c r="CI18" s="1019">
        <v>436</v>
      </c>
      <c r="CJ18" s="572" t="s">
        <v>7</v>
      </c>
      <c r="CK18" s="794"/>
      <c r="CL18" s="1165">
        <f>Sheet1!C117</f>
        <v>0</v>
      </c>
      <c r="CM18" s="1094"/>
      <c r="CN18" s="1019">
        <v>3032</v>
      </c>
      <c r="CO18" s="572" t="s">
        <v>483</v>
      </c>
      <c r="CP18" s="795"/>
      <c r="CQ18" s="1165">
        <f>Sheet1!C352</f>
        <v>0</v>
      </c>
      <c r="CR18" s="1094"/>
      <c r="CS18" s="1019">
        <v>762</v>
      </c>
      <c r="CT18" s="572" t="s">
        <v>561</v>
      </c>
      <c r="CU18" s="796"/>
      <c r="CV18" s="1165">
        <f>Sheet1!C216</f>
        <v>0</v>
      </c>
      <c r="CW18" s="1094"/>
      <c r="CX18" s="9">
        <v>90</v>
      </c>
      <c r="CY18" s="6" t="s">
        <v>137</v>
      </c>
      <c r="CZ18" s="6"/>
      <c r="DA18" s="1165">
        <f>Sheet1!C752</f>
        <v>0</v>
      </c>
      <c r="DB18" s="1094"/>
      <c r="DC18" s="9" t="s">
        <v>81</v>
      </c>
      <c r="DD18" s="6" t="s">
        <v>185</v>
      </c>
      <c r="DE18" s="6"/>
      <c r="DF18" s="1149">
        <f>Sheet1!C528</f>
        <v>0</v>
      </c>
      <c r="DG18" s="1094"/>
      <c r="DH18" s="9" t="s">
        <v>98</v>
      </c>
      <c r="DI18" s="6" t="s">
        <v>198</v>
      </c>
      <c r="DJ18" s="55"/>
      <c r="DK18" s="1149">
        <f>Sheet1!C553</f>
        <v>0</v>
      </c>
      <c r="DL18" s="1094"/>
      <c r="DM18" s="9">
        <v>4075</v>
      </c>
      <c r="DN18" s="2" t="s">
        <v>177</v>
      </c>
      <c r="DO18" s="6"/>
      <c r="DP18" s="1165">
        <f>Sheet1!C598</f>
        <v>0</v>
      </c>
      <c r="DQ18" s="1094"/>
      <c r="DR18" s="9">
        <v>4220</v>
      </c>
      <c r="DS18" s="2" t="s">
        <v>164</v>
      </c>
      <c r="DT18" s="6"/>
      <c r="DU18" s="1149">
        <f>Sheet1!C619</f>
        <v>0</v>
      </c>
      <c r="DV18" s="1094"/>
      <c r="DW18" s="1739"/>
      <c r="DX18" s="1740"/>
      <c r="DY18" s="1739"/>
      <c r="DZ18" s="1739"/>
      <c r="EA18" s="1094"/>
    </row>
    <row r="19" spans="1:131">
      <c r="A19" s="1094"/>
      <c r="B19" s="1019">
        <v>304</v>
      </c>
      <c r="C19" s="572" t="s">
        <v>463</v>
      </c>
      <c r="D19" s="798"/>
      <c r="E19" s="1165">
        <f>Sheet1!C70</f>
        <v>0</v>
      </c>
      <c r="F19" s="1094"/>
      <c r="G19" s="1019">
        <v>962</v>
      </c>
      <c r="H19" s="572" t="s">
        <v>520</v>
      </c>
      <c r="I19" s="799"/>
      <c r="J19" s="1165">
        <f>Sheet1!C323</f>
        <v>0</v>
      </c>
      <c r="K19" s="1739"/>
      <c r="L19" s="1019">
        <v>3806</v>
      </c>
      <c r="M19" s="572" t="s">
        <v>596</v>
      </c>
      <c r="N19" s="800"/>
      <c r="O19" s="1165">
        <f>Sheet1!C432</f>
        <v>0</v>
      </c>
      <c r="P19" s="1094"/>
      <c r="Q19" s="1019">
        <v>25</v>
      </c>
      <c r="R19" s="572" t="s">
        <v>711</v>
      </c>
      <c r="S19" s="801"/>
      <c r="T19" s="1165">
        <f>Sheet1!C29</f>
        <v>0</v>
      </c>
      <c r="U19" s="1094"/>
      <c r="V19" s="1019">
        <v>3746</v>
      </c>
      <c r="W19" s="572" t="s">
        <v>398</v>
      </c>
      <c r="X19" s="802"/>
      <c r="Y19" s="1165">
        <f>Sheet1!C401</f>
        <v>0</v>
      </c>
      <c r="Z19" s="1094"/>
      <c r="AA19" s="1019">
        <v>813</v>
      </c>
      <c r="AB19" s="572" t="s">
        <v>612</v>
      </c>
      <c r="AC19" s="803"/>
      <c r="AD19" s="1165">
        <f>Sheet1!C241</f>
        <v>0</v>
      </c>
      <c r="AE19" s="1094"/>
      <c r="AF19" s="1019">
        <v>336</v>
      </c>
      <c r="AG19" s="572" t="s">
        <v>54</v>
      </c>
      <c r="AH19" s="804"/>
      <c r="AI19" s="1165">
        <f>Sheet1!C89</f>
        <v>0</v>
      </c>
      <c r="AJ19" s="1094"/>
      <c r="AK19" s="1019">
        <v>3811</v>
      </c>
      <c r="AL19" s="572" t="s">
        <v>606</v>
      </c>
      <c r="AM19" s="805"/>
      <c r="AN19" s="1165">
        <f>Sheet1!C437</f>
        <v>0</v>
      </c>
      <c r="AO19" s="1094"/>
      <c r="AP19" s="1019">
        <v>564</v>
      </c>
      <c r="AQ19" s="572" t="s">
        <v>570</v>
      </c>
      <c r="AR19" s="806"/>
      <c r="AS19" s="1165">
        <f>Sheet1!C151</f>
        <v>0</v>
      </c>
      <c r="AT19" s="1094"/>
      <c r="AU19" s="1019">
        <v>367</v>
      </c>
      <c r="AV19" s="572" t="s">
        <v>354</v>
      </c>
      <c r="AW19" s="807"/>
      <c r="AX19" s="1165">
        <f>Sheet1!C100</f>
        <v>0</v>
      </c>
      <c r="AY19" s="1094"/>
      <c r="AZ19" s="1019">
        <v>904</v>
      </c>
      <c r="BA19" s="572" t="s">
        <v>410</v>
      </c>
      <c r="BB19" s="808"/>
      <c r="BC19" s="1165">
        <f>Sheet1!C280</f>
        <v>0</v>
      </c>
      <c r="BD19" s="1094"/>
      <c r="BE19" s="1019">
        <v>524</v>
      </c>
      <c r="BF19" s="572" t="s">
        <v>547</v>
      </c>
      <c r="BG19" s="809"/>
      <c r="BH19" s="1165">
        <f>Sheet1!C141</f>
        <v>0</v>
      </c>
      <c r="BI19" s="1094"/>
      <c r="BJ19" s="1019">
        <v>420</v>
      </c>
      <c r="BK19" s="572" t="s">
        <v>374</v>
      </c>
      <c r="BL19" s="810"/>
      <c r="BM19" s="1165">
        <f>Sheet1!C112</f>
        <v>0</v>
      </c>
      <c r="BN19" s="1094"/>
      <c r="BO19" s="1019">
        <v>3823</v>
      </c>
      <c r="BP19" s="572" t="s">
        <v>700</v>
      </c>
      <c r="BQ19" s="811"/>
      <c r="BR19" s="1165">
        <f>Sheet1!C449</f>
        <v>0</v>
      </c>
      <c r="BS19" s="1094"/>
      <c r="BT19" s="1019">
        <v>742</v>
      </c>
      <c r="BU19" s="572" t="s">
        <v>539</v>
      </c>
      <c r="BV19" s="812"/>
      <c r="BW19" s="1165">
        <f>Sheet1!C206</f>
        <v>0</v>
      </c>
      <c r="BX19" s="1094"/>
      <c r="BY19" s="1019">
        <v>945</v>
      </c>
      <c r="BZ19" s="572" t="s">
        <v>68</v>
      </c>
      <c r="CA19" s="813"/>
      <c r="CB19" s="1165">
        <f>Sheet1!C310</f>
        <v>0</v>
      </c>
      <c r="CC19" s="1094"/>
      <c r="CD19" s="1019">
        <v>3857</v>
      </c>
      <c r="CE19" s="572" t="s">
        <v>329</v>
      </c>
      <c r="CF19" s="814"/>
      <c r="CG19" s="1165">
        <f>Sheet1!C483</f>
        <v>0</v>
      </c>
      <c r="CH19" s="1094"/>
      <c r="CI19" s="1019">
        <v>435</v>
      </c>
      <c r="CJ19" s="572" t="s">
        <v>634</v>
      </c>
      <c r="CK19" s="815"/>
      <c r="CL19" s="1165">
        <f>Sheet1!C116</f>
        <v>0</v>
      </c>
      <c r="CM19" s="1094"/>
      <c r="CN19" s="1019">
        <v>3790</v>
      </c>
      <c r="CO19" s="572" t="s">
        <v>671</v>
      </c>
      <c r="CP19" s="816"/>
      <c r="CQ19" s="1165">
        <f>Sheet1!C425</f>
        <v>0</v>
      </c>
      <c r="CR19" s="1094"/>
      <c r="CS19" s="1019">
        <v>415</v>
      </c>
      <c r="CT19" s="572" t="s">
        <v>60</v>
      </c>
      <c r="CU19" s="817"/>
      <c r="CV19" s="1165">
        <f>Sheet1!C111</f>
        <v>0</v>
      </c>
      <c r="CW19" s="1094"/>
      <c r="CX19" s="9">
        <v>51</v>
      </c>
      <c r="CY19" s="6" t="s">
        <v>132</v>
      </c>
      <c r="CZ19" s="6"/>
      <c r="DA19" s="1165">
        <f>Sheet1!C743</f>
        <v>0</v>
      </c>
      <c r="DB19" s="1094"/>
      <c r="DC19" s="9" t="s">
        <v>103</v>
      </c>
      <c r="DD19" s="6" t="s">
        <v>210</v>
      </c>
      <c r="DE19" s="67"/>
      <c r="DF19" s="1149">
        <f>Sheet1!C565</f>
        <v>0</v>
      </c>
      <c r="DG19" s="1094"/>
      <c r="DH19" s="9" t="s">
        <v>99</v>
      </c>
      <c r="DI19" s="6" t="s">
        <v>212</v>
      </c>
      <c r="DJ19" s="533"/>
      <c r="DK19" s="1149">
        <f>Sheet1!C567</f>
        <v>0</v>
      </c>
      <c r="DL19" s="1094"/>
      <c r="DM19" s="9">
        <v>4077</v>
      </c>
      <c r="DN19" s="2" t="s">
        <v>178</v>
      </c>
      <c r="DO19" s="6"/>
      <c r="DP19" s="1165">
        <f>Sheet1!C599</f>
        <v>0</v>
      </c>
      <c r="DQ19" s="1094"/>
      <c r="DR19" s="9">
        <v>4230</v>
      </c>
      <c r="DS19" s="2" t="s">
        <v>165</v>
      </c>
      <c r="DT19" s="6"/>
      <c r="DU19" s="1149">
        <f>Sheet1!C620</f>
        <v>0</v>
      </c>
      <c r="DV19" s="1094"/>
      <c r="DW19" s="1739"/>
      <c r="DX19" s="1740"/>
      <c r="DY19" s="1739"/>
      <c r="DZ19" s="1739"/>
      <c r="EA19" s="1094"/>
    </row>
    <row r="20" spans="1:131" ht="17" thickBot="1">
      <c r="A20" s="1094"/>
      <c r="B20" s="1019">
        <v>3833</v>
      </c>
      <c r="C20" s="572" t="s">
        <v>643</v>
      </c>
      <c r="D20" s="818"/>
      <c r="E20" s="1165">
        <f>Sheet1!C459</f>
        <v>0</v>
      </c>
      <c r="F20" s="1094"/>
      <c r="G20" s="1019">
        <v>961</v>
      </c>
      <c r="H20" s="572" t="s">
        <v>384</v>
      </c>
      <c r="I20" s="819"/>
      <c r="J20" s="1165">
        <f>Sheet1!C322</f>
        <v>0</v>
      </c>
      <c r="K20" s="1739"/>
      <c r="L20" s="1019">
        <v>3805</v>
      </c>
      <c r="M20" s="572" t="s">
        <v>71</v>
      </c>
      <c r="N20" s="820"/>
      <c r="O20" s="1165">
        <f>Sheet1!C431</f>
        <v>0</v>
      </c>
      <c r="P20" s="1094"/>
      <c r="Q20" s="1019">
        <v>26</v>
      </c>
      <c r="R20" s="572" t="s">
        <v>710</v>
      </c>
      <c r="S20" s="821"/>
      <c r="T20" s="1165">
        <f>Sheet1!C30</f>
        <v>0</v>
      </c>
      <c r="U20" s="1094"/>
      <c r="V20" s="1019">
        <v>333</v>
      </c>
      <c r="W20" s="572" t="s">
        <v>419</v>
      </c>
      <c r="X20" s="822"/>
      <c r="Y20" s="1165">
        <f>Sheet1!C86</f>
        <v>0</v>
      </c>
      <c r="Z20" s="1094"/>
      <c r="AA20" s="1019">
        <v>826</v>
      </c>
      <c r="AB20" s="572" t="s">
        <v>469</v>
      </c>
      <c r="AC20" s="823"/>
      <c r="AD20" s="1165">
        <f>Sheet1!C253</f>
        <v>0</v>
      </c>
      <c r="AE20" s="1094"/>
      <c r="AF20" s="1019">
        <v>823</v>
      </c>
      <c r="AG20" s="572" t="s">
        <v>377</v>
      </c>
      <c r="AH20" s="824"/>
      <c r="AI20" s="1165">
        <f>Sheet1!C250</f>
        <v>0</v>
      </c>
      <c r="AJ20" s="1094"/>
      <c r="AK20" s="1019">
        <v>598</v>
      </c>
      <c r="AL20" s="572" t="s">
        <v>579</v>
      </c>
      <c r="AM20" s="825"/>
      <c r="AN20" s="1165">
        <f>Sheet1!C155</f>
        <v>0</v>
      </c>
      <c r="AO20" s="1094"/>
      <c r="AP20" s="1019">
        <v>563</v>
      </c>
      <c r="AQ20" s="572" t="s">
        <v>568</v>
      </c>
      <c r="AR20" s="826"/>
      <c r="AS20" s="1165">
        <f>Sheet1!C150</f>
        <v>0</v>
      </c>
      <c r="AT20" s="1094"/>
      <c r="AU20" s="1019">
        <v>319</v>
      </c>
      <c r="AV20" s="572" t="s">
        <v>413</v>
      </c>
      <c r="AW20" s="827"/>
      <c r="AX20" s="1165">
        <f>Sheet1!C80</f>
        <v>0</v>
      </c>
      <c r="AY20" s="1094"/>
      <c r="AZ20" s="1019">
        <v>472</v>
      </c>
      <c r="BA20" s="572" t="s">
        <v>683</v>
      </c>
      <c r="BB20" s="828"/>
      <c r="BC20" s="1165">
        <f>Sheet1!C127</f>
        <v>0</v>
      </c>
      <c r="BD20" s="1094"/>
      <c r="BE20" s="1019">
        <v>522</v>
      </c>
      <c r="BF20" s="572" t="s">
        <v>11</v>
      </c>
      <c r="BG20" s="829"/>
      <c r="BH20" s="1165">
        <f>Sheet1!C139</f>
        <v>0</v>
      </c>
      <c r="BI20" s="1094"/>
      <c r="BJ20" s="1019">
        <v>869</v>
      </c>
      <c r="BK20" s="572" t="s">
        <v>451</v>
      </c>
      <c r="BL20" s="830"/>
      <c r="BM20" s="1165">
        <f>Sheet1!C269</f>
        <v>0</v>
      </c>
      <c r="BN20" s="1094"/>
      <c r="BO20" s="1019">
        <v>3855</v>
      </c>
      <c r="BP20" s="572" t="s">
        <v>556</v>
      </c>
      <c r="BQ20" s="831"/>
      <c r="BR20" s="1165">
        <f>Sheet1!C481</f>
        <v>0</v>
      </c>
      <c r="BS20" s="1094"/>
      <c r="BT20" s="1019">
        <v>741</v>
      </c>
      <c r="BU20" s="572" t="s">
        <v>464</v>
      </c>
      <c r="BV20" s="832"/>
      <c r="BW20" s="1165">
        <f>Sheet1!C205</f>
        <v>0</v>
      </c>
      <c r="BX20" s="1094"/>
      <c r="BY20" s="1019">
        <v>402</v>
      </c>
      <c r="BZ20" s="572" t="s">
        <v>614</v>
      </c>
      <c r="CA20" s="833"/>
      <c r="CB20" s="1165">
        <f>Sheet1!C107</f>
        <v>0</v>
      </c>
      <c r="CC20" s="1094"/>
      <c r="CD20" s="1019">
        <v>20</v>
      </c>
      <c r="CE20" s="572" t="s">
        <v>123</v>
      </c>
      <c r="CF20" s="834"/>
      <c r="CG20" s="1165">
        <f>Sheet1!C24</f>
        <v>0</v>
      </c>
      <c r="CH20" s="1094"/>
      <c r="CI20" s="1019">
        <v>434</v>
      </c>
      <c r="CJ20" s="572" t="s">
        <v>631</v>
      </c>
      <c r="CK20" s="835"/>
      <c r="CL20" s="1165">
        <f>Sheet1!C115</f>
        <v>0</v>
      </c>
      <c r="CM20" s="1094"/>
      <c r="CN20" s="1019">
        <v>3781</v>
      </c>
      <c r="CO20" s="572" t="s">
        <v>333</v>
      </c>
      <c r="CP20" s="836"/>
      <c r="CQ20" s="1165">
        <f>Sheet1!C422</f>
        <v>0</v>
      </c>
      <c r="CR20" s="1094"/>
      <c r="CS20" s="1019">
        <v>318</v>
      </c>
      <c r="CT20" s="572" t="s">
        <v>557</v>
      </c>
      <c r="CU20" s="837"/>
      <c r="CV20" s="1165">
        <f>Sheet1!C79</f>
        <v>0</v>
      </c>
      <c r="CW20" s="1094"/>
      <c r="CX20" s="9">
        <v>106</v>
      </c>
      <c r="CY20" s="6" t="s">
        <v>143</v>
      </c>
      <c r="CZ20" s="6"/>
      <c r="DA20" s="1165">
        <f>Sheet1!C764</f>
        <v>0</v>
      </c>
      <c r="DB20" s="1094"/>
      <c r="DC20" s="9" t="s">
        <v>93</v>
      </c>
      <c r="DD20" s="6" t="s">
        <v>204</v>
      </c>
      <c r="DE20" s="61"/>
      <c r="DF20" s="1149">
        <f>Sheet1!C559</f>
        <v>0</v>
      </c>
      <c r="DG20" s="1094"/>
      <c r="DH20" s="10" t="s">
        <v>100</v>
      </c>
      <c r="DI20" s="16" t="s">
        <v>216</v>
      </c>
      <c r="DJ20" s="1065"/>
      <c r="DK20" s="1154">
        <f>Sheet1!C571</f>
        <v>0</v>
      </c>
      <c r="DL20" s="1094"/>
      <c r="DM20" s="9">
        <v>4080</v>
      </c>
      <c r="DN20" s="2" t="s">
        <v>179</v>
      </c>
      <c r="DO20" s="6"/>
      <c r="DP20" s="1165">
        <f>Sheet1!C600</f>
        <v>0</v>
      </c>
      <c r="DQ20" s="1094"/>
      <c r="DR20" s="9">
        <v>4235</v>
      </c>
      <c r="DS20" s="2" t="s">
        <v>166</v>
      </c>
      <c r="DT20" s="6"/>
      <c r="DU20" s="1149">
        <f>Sheet1!C621</f>
        <v>0</v>
      </c>
      <c r="DV20" s="1094"/>
      <c r="DW20" s="1739"/>
      <c r="DX20" s="1740"/>
      <c r="DY20" s="1739"/>
      <c r="DZ20" s="1739"/>
      <c r="EA20" s="1094"/>
    </row>
    <row r="21" spans="1:131" ht="17" thickBot="1">
      <c r="A21" s="1094"/>
      <c r="B21" s="1019">
        <v>3832</v>
      </c>
      <c r="C21" s="572" t="s">
        <v>524</v>
      </c>
      <c r="D21" s="838"/>
      <c r="E21" s="1165">
        <f>Sheet1!C458</f>
        <v>0</v>
      </c>
      <c r="F21" s="1094"/>
      <c r="G21" s="1019">
        <v>309</v>
      </c>
      <c r="H21" s="572" t="s">
        <v>320</v>
      </c>
      <c r="I21" s="839"/>
      <c r="J21" s="1165">
        <f>Sheet1!C72</f>
        <v>0</v>
      </c>
      <c r="K21" s="1094"/>
      <c r="L21" s="1019">
        <v>3804</v>
      </c>
      <c r="M21" s="572" t="s">
        <v>345</v>
      </c>
      <c r="N21" s="840"/>
      <c r="O21" s="1165">
        <f>Sheet1!C430</f>
        <v>0</v>
      </c>
      <c r="P21" s="1094"/>
      <c r="Q21" s="1019">
        <v>211</v>
      </c>
      <c r="R21" s="572" t="s">
        <v>653</v>
      </c>
      <c r="S21" s="841"/>
      <c r="T21" s="1165">
        <f>Sheet1!C63</f>
        <v>0</v>
      </c>
      <c r="U21" s="1094"/>
      <c r="V21" s="1019">
        <v>30</v>
      </c>
      <c r="W21" s="572" t="s">
        <v>708</v>
      </c>
      <c r="X21" s="842"/>
      <c r="Y21" s="1165">
        <f>Sheet1!C34</f>
        <v>0</v>
      </c>
      <c r="Z21" s="1094"/>
      <c r="AA21" s="1019">
        <v>825</v>
      </c>
      <c r="AB21" s="572" t="s">
        <v>377</v>
      </c>
      <c r="AC21" s="843"/>
      <c r="AD21" s="1165">
        <f>Sheet1!C252</f>
        <v>0</v>
      </c>
      <c r="AE21" s="1094"/>
      <c r="AF21" s="1019">
        <v>939</v>
      </c>
      <c r="AG21" s="572" t="s">
        <v>437</v>
      </c>
      <c r="AH21" s="844"/>
      <c r="AI21" s="1165">
        <f>Sheet1!C308</f>
        <v>0</v>
      </c>
      <c r="AJ21" s="1094"/>
      <c r="AK21" s="1019">
        <v>597</v>
      </c>
      <c r="AL21" s="572" t="s">
        <v>14</v>
      </c>
      <c r="AM21" s="845"/>
      <c r="AN21" s="1165">
        <f>Sheet1!C154</f>
        <v>0</v>
      </c>
      <c r="AO21" s="1094"/>
      <c r="AP21" s="1019">
        <v>562</v>
      </c>
      <c r="AQ21" s="572" t="s">
        <v>482</v>
      </c>
      <c r="AR21" s="846"/>
      <c r="AS21" s="1165">
        <f>Sheet1!C149</f>
        <v>0</v>
      </c>
      <c r="AT21" s="1094"/>
      <c r="AU21" s="1019">
        <v>890</v>
      </c>
      <c r="AV21" s="572" t="s">
        <v>665</v>
      </c>
      <c r="AW21" s="847"/>
      <c r="AX21" s="1165">
        <f>Sheet1!C270</f>
        <v>0</v>
      </c>
      <c r="AY21" s="1094"/>
      <c r="AZ21" s="1019">
        <v>471</v>
      </c>
      <c r="BA21" s="572" t="s">
        <v>647</v>
      </c>
      <c r="BB21" s="848"/>
      <c r="BC21" s="1165">
        <f>Sheet1!C126</f>
        <v>0</v>
      </c>
      <c r="BD21" s="1094"/>
      <c r="BE21" s="1019">
        <v>520</v>
      </c>
      <c r="BF21" s="572" t="s">
        <v>319</v>
      </c>
      <c r="BG21" s="849"/>
      <c r="BH21" s="1165">
        <f>Sheet1!C138</f>
        <v>0</v>
      </c>
      <c r="BI21" s="1094"/>
      <c r="BJ21" s="1019">
        <v>613</v>
      </c>
      <c r="BK21" s="572" t="s">
        <v>603</v>
      </c>
      <c r="BL21" s="850"/>
      <c r="BM21" s="1165">
        <f>Sheet1!C167</f>
        <v>0</v>
      </c>
      <c r="BN21" s="1094"/>
      <c r="BO21" s="1019">
        <v>19</v>
      </c>
      <c r="BP21" s="572" t="s">
        <v>713</v>
      </c>
      <c r="BQ21" s="851"/>
      <c r="BR21" s="1165">
        <f>Sheet1!C23</f>
        <v>0</v>
      </c>
      <c r="BS21" s="1094"/>
      <c r="BT21" s="1019">
        <v>740</v>
      </c>
      <c r="BU21" s="572" t="s">
        <v>21</v>
      </c>
      <c r="BV21" s="852"/>
      <c r="BW21" s="1165">
        <f>Sheet1!C204</f>
        <v>0</v>
      </c>
      <c r="BX21" s="1094"/>
      <c r="BY21" s="1019">
        <v>3776</v>
      </c>
      <c r="BZ21" s="572" t="s">
        <v>566</v>
      </c>
      <c r="CA21" s="853"/>
      <c r="CB21" s="1165">
        <f>Sheet1!C418</f>
        <v>0</v>
      </c>
      <c r="CC21" s="1094"/>
      <c r="CD21" s="1019">
        <v>21</v>
      </c>
      <c r="CE21" s="572" t="s">
        <v>712</v>
      </c>
      <c r="CF21" s="854"/>
      <c r="CG21" s="1165">
        <f>Sheet1!C25</f>
        <v>0</v>
      </c>
      <c r="CH21" s="1094"/>
      <c r="CI21" s="1019">
        <v>433</v>
      </c>
      <c r="CJ21" s="572" t="s">
        <v>515</v>
      </c>
      <c r="CK21" s="855"/>
      <c r="CL21" s="1165">
        <f>Sheet1!C114</f>
        <v>0</v>
      </c>
      <c r="CM21" s="1094"/>
      <c r="CN21" s="1019">
        <v>5</v>
      </c>
      <c r="CO21" s="572" t="s">
        <v>718</v>
      </c>
      <c r="CP21" s="856"/>
      <c r="CQ21" s="1165">
        <f>Sheet1!C9</f>
        <v>0</v>
      </c>
      <c r="CR21" s="1094"/>
      <c r="CS21" s="1019">
        <v>414</v>
      </c>
      <c r="CT21" s="572" t="s">
        <v>371</v>
      </c>
      <c r="CU21" s="857"/>
      <c r="CV21" s="1165">
        <f>Sheet1!C110</f>
        <v>0</v>
      </c>
      <c r="CW21" s="1094"/>
      <c r="CX21" s="9">
        <v>111</v>
      </c>
      <c r="CY21" s="6" t="s">
        <v>145</v>
      </c>
      <c r="CZ21" s="6"/>
      <c r="DA21" s="1165">
        <f>Sheet1!C767</f>
        <v>0</v>
      </c>
      <c r="DB21" s="1094"/>
      <c r="DC21" s="9" t="s">
        <v>84</v>
      </c>
      <c r="DD21" s="6" t="s">
        <v>194</v>
      </c>
      <c r="DE21" s="51"/>
      <c r="DF21" s="1147">
        <f>Sheet1!C549</f>
        <v>0</v>
      </c>
      <c r="DG21" s="1094"/>
      <c r="DH21" s="1739"/>
      <c r="DI21" s="1740"/>
      <c r="DJ21" s="1739"/>
      <c r="DK21" s="1739"/>
      <c r="DL21" s="1094"/>
      <c r="DM21" s="9">
        <v>4090</v>
      </c>
      <c r="DN21" s="2" t="s">
        <v>180</v>
      </c>
      <c r="DO21" s="6"/>
      <c r="DP21" s="1165">
        <f>Sheet1!C601</f>
        <v>0</v>
      </c>
      <c r="DQ21" s="1094"/>
      <c r="DR21" s="10">
        <v>4240</v>
      </c>
      <c r="DS21" s="4" t="s">
        <v>167</v>
      </c>
      <c r="DT21" s="16"/>
      <c r="DU21" s="1154">
        <f>Sheet1!C622</f>
        <v>0</v>
      </c>
      <c r="DV21" s="1094"/>
      <c r="DW21" s="1739"/>
      <c r="DX21" s="1740"/>
      <c r="DY21" s="1739"/>
      <c r="DZ21" s="1739"/>
      <c r="EA21" s="1094"/>
    </row>
    <row r="22" spans="1:131">
      <c r="A22" s="1094"/>
      <c r="B22" s="1019">
        <v>3831</v>
      </c>
      <c r="C22" s="572" t="s">
        <v>387</v>
      </c>
      <c r="D22" s="859"/>
      <c r="E22" s="1165">
        <f>Sheet1!C457</f>
        <v>0</v>
      </c>
      <c r="F22" s="1094"/>
      <c r="G22" s="1019">
        <v>819</v>
      </c>
      <c r="H22" s="572" t="s">
        <v>622</v>
      </c>
      <c r="I22" s="860"/>
      <c r="J22" s="1165">
        <f>Sheet1!C247</f>
        <v>0</v>
      </c>
      <c r="K22" s="1094"/>
      <c r="L22" s="1019">
        <v>3609</v>
      </c>
      <c r="M22" s="572" t="s">
        <v>679</v>
      </c>
      <c r="N22" s="861"/>
      <c r="O22" s="1165">
        <f>Sheet1!C382</f>
        <v>0</v>
      </c>
      <c r="P22" s="1094"/>
      <c r="Q22" s="1019">
        <v>210</v>
      </c>
      <c r="R22" s="572" t="s">
        <v>530</v>
      </c>
      <c r="S22" s="862"/>
      <c r="T22" s="1165">
        <f>Sheet1!C62</f>
        <v>0</v>
      </c>
      <c r="U22" s="1094"/>
      <c r="V22" s="1019">
        <v>31</v>
      </c>
      <c r="W22" s="572" t="s">
        <v>129</v>
      </c>
      <c r="X22" s="863"/>
      <c r="Y22" s="1165">
        <f>Sheet1!C35</f>
        <v>0</v>
      </c>
      <c r="Z22" s="1094"/>
      <c r="AA22" s="1019">
        <v>824</v>
      </c>
      <c r="AB22" s="572" t="s">
        <v>437</v>
      </c>
      <c r="AC22" s="864"/>
      <c r="AD22" s="1165">
        <f>Sheet1!C251</f>
        <v>0</v>
      </c>
      <c r="AE22" s="1094"/>
      <c r="AF22" s="1019">
        <v>3753</v>
      </c>
      <c r="AG22" s="572" t="s">
        <v>666</v>
      </c>
      <c r="AH22" s="865"/>
      <c r="AI22" s="1165">
        <f>Sheet1!C405</f>
        <v>0</v>
      </c>
      <c r="AJ22" s="1094"/>
      <c r="AK22" s="1019">
        <v>3810</v>
      </c>
      <c r="AL22" s="572" t="s">
        <v>355</v>
      </c>
      <c r="AM22" s="866"/>
      <c r="AN22" s="1165">
        <f>Sheet1!C436</f>
        <v>0</v>
      </c>
      <c r="AO22" s="1094"/>
      <c r="AP22" s="1019">
        <v>505</v>
      </c>
      <c r="AQ22" s="572" t="s">
        <v>399</v>
      </c>
      <c r="AR22" s="867"/>
      <c r="AS22" s="1165">
        <f>Sheet1!C134</f>
        <v>0</v>
      </c>
      <c r="AT22" s="1094"/>
      <c r="AU22" s="1019">
        <v>164</v>
      </c>
      <c r="AV22" s="572" t="s">
        <v>584</v>
      </c>
      <c r="AW22" s="736"/>
      <c r="AX22" s="1165">
        <f>Sheet1!C54</f>
        <v>0</v>
      </c>
      <c r="AY22" s="1094"/>
      <c r="AZ22" s="1019">
        <v>470</v>
      </c>
      <c r="BA22" s="572" t="s">
        <v>644</v>
      </c>
      <c r="BB22" s="868"/>
      <c r="BC22" s="1165">
        <f>Sheet1!C125</f>
        <v>0</v>
      </c>
      <c r="BD22" s="1094"/>
      <c r="BE22" s="1019">
        <v>734</v>
      </c>
      <c r="BF22" s="572" t="s">
        <v>661</v>
      </c>
      <c r="BG22" s="869"/>
      <c r="BH22" s="1165">
        <f>Sheet1!C201</f>
        <v>0</v>
      </c>
      <c r="BI22" s="1094"/>
      <c r="BJ22" s="1019">
        <v>612</v>
      </c>
      <c r="BK22" s="572" t="s">
        <v>600</v>
      </c>
      <c r="BL22" s="870"/>
      <c r="BM22" s="1165">
        <f>Sheet1!C166</f>
        <v>0</v>
      </c>
      <c r="BN22" s="1094"/>
      <c r="BO22" s="1019">
        <v>3854</v>
      </c>
      <c r="BP22" s="572" t="s">
        <v>475</v>
      </c>
      <c r="BQ22" s="871"/>
      <c r="BR22" s="1165">
        <f>Sheet1!C478</f>
        <v>0</v>
      </c>
      <c r="BS22" s="1094"/>
      <c r="BT22" s="1019">
        <v>970</v>
      </c>
      <c r="BU22" s="572" t="s">
        <v>650</v>
      </c>
      <c r="BV22" s="872"/>
      <c r="BW22" s="1165">
        <f>Sheet1!C328</f>
        <v>0</v>
      </c>
      <c r="BX22" s="1094"/>
      <c r="BY22" s="1019">
        <v>301</v>
      </c>
      <c r="BZ22" s="572" t="s">
        <v>462</v>
      </c>
      <c r="CA22" s="873"/>
      <c r="CB22" s="1165">
        <f>Sheet1!C69</f>
        <v>0</v>
      </c>
      <c r="CC22" s="1094"/>
      <c r="CD22" s="1019">
        <v>22</v>
      </c>
      <c r="CE22" s="572" t="s">
        <v>124</v>
      </c>
      <c r="CF22" s="874"/>
      <c r="CG22" s="1165">
        <f>Sheet1!C26</f>
        <v>0</v>
      </c>
      <c r="CH22" s="1094"/>
      <c r="CI22" s="1019">
        <v>801</v>
      </c>
      <c r="CJ22" s="572" t="s">
        <v>356</v>
      </c>
      <c r="CK22" s="875"/>
      <c r="CL22" s="1165">
        <f>Sheet1!C236</f>
        <v>0</v>
      </c>
      <c r="CM22" s="1094"/>
      <c r="CN22" s="1019">
        <v>6</v>
      </c>
      <c r="CO22" s="572" t="s">
        <v>717</v>
      </c>
      <c r="CP22" s="876"/>
      <c r="CQ22" s="1165">
        <f>Sheet1!C10</f>
        <v>0</v>
      </c>
      <c r="CR22" s="1094"/>
      <c r="CS22" s="1019">
        <v>1</v>
      </c>
      <c r="CT22" s="572" t="s">
        <v>118</v>
      </c>
      <c r="CU22" s="877"/>
      <c r="CV22" s="1165">
        <f>Sheet1!C5</f>
        <v>0</v>
      </c>
      <c r="CW22" s="1094"/>
      <c r="CX22" s="9">
        <v>105</v>
      </c>
      <c r="CY22" s="6" t="s">
        <v>142</v>
      </c>
      <c r="CZ22" s="6"/>
      <c r="DA22" s="1165">
        <f>Sheet1!C763</f>
        <v>0</v>
      </c>
      <c r="DB22" s="1094"/>
      <c r="DC22" s="9" t="s">
        <v>96</v>
      </c>
      <c r="DD22" s="6" t="s">
        <v>190</v>
      </c>
      <c r="DE22" s="47"/>
      <c r="DF22" s="1147">
        <f>Sheet1!C545</f>
        <v>0</v>
      </c>
      <c r="DG22" s="1094"/>
      <c r="DH22" s="1739"/>
      <c r="DI22" s="1740"/>
      <c r="DJ22" s="1739"/>
      <c r="DK22" s="1739"/>
      <c r="DL22" s="1094"/>
      <c r="DM22" s="9">
        <v>4100</v>
      </c>
      <c r="DN22" s="2" t="s">
        <v>181</v>
      </c>
      <c r="DO22" s="6"/>
      <c r="DP22" s="1165">
        <f>Sheet1!C602</f>
        <v>0</v>
      </c>
      <c r="DQ22" s="1094"/>
      <c r="DR22" s="1739"/>
      <c r="DS22" s="1740"/>
      <c r="DT22" s="1739"/>
      <c r="DU22" s="1739"/>
      <c r="DV22" s="1094"/>
      <c r="DW22" s="1739"/>
      <c r="DX22" s="1740"/>
      <c r="DY22" s="1739"/>
      <c r="DZ22" s="1739"/>
      <c r="EA22" s="1094"/>
    </row>
    <row r="23" spans="1:131">
      <c r="A23" s="1094"/>
      <c r="B23" s="1019">
        <v>777</v>
      </c>
      <c r="C23" s="572" t="s">
        <v>687</v>
      </c>
      <c r="D23" s="878"/>
      <c r="E23" s="1165">
        <f>Sheet1!C220</f>
        <v>0</v>
      </c>
      <c r="F23" s="1094"/>
      <c r="G23" s="1019">
        <v>3326</v>
      </c>
      <c r="H23" s="572" t="s">
        <v>599</v>
      </c>
      <c r="I23" s="879"/>
      <c r="J23" s="1165">
        <f>Sheet1!C366</f>
        <v>0</v>
      </c>
      <c r="K23" s="1094"/>
      <c r="L23" s="1019">
        <v>3608</v>
      </c>
      <c r="M23" s="572" t="s">
        <v>624</v>
      </c>
      <c r="N23" s="880"/>
      <c r="O23" s="1165">
        <f>Sheet1!C381</f>
        <v>0</v>
      </c>
      <c r="P23" s="1094"/>
      <c r="Q23" s="1019">
        <v>209</v>
      </c>
      <c r="R23" s="572" t="s">
        <v>392</v>
      </c>
      <c r="S23" s="881"/>
      <c r="T23" s="1165">
        <f>Sheet1!C61</f>
        <v>0</v>
      </c>
      <c r="U23" s="1094"/>
      <c r="V23" s="1019">
        <v>32</v>
      </c>
      <c r="W23" s="572" t="s">
        <v>707</v>
      </c>
      <c r="X23" s="882"/>
      <c r="Y23" s="1165">
        <f>Sheet1!C36</f>
        <v>0</v>
      </c>
      <c r="Z23" s="1094"/>
      <c r="AA23" s="1019">
        <v>996</v>
      </c>
      <c r="AB23" s="572" t="s">
        <v>470</v>
      </c>
      <c r="AC23" s="883"/>
      <c r="AD23" s="1165">
        <f>Sheet1!C343</f>
        <v>0</v>
      </c>
      <c r="AE23" s="1094"/>
      <c r="AF23" s="1019">
        <v>3752</v>
      </c>
      <c r="AG23" s="572" t="s">
        <v>536</v>
      </c>
      <c r="AH23" s="884"/>
      <c r="AI23" s="1165">
        <f>Sheet1!C404</f>
        <v>0</v>
      </c>
      <c r="AJ23" s="1094"/>
      <c r="AK23" s="1019">
        <v>3809</v>
      </c>
      <c r="AL23" s="572" t="s">
        <v>431</v>
      </c>
      <c r="AM23" s="885"/>
      <c r="AN23" s="1165">
        <f>Sheet1!C435</f>
        <v>0</v>
      </c>
      <c r="AO23" s="1094"/>
      <c r="AP23" s="1019">
        <v>3817</v>
      </c>
      <c r="AQ23" s="572" t="s">
        <v>615</v>
      </c>
      <c r="AR23" s="886"/>
      <c r="AS23" s="1165">
        <f>Sheet1!C443</f>
        <v>0</v>
      </c>
      <c r="AT23" s="1094"/>
      <c r="AU23" s="1019">
        <v>989</v>
      </c>
      <c r="AV23" s="572" t="s">
        <v>35</v>
      </c>
      <c r="AW23" s="887"/>
      <c r="AX23" s="1165">
        <f>Sheet1!C338</f>
        <v>0</v>
      </c>
      <c r="AY23" s="1094"/>
      <c r="AZ23" s="1019">
        <v>469</v>
      </c>
      <c r="BA23" s="572" t="s">
        <v>8</v>
      </c>
      <c r="BB23" s="888"/>
      <c r="BC23" s="1165">
        <f>Sheet1!C124</f>
        <v>0</v>
      </c>
      <c r="BD23" s="1094"/>
      <c r="BE23" s="1019">
        <v>733</v>
      </c>
      <c r="BF23" s="572" t="s">
        <v>535</v>
      </c>
      <c r="BG23" s="889"/>
      <c r="BH23" s="1165">
        <f>Sheet1!C200</f>
        <v>0</v>
      </c>
      <c r="BI23" s="1094"/>
      <c r="BJ23" s="1019">
        <v>611</v>
      </c>
      <c r="BK23" s="572" t="s">
        <v>62</v>
      </c>
      <c r="BL23" s="890"/>
      <c r="BM23" s="1165">
        <f>Sheet1!C165</f>
        <v>0</v>
      </c>
      <c r="BN23" s="1094"/>
      <c r="BO23" s="1019">
        <v>3853</v>
      </c>
      <c r="BP23" s="572" t="s">
        <v>326</v>
      </c>
      <c r="BQ23" s="891"/>
      <c r="BR23" s="1165">
        <f>Sheet1!C479</f>
        <v>0</v>
      </c>
      <c r="BS23" s="1094"/>
      <c r="BT23" s="1019">
        <v>947</v>
      </c>
      <c r="BU23" s="572" t="s">
        <v>31</v>
      </c>
      <c r="BV23" s="892"/>
      <c r="BW23" s="1165">
        <f>Sheet1!C312</f>
        <v>0</v>
      </c>
      <c r="BX23" s="1094"/>
      <c r="BY23" s="1019">
        <v>400</v>
      </c>
      <c r="BZ23" s="572" t="s">
        <v>363</v>
      </c>
      <c r="CA23" s="893"/>
      <c r="CB23" s="1165">
        <f>Sheet1!C106</f>
        <v>0</v>
      </c>
      <c r="CC23" s="1094"/>
      <c r="CD23" s="1019">
        <v>3774</v>
      </c>
      <c r="CE23" s="572" t="s">
        <v>564</v>
      </c>
      <c r="CF23" s="894"/>
      <c r="CG23" s="1165">
        <f>Sheet1!C417</f>
        <v>0</v>
      </c>
      <c r="CH23" s="1094"/>
      <c r="CI23" s="1019">
        <v>898</v>
      </c>
      <c r="CJ23" s="572" t="s">
        <v>404</v>
      </c>
      <c r="CK23" s="895"/>
      <c r="CL23" s="1165">
        <f>Sheet1!C276</f>
        <v>0</v>
      </c>
      <c r="CM23" s="1094"/>
      <c r="CN23" s="1019">
        <v>7</v>
      </c>
      <c r="CO23" s="572" t="s">
        <v>691</v>
      </c>
      <c r="CP23" s="573"/>
      <c r="CQ23" s="1165">
        <f>Sheet1!C11</f>
        <v>0</v>
      </c>
      <c r="CR23" s="1094"/>
      <c r="CS23" s="1019">
        <v>2</v>
      </c>
      <c r="CT23" s="572" t="s">
        <v>119</v>
      </c>
      <c r="CU23" s="896"/>
      <c r="CV23" s="1165">
        <f>Sheet1!C6</f>
        <v>0</v>
      </c>
      <c r="CW23" s="1094"/>
      <c r="CX23" s="9">
        <v>69</v>
      </c>
      <c r="CY23" s="6" t="s">
        <v>136</v>
      </c>
      <c r="CZ23" s="6"/>
      <c r="DA23" s="1165">
        <f>Sheet1!C750</f>
        <v>0</v>
      </c>
      <c r="DB23" s="1094"/>
      <c r="DC23" s="9" t="s">
        <v>102</v>
      </c>
      <c r="DD23" s="6" t="s">
        <v>197</v>
      </c>
      <c r="DE23" s="54"/>
      <c r="DF23" s="1149">
        <f>Sheet1!C552</f>
        <v>0</v>
      </c>
      <c r="DG23" s="1094"/>
      <c r="DH23" s="1739"/>
      <c r="DI23" s="1740"/>
      <c r="DJ23" s="1739"/>
      <c r="DK23" s="1739"/>
      <c r="DL23" s="1094"/>
      <c r="DM23" s="9">
        <v>4110</v>
      </c>
      <c r="DN23" s="2" t="s">
        <v>182</v>
      </c>
      <c r="DO23" s="6"/>
      <c r="DP23" s="1165">
        <f>Sheet1!C603</f>
        <v>0</v>
      </c>
      <c r="DQ23" s="1094"/>
      <c r="DR23" s="1739"/>
      <c r="DS23" s="1740"/>
      <c r="DT23" s="1739"/>
      <c r="DU23" s="1739"/>
      <c r="DV23" s="1094"/>
      <c r="DW23" s="1739"/>
      <c r="DX23" s="1740"/>
      <c r="DY23" s="1739"/>
      <c r="DZ23" s="1739"/>
      <c r="EA23" s="1094"/>
    </row>
    <row r="24" spans="1:131" ht="17" thickBot="1">
      <c r="A24" s="1094"/>
      <c r="B24" s="1019">
        <v>3801</v>
      </c>
      <c r="C24" s="572" t="s">
        <v>423</v>
      </c>
      <c r="D24" s="897"/>
      <c r="E24" s="1147">
        <f>Sheet1!C427</f>
        <v>0</v>
      </c>
      <c r="F24" s="1094"/>
      <c r="G24" s="1019">
        <v>899</v>
      </c>
      <c r="H24" s="572" t="s">
        <v>471</v>
      </c>
      <c r="I24" s="898"/>
      <c r="J24" s="1165">
        <f>Sheet1!C277</f>
        <v>0</v>
      </c>
      <c r="K24" s="1094"/>
      <c r="L24" s="1019">
        <v>3607</v>
      </c>
      <c r="M24" s="572" t="s">
        <v>621</v>
      </c>
      <c r="N24" s="899"/>
      <c r="O24" s="1165">
        <f>Sheet1!C380</f>
        <v>0</v>
      </c>
      <c r="P24" s="1094"/>
      <c r="Q24" s="1019">
        <v>208</v>
      </c>
      <c r="R24" s="572" t="s">
        <v>429</v>
      </c>
      <c r="S24" s="858"/>
      <c r="T24" s="1165">
        <f>Sheet1!C60</f>
        <v>0</v>
      </c>
      <c r="U24" s="1094"/>
      <c r="V24" s="1019">
        <v>157</v>
      </c>
      <c r="W24" s="572" t="s">
        <v>612</v>
      </c>
      <c r="X24" s="900"/>
      <c r="Y24" s="1165">
        <f>Sheet1!C47</f>
        <v>0</v>
      </c>
      <c r="Z24" s="1094"/>
      <c r="AA24" s="1019">
        <v>3843</v>
      </c>
      <c r="AB24" s="572" t="s">
        <v>73</v>
      </c>
      <c r="AC24" s="901"/>
      <c r="AD24" s="1165">
        <f>Sheet1!C469</f>
        <v>0</v>
      </c>
      <c r="AE24" s="1094"/>
      <c r="AF24" s="1019">
        <v>932</v>
      </c>
      <c r="AG24" s="572" t="s">
        <v>604</v>
      </c>
      <c r="AH24" s="902"/>
      <c r="AI24" s="1165">
        <f>Sheet1!C302</f>
        <v>0</v>
      </c>
      <c r="AJ24" s="1094"/>
      <c r="AK24" s="1019">
        <v>3808</v>
      </c>
      <c r="AL24" s="572" t="s">
        <v>673</v>
      </c>
      <c r="AM24" s="903"/>
      <c r="AN24" s="1165">
        <f>Sheet1!C434</f>
        <v>0</v>
      </c>
      <c r="AO24" s="1094"/>
      <c r="AP24" s="1019">
        <v>3816</v>
      </c>
      <c r="AQ24" s="572" t="s">
        <v>74</v>
      </c>
      <c r="AR24" s="904"/>
      <c r="AS24" s="1165">
        <f>Sheet1!C442</f>
        <v>0</v>
      </c>
      <c r="AT24" s="1094"/>
      <c r="AU24" s="1019">
        <v>988</v>
      </c>
      <c r="AV24" s="572" t="s">
        <v>460</v>
      </c>
      <c r="AW24" s="905"/>
      <c r="AX24" s="1165">
        <f>Sheet1!C337</f>
        <v>0</v>
      </c>
      <c r="AY24" s="1094"/>
      <c r="AZ24" s="1019">
        <v>937</v>
      </c>
      <c r="BA24" s="572" t="s">
        <v>508</v>
      </c>
      <c r="BB24" s="906"/>
      <c r="BC24" s="1165">
        <f>Sheet1!C306</f>
        <v>0</v>
      </c>
      <c r="BD24" s="1094"/>
      <c r="BE24" s="1019">
        <v>732</v>
      </c>
      <c r="BF24" s="572" t="s">
        <v>20</v>
      </c>
      <c r="BG24" s="907"/>
      <c r="BH24" s="1165">
        <f>Sheet1!C199</f>
        <v>0</v>
      </c>
      <c r="BI24" s="1094"/>
      <c r="BJ24" s="1019">
        <v>610</v>
      </c>
      <c r="BK24" s="572" t="s">
        <v>348</v>
      </c>
      <c r="BL24" s="908"/>
      <c r="BM24" s="1165">
        <f>Sheet1!C164</f>
        <v>0</v>
      </c>
      <c r="BN24" s="1094"/>
      <c r="BO24" s="1019">
        <v>3827</v>
      </c>
      <c r="BP24" s="572" t="s">
        <v>703</v>
      </c>
      <c r="BQ24" s="909"/>
      <c r="BR24" s="1165">
        <f>Sheet1!C453</f>
        <v>0</v>
      </c>
      <c r="BS24" s="1094"/>
      <c r="BT24" s="1019">
        <v>946</v>
      </c>
      <c r="BU24" s="572" t="s">
        <v>513</v>
      </c>
      <c r="BV24" s="910"/>
      <c r="BW24" s="1165">
        <f>Sheet1!C311</f>
        <v>0</v>
      </c>
      <c r="BX24" s="1094"/>
      <c r="BY24" s="1019">
        <v>300</v>
      </c>
      <c r="BZ24" s="572" t="s">
        <v>402</v>
      </c>
      <c r="CA24" s="911"/>
      <c r="CB24" s="1165">
        <f>Sheet1!C68</f>
        <v>0</v>
      </c>
      <c r="CC24" s="1094"/>
      <c r="CD24" s="1019">
        <v>950</v>
      </c>
      <c r="CE24" s="572" t="s">
        <v>623</v>
      </c>
      <c r="CF24" s="912"/>
      <c r="CG24" s="1165">
        <f>Sheet1!C314</f>
        <v>0</v>
      </c>
      <c r="CH24" s="1094"/>
      <c r="CI24" s="1019">
        <v>938</v>
      </c>
      <c r="CJ24" s="572" t="s">
        <v>675</v>
      </c>
      <c r="CK24" s="913"/>
      <c r="CL24" s="1165">
        <f>Sheet1!C307</f>
        <v>0</v>
      </c>
      <c r="CM24" s="1094"/>
      <c r="CN24" s="1019">
        <v>8</v>
      </c>
      <c r="CO24" s="572" t="s">
        <v>716</v>
      </c>
      <c r="CP24" s="914"/>
      <c r="CQ24" s="1165">
        <f>Sheet1!C12</f>
        <v>0</v>
      </c>
      <c r="CR24" s="1094"/>
      <c r="CS24" s="1019">
        <v>3</v>
      </c>
      <c r="CT24" s="572" t="s">
        <v>720</v>
      </c>
      <c r="CU24" s="915"/>
      <c r="CV24" s="1165">
        <f>Sheet1!C7</f>
        <v>0</v>
      </c>
      <c r="CW24" s="1094"/>
      <c r="CX24" s="10">
        <v>53</v>
      </c>
      <c r="CY24" s="16" t="s">
        <v>134</v>
      </c>
      <c r="CZ24" s="16"/>
      <c r="DA24" s="1166">
        <f>Sheet1!C745</f>
        <v>0</v>
      </c>
      <c r="DB24" s="1094"/>
      <c r="DC24" s="9" t="s">
        <v>101</v>
      </c>
      <c r="DD24" s="6" t="s">
        <v>207</v>
      </c>
      <c r="DE24" s="64"/>
      <c r="DF24" s="1149">
        <f>Sheet1!C562</f>
        <v>0</v>
      </c>
      <c r="DG24" s="1094"/>
      <c r="DH24" s="1739"/>
      <c r="DI24" s="1740"/>
      <c r="DJ24" s="1739"/>
      <c r="DK24" s="1739"/>
      <c r="DL24" s="1094"/>
      <c r="DM24" s="9">
        <v>4120</v>
      </c>
      <c r="DN24" s="2" t="s">
        <v>183</v>
      </c>
      <c r="DO24" s="6"/>
      <c r="DP24" s="1165">
        <f>Sheet1!C604</f>
        <v>0</v>
      </c>
      <c r="DQ24" s="1094"/>
      <c r="DR24" s="1739"/>
      <c r="DS24" s="1740"/>
      <c r="DT24" s="1739"/>
      <c r="DU24" s="1739"/>
      <c r="DV24" s="1094"/>
      <c r="DW24" s="1739"/>
      <c r="DX24" s="1740"/>
      <c r="DY24" s="1739"/>
      <c r="DZ24" s="1739"/>
      <c r="EA24" s="1094"/>
    </row>
    <row r="25" spans="1:131">
      <c r="A25" s="1094"/>
      <c r="B25" s="1019">
        <v>666</v>
      </c>
      <c r="C25" s="572" t="s">
        <v>456</v>
      </c>
      <c r="D25" s="916"/>
      <c r="E25" s="1165">
        <f>Sheet1!C176</f>
        <v>0</v>
      </c>
      <c r="F25" s="1094"/>
      <c r="G25" s="1019">
        <v>335</v>
      </c>
      <c r="H25" s="572" t="s">
        <v>4</v>
      </c>
      <c r="I25" s="917"/>
      <c r="J25" s="1165">
        <f>Sheet1!C88</f>
        <v>0</v>
      </c>
      <c r="K25" s="1094"/>
      <c r="L25" s="1019">
        <v>718</v>
      </c>
      <c r="M25" s="572" t="s">
        <v>18</v>
      </c>
      <c r="N25" s="918"/>
      <c r="O25" s="1165">
        <f>Sheet1!C187</f>
        <v>0</v>
      </c>
      <c r="P25" s="1094"/>
      <c r="Q25" s="1019">
        <v>3837</v>
      </c>
      <c r="R25" s="572" t="s">
        <v>684</v>
      </c>
      <c r="S25" s="919"/>
      <c r="T25" s="1165">
        <f>Sheet1!C463</f>
        <v>0</v>
      </c>
      <c r="U25" s="1094"/>
      <c r="V25" s="1019">
        <v>794</v>
      </c>
      <c r="W25" s="572" t="s">
        <v>591</v>
      </c>
      <c r="X25" s="920"/>
      <c r="Y25" s="1165">
        <f>Sheet1!C230</f>
        <v>0</v>
      </c>
      <c r="Z25" s="1094"/>
      <c r="AA25" s="1019">
        <v>995</v>
      </c>
      <c r="AB25" s="572" t="s">
        <v>321</v>
      </c>
      <c r="AC25" s="921"/>
      <c r="AD25" s="1165">
        <f>Sheet1!C342</f>
        <v>0</v>
      </c>
      <c r="AE25" s="1094"/>
      <c r="AF25" s="1019">
        <v>931</v>
      </c>
      <c r="AG25" s="572" t="s">
        <v>503</v>
      </c>
      <c r="AH25" s="922"/>
      <c r="AI25" s="1165">
        <f>Sheet1!C301</f>
        <v>0</v>
      </c>
      <c r="AJ25" s="1094"/>
      <c r="AK25" s="1019">
        <v>928</v>
      </c>
      <c r="AL25" s="572" t="s">
        <v>598</v>
      </c>
      <c r="AM25" s="923"/>
      <c r="AN25" s="1165">
        <f>Sheet1!C299</f>
        <v>0</v>
      </c>
      <c r="AO25" s="1094"/>
      <c r="AP25" s="1019">
        <v>163</v>
      </c>
      <c r="AQ25" s="572" t="s">
        <v>55</v>
      </c>
      <c r="AR25" s="924"/>
      <c r="AS25" s="1165">
        <f>Sheet1!C53</f>
        <v>0</v>
      </c>
      <c r="AT25" s="1094"/>
      <c r="AU25" s="1019">
        <v>987</v>
      </c>
      <c r="AV25" s="572" t="s">
        <v>400</v>
      </c>
      <c r="AW25" s="925"/>
      <c r="AX25" s="1165">
        <f>Sheet1!C336</f>
        <v>0</v>
      </c>
      <c r="AY25" s="1094"/>
      <c r="AZ25" s="1019">
        <v>936</v>
      </c>
      <c r="BA25" s="572" t="s">
        <v>435</v>
      </c>
      <c r="BB25" s="926"/>
      <c r="BC25" s="1165">
        <f>Sheet1!C305</f>
        <v>0</v>
      </c>
      <c r="BD25" s="1094"/>
      <c r="BE25" s="1019">
        <v>730</v>
      </c>
      <c r="BF25" s="572" t="s">
        <v>448</v>
      </c>
      <c r="BG25" s="927"/>
      <c r="BH25" s="1165">
        <f>Sheet1!C197</f>
        <v>0</v>
      </c>
      <c r="BI25" s="1094"/>
      <c r="BJ25" s="1019">
        <v>3047</v>
      </c>
      <c r="BK25" s="572" t="s">
        <v>580</v>
      </c>
      <c r="BL25" s="928"/>
      <c r="BM25" s="1165">
        <f>Sheet1!C358</f>
        <v>0</v>
      </c>
      <c r="BN25" s="1094"/>
      <c r="BO25" s="1019">
        <v>977</v>
      </c>
      <c r="BP25" s="572" t="s">
        <v>658</v>
      </c>
      <c r="BQ25" s="929"/>
      <c r="BR25" s="1165">
        <f>Sheet1!C334</f>
        <v>0</v>
      </c>
      <c r="BS25" s="1094"/>
      <c r="BT25" s="1019">
        <v>900</v>
      </c>
      <c r="BU25" s="572" t="s">
        <v>324</v>
      </c>
      <c r="BV25" s="930"/>
      <c r="BW25" s="1165">
        <f>Sheet1!C278</f>
        <v>0</v>
      </c>
      <c r="BX25" s="1094"/>
      <c r="BY25" s="1019">
        <v>225</v>
      </c>
      <c r="BZ25" s="572" t="s">
        <v>686</v>
      </c>
      <c r="CA25" s="931"/>
      <c r="CB25" s="1165">
        <f>Sheet1!C67</f>
        <v>0</v>
      </c>
      <c r="CC25" s="1094"/>
      <c r="CD25" s="1019">
        <v>3064</v>
      </c>
      <c r="CE25" s="572" t="s">
        <v>70</v>
      </c>
      <c r="CF25" s="932"/>
      <c r="CG25" s="1165">
        <f>Sheet1!C362</f>
        <v>0</v>
      </c>
      <c r="CH25" s="1094"/>
      <c r="CI25" s="1019">
        <v>3371</v>
      </c>
      <c r="CJ25" s="572" t="s">
        <v>40</v>
      </c>
      <c r="CK25" s="933"/>
      <c r="CL25" s="1165">
        <f>Sheet1!C379</f>
        <v>0</v>
      </c>
      <c r="CM25" s="1094"/>
      <c r="CN25" s="1019">
        <v>3866</v>
      </c>
      <c r="CO25" s="572" t="s">
        <v>672</v>
      </c>
      <c r="CP25" s="934"/>
      <c r="CQ25" s="1165">
        <f>Sheet1!C492</f>
        <v>0</v>
      </c>
      <c r="CR25" s="1094"/>
      <c r="CS25" s="1019">
        <v>4</v>
      </c>
      <c r="CT25" s="572" t="s">
        <v>719</v>
      </c>
      <c r="CU25" s="935"/>
      <c r="CV25" s="1165">
        <f>Sheet1!C8</f>
        <v>0</v>
      </c>
      <c r="CW25" s="1094"/>
      <c r="CX25" s="1739"/>
      <c r="CY25" s="1740"/>
      <c r="CZ25" s="1739"/>
      <c r="DA25" s="1739"/>
      <c r="DB25" s="1094"/>
      <c r="DC25" s="9" t="s">
        <v>104</v>
      </c>
      <c r="DD25" s="6" t="s">
        <v>191</v>
      </c>
      <c r="DE25" s="48"/>
      <c r="DF25" s="1147">
        <f>Sheet1!C546</f>
        <v>0</v>
      </c>
      <c r="DG25" s="1094"/>
      <c r="DH25" s="1739"/>
      <c r="DI25" s="1740"/>
      <c r="DJ25" s="1739"/>
      <c r="DK25" s="1739"/>
      <c r="DL25" s="1094"/>
      <c r="DM25" s="9">
        <v>4124</v>
      </c>
      <c r="DN25" s="2" t="s">
        <v>150</v>
      </c>
      <c r="DO25" s="6"/>
      <c r="DP25" s="1165">
        <f>Sheet1!C605</f>
        <v>0</v>
      </c>
      <c r="DQ25" s="1094"/>
      <c r="DR25" s="1739"/>
      <c r="DS25" s="1740"/>
      <c r="DT25" s="1739"/>
      <c r="DU25" s="1739"/>
      <c r="DV25" s="1094"/>
      <c r="DW25" s="1739"/>
      <c r="DX25" s="1740"/>
      <c r="DY25" s="1739"/>
      <c r="DZ25" s="1739"/>
      <c r="EA25" s="1094"/>
    </row>
    <row r="26" spans="1:131">
      <c r="A26" s="1094"/>
      <c r="B26" s="1019">
        <v>321</v>
      </c>
      <c r="C26" s="572" t="s">
        <v>51</v>
      </c>
      <c r="D26" s="936"/>
      <c r="E26" s="1165">
        <f>Sheet1!C82</f>
        <v>0</v>
      </c>
      <c r="F26" s="1094"/>
      <c r="G26" s="1019">
        <v>326</v>
      </c>
      <c r="H26" s="572" t="s">
        <v>418</v>
      </c>
      <c r="I26" s="937"/>
      <c r="J26" s="1165">
        <f>Sheet1!C84</f>
        <v>0</v>
      </c>
      <c r="K26" s="1094"/>
      <c r="L26" s="1019">
        <v>917</v>
      </c>
      <c r="M26" s="572" t="s">
        <v>490</v>
      </c>
      <c r="N26" s="938"/>
      <c r="O26" s="1165">
        <f>Sheet1!C290</f>
        <v>0</v>
      </c>
      <c r="P26" s="1094"/>
      <c r="Q26" s="1019">
        <v>327</v>
      </c>
      <c r="R26" s="572" t="s">
        <v>12</v>
      </c>
      <c r="S26" s="939"/>
      <c r="T26" s="1165">
        <f>Sheet1!C85</f>
        <v>0</v>
      </c>
      <c r="U26" s="1094"/>
      <c r="V26" s="1019">
        <v>793</v>
      </c>
      <c r="W26" s="572" t="s">
        <v>499</v>
      </c>
      <c r="X26" s="940"/>
      <c r="Y26" s="1165">
        <f>Sheet1!C229</f>
        <v>0</v>
      </c>
      <c r="Z26" s="1094"/>
      <c r="AA26" s="1019">
        <v>3846</v>
      </c>
      <c r="AB26" s="572" t="s">
        <v>538</v>
      </c>
      <c r="AC26" s="941"/>
      <c r="AD26" s="1165">
        <f>Sheet1!C472</f>
        <v>0</v>
      </c>
      <c r="AE26" s="1094"/>
      <c r="AF26" s="1019">
        <v>930</v>
      </c>
      <c r="AG26" s="572" t="s">
        <v>351</v>
      </c>
      <c r="AH26" s="942"/>
      <c r="AI26" s="1165">
        <f>Sheet1!C300</f>
        <v>0</v>
      </c>
      <c r="AJ26" s="1094"/>
      <c r="AK26" s="1019">
        <v>927</v>
      </c>
      <c r="AL26" s="572" t="s">
        <v>594</v>
      </c>
      <c r="AM26" s="943"/>
      <c r="AN26" s="1165">
        <f>Sheet1!C298</f>
        <v>0</v>
      </c>
      <c r="AO26" s="1094"/>
      <c r="AP26" s="1019">
        <v>3815</v>
      </c>
      <c r="AQ26" s="572" t="s">
        <v>361</v>
      </c>
      <c r="AR26" s="944"/>
      <c r="AS26" s="1165">
        <f>Sheet1!C441</f>
        <v>0</v>
      </c>
      <c r="AT26" s="1094"/>
      <c r="AU26" s="1019">
        <v>986</v>
      </c>
      <c r="AV26" s="572" t="s">
        <v>450</v>
      </c>
      <c r="AW26" s="945"/>
      <c r="AX26" s="1165">
        <f>Sheet1!C335</f>
        <v>0</v>
      </c>
      <c r="AY26" s="1094"/>
      <c r="AZ26" s="1019">
        <v>935</v>
      </c>
      <c r="BA26" s="572" t="s">
        <v>358</v>
      </c>
      <c r="BB26" s="946"/>
      <c r="BC26" s="1165">
        <f>Sheet1!C304</f>
        <v>0</v>
      </c>
      <c r="BD26" s="1094"/>
      <c r="BE26" s="1019">
        <v>3013</v>
      </c>
      <c r="BF26" s="572" t="s">
        <v>553</v>
      </c>
      <c r="BG26" s="947"/>
      <c r="BH26" s="1165">
        <f>Sheet1!C346</f>
        <v>0</v>
      </c>
      <c r="BI26" s="1094"/>
      <c r="BJ26" s="1019">
        <v>3046</v>
      </c>
      <c r="BK26" s="572" t="s">
        <v>491</v>
      </c>
      <c r="BL26" s="948"/>
      <c r="BM26" s="1165">
        <f>Sheet1!C357</f>
        <v>0</v>
      </c>
      <c r="BN26" s="1094"/>
      <c r="BO26" s="1019">
        <v>976</v>
      </c>
      <c r="BP26" s="572" t="s">
        <v>533</v>
      </c>
      <c r="BQ26" s="949"/>
      <c r="BR26" s="1165">
        <f>Sheet1!C333</f>
        <v>0</v>
      </c>
      <c r="BS26" s="1094"/>
      <c r="BT26" s="1019">
        <v>967</v>
      </c>
      <c r="BU26" s="572" t="s">
        <v>552</v>
      </c>
      <c r="BV26" s="950"/>
      <c r="BW26" s="1165">
        <f>Sheet1!C327</f>
        <v>0</v>
      </c>
      <c r="BX26" s="1094"/>
      <c r="BY26" s="1019">
        <v>224</v>
      </c>
      <c r="BZ26" s="572" t="s">
        <v>659</v>
      </c>
      <c r="CA26" s="951"/>
      <c r="CB26" s="1165">
        <f>Sheet1!C66</f>
        <v>0</v>
      </c>
      <c r="CC26" s="1094"/>
      <c r="CD26" s="1019">
        <v>407</v>
      </c>
      <c r="CE26" s="572" t="s">
        <v>368</v>
      </c>
      <c r="CF26" s="952"/>
      <c r="CG26" s="1165">
        <f>Sheet1!C108</f>
        <v>0</v>
      </c>
      <c r="CH26" s="1094"/>
      <c r="CI26" s="1019">
        <v>543</v>
      </c>
      <c r="CJ26" s="572" t="s">
        <v>667</v>
      </c>
      <c r="CK26" s="953"/>
      <c r="CL26" s="1165">
        <f>Sheet1!C143</f>
        <v>0</v>
      </c>
      <c r="CM26" s="1094"/>
      <c r="CN26" s="1019">
        <v>842</v>
      </c>
      <c r="CO26" s="572" t="s">
        <v>656</v>
      </c>
      <c r="CP26" s="954"/>
      <c r="CQ26" s="1165">
        <f>Sheet1!C266</f>
        <v>0</v>
      </c>
      <c r="CR26" s="1094"/>
      <c r="CS26" s="1019">
        <v>535</v>
      </c>
      <c r="CT26" s="572" t="s">
        <v>549</v>
      </c>
      <c r="CU26" s="797"/>
      <c r="CV26" s="1165">
        <f>Sheet1!C142</f>
        <v>0</v>
      </c>
      <c r="CW26" s="1094"/>
      <c r="CX26" s="1739"/>
      <c r="CY26" s="1740"/>
      <c r="CZ26" s="1739"/>
      <c r="DA26" s="1739"/>
      <c r="DB26" s="1094"/>
      <c r="DC26" s="9" t="s">
        <v>114</v>
      </c>
      <c r="DD26" s="6" t="s">
        <v>939</v>
      </c>
      <c r="DE26" s="556"/>
      <c r="DF26" s="1149">
        <f>Sheet1!C573</f>
        <v>0</v>
      </c>
      <c r="DG26" s="1094"/>
      <c r="DH26" s="1739"/>
      <c r="DI26" s="1740"/>
      <c r="DJ26" s="1739"/>
      <c r="DK26" s="1739"/>
      <c r="DL26" s="1094"/>
      <c r="DM26" s="9">
        <v>4126</v>
      </c>
      <c r="DN26" s="2" t="s">
        <v>151</v>
      </c>
      <c r="DP26" s="1165">
        <f>Sheet1!C606</f>
        <v>0</v>
      </c>
      <c r="DQ26" s="1094"/>
      <c r="DR26" s="1739"/>
      <c r="DS26" s="1740"/>
      <c r="DT26" s="1739"/>
      <c r="DU26" s="1739"/>
      <c r="DV26" s="1094"/>
      <c r="DW26" s="1739"/>
      <c r="DX26" s="1740"/>
      <c r="DY26" s="1739"/>
      <c r="DZ26" s="1739"/>
      <c r="EA26" s="1094"/>
    </row>
    <row r="27" spans="1:131" ht="17" thickBot="1">
      <c r="A27" s="1094"/>
      <c r="B27" s="1020">
        <v>498</v>
      </c>
      <c r="C27" s="567" t="s">
        <v>393</v>
      </c>
      <c r="D27" s="955"/>
      <c r="E27" s="1149">
        <f>Sheet1!C128</f>
        <v>0</v>
      </c>
      <c r="F27" s="1094"/>
      <c r="G27" s="1019">
        <v>151</v>
      </c>
      <c r="H27" s="572" t="s">
        <v>50</v>
      </c>
      <c r="I27" s="956"/>
      <c r="J27" s="1802">
        <f>Sheet1!C41</f>
        <v>0</v>
      </c>
      <c r="K27" s="1094"/>
      <c r="L27" s="1019">
        <v>915</v>
      </c>
      <c r="M27" s="572" t="s">
        <v>334</v>
      </c>
      <c r="N27" s="957"/>
      <c r="O27" s="1165">
        <f>Sheet1!C289</f>
        <v>0</v>
      </c>
      <c r="P27" s="1094"/>
      <c r="Q27" s="1019">
        <v>153</v>
      </c>
      <c r="R27" s="572" t="s">
        <v>52</v>
      </c>
      <c r="S27" s="958"/>
      <c r="T27" s="1165">
        <f>Sheet1!C43</f>
        <v>0</v>
      </c>
      <c r="U27" s="1094"/>
      <c r="V27" s="1019">
        <v>3807</v>
      </c>
      <c r="W27" s="572" t="s">
        <v>72</v>
      </c>
      <c r="X27" s="959"/>
      <c r="Y27" s="1165">
        <f>Sheet1!C433</f>
        <v>0</v>
      </c>
      <c r="Z27" s="1094"/>
      <c r="AA27" s="1019">
        <v>3845</v>
      </c>
      <c r="AB27" s="572" t="s">
        <v>461</v>
      </c>
      <c r="AC27" s="960"/>
      <c r="AD27" s="1165">
        <f>Sheet1!C471</f>
        <v>0</v>
      </c>
      <c r="AE27" s="1094"/>
      <c r="AF27" s="1021">
        <v>3750</v>
      </c>
      <c r="AG27" s="1022" t="s">
        <v>452</v>
      </c>
      <c r="AH27" s="1035"/>
      <c r="AI27" s="1166">
        <f>Sheet1!C403</f>
        <v>0</v>
      </c>
      <c r="AJ27" s="1094"/>
      <c r="AK27" s="1019">
        <v>926</v>
      </c>
      <c r="AL27" s="572" t="s">
        <v>500</v>
      </c>
      <c r="AM27" s="961"/>
      <c r="AN27" s="1165">
        <f>Sheet1!C297</f>
        <v>0</v>
      </c>
      <c r="AO27" s="1094"/>
      <c r="AP27" s="1019">
        <v>561</v>
      </c>
      <c r="AQ27" s="572" t="s">
        <v>414</v>
      </c>
      <c r="AR27" s="962"/>
      <c r="AS27" s="1165">
        <f>Sheet1!C148</f>
        <v>0</v>
      </c>
      <c r="AT27" s="1094"/>
      <c r="AU27" s="1019">
        <v>772</v>
      </c>
      <c r="AV27" s="572" t="s">
        <v>565</v>
      </c>
      <c r="AW27" s="963"/>
      <c r="AX27" s="1165">
        <f>Sheet1!C217</f>
        <v>0</v>
      </c>
      <c r="AY27" s="1094"/>
      <c r="AZ27" s="1019">
        <v>934</v>
      </c>
      <c r="BA27" s="572" t="s">
        <v>67</v>
      </c>
      <c r="BB27" s="964"/>
      <c r="BC27" s="1165">
        <f>Sheet1!C303</f>
        <v>0</v>
      </c>
      <c r="BD27" s="1094"/>
      <c r="BE27" s="1019">
        <v>3012</v>
      </c>
      <c r="BF27" s="572" t="s">
        <v>473</v>
      </c>
      <c r="BG27" s="965"/>
      <c r="BH27" s="1165">
        <f>Sheet1!C345</f>
        <v>0</v>
      </c>
      <c r="BI27" s="1094"/>
      <c r="BJ27" s="1019">
        <v>3045</v>
      </c>
      <c r="BK27" s="572" t="s">
        <v>335</v>
      </c>
      <c r="BL27" s="966"/>
      <c r="BM27" s="1165">
        <f>Sheet1!C356</f>
        <v>0</v>
      </c>
      <c r="BN27" s="1094"/>
      <c r="BO27" s="1019">
        <v>3826</v>
      </c>
      <c r="BP27" s="572" t="s">
        <v>76</v>
      </c>
      <c r="BQ27" s="967"/>
      <c r="BR27" s="1165">
        <f>Sheet1!C452</f>
        <v>0</v>
      </c>
      <c r="BS27" s="1094"/>
      <c r="BT27" s="1019">
        <v>3824</v>
      </c>
      <c r="BU27" s="572" t="s">
        <v>629</v>
      </c>
      <c r="BV27" s="968"/>
      <c r="BW27" s="1165">
        <f>Sheet1!C450</f>
        <v>0</v>
      </c>
      <c r="BX27" s="1094"/>
      <c r="BY27" s="1019">
        <v>152</v>
      </c>
      <c r="BZ27" s="572" t="s">
        <v>369</v>
      </c>
      <c r="CA27" s="969"/>
      <c r="CB27" s="1165">
        <f>Sheet1!C42</f>
        <v>0</v>
      </c>
      <c r="CC27" s="1094"/>
      <c r="CD27" s="1019">
        <v>3772</v>
      </c>
      <c r="CE27" s="572" t="s">
        <v>412</v>
      </c>
      <c r="CF27" s="970"/>
      <c r="CG27" s="1165">
        <f>Sheet1!C415</f>
        <v>0</v>
      </c>
      <c r="CH27" s="1094"/>
      <c r="CI27" s="1019">
        <v>3864</v>
      </c>
      <c r="CJ27" s="572" t="s">
        <v>578</v>
      </c>
      <c r="CK27" s="971"/>
      <c r="CL27" s="1165">
        <f>Sheet1!C490</f>
        <v>0</v>
      </c>
      <c r="CM27" s="1094"/>
      <c r="CN27" s="1019">
        <v>841</v>
      </c>
      <c r="CO27" s="572" t="s">
        <v>654</v>
      </c>
      <c r="CP27" s="972"/>
      <c r="CQ27" s="1165">
        <f>Sheet1!C265</f>
        <v>0</v>
      </c>
      <c r="CR27" s="1094"/>
      <c r="CS27" s="1019">
        <v>168</v>
      </c>
      <c r="CT27" s="572" t="s">
        <v>59</v>
      </c>
      <c r="CU27" s="973"/>
      <c r="CV27" s="1165">
        <f>Sheet1!C58</f>
        <v>0</v>
      </c>
      <c r="CW27" s="1094"/>
      <c r="CX27" s="1739"/>
      <c r="CY27" s="1740"/>
      <c r="CZ27" s="1739"/>
      <c r="DA27" s="1739"/>
      <c r="DB27" s="1094"/>
      <c r="DC27" s="9" t="s">
        <v>115</v>
      </c>
      <c r="DD27" s="6" t="s">
        <v>940</v>
      </c>
      <c r="DE27" s="528"/>
      <c r="DF27" s="1149">
        <f>Sheet1!C573</f>
        <v>0</v>
      </c>
      <c r="DG27" s="1094"/>
      <c r="DH27" s="1739"/>
      <c r="DI27" s="1740"/>
      <c r="DJ27" s="1739"/>
      <c r="DK27" s="1739"/>
      <c r="DL27" s="1094"/>
      <c r="DM27" s="10">
        <v>4128</v>
      </c>
      <c r="DN27" s="4" t="s">
        <v>152</v>
      </c>
      <c r="DO27" s="16"/>
      <c r="DP27" s="1166">
        <f>Sheet1!C607</f>
        <v>0</v>
      </c>
      <c r="DQ27" s="1094"/>
      <c r="DR27" s="1739"/>
      <c r="DS27" s="1740"/>
      <c r="DT27" s="1739"/>
      <c r="DU27" s="1739"/>
      <c r="DV27" s="1094"/>
      <c r="DW27" s="1739"/>
      <c r="DX27" s="1740"/>
      <c r="DY27" s="1739"/>
      <c r="DZ27" s="1739"/>
      <c r="EA27" s="1094"/>
    </row>
    <row r="28" spans="1:131" ht="17" thickBot="1">
      <c r="A28" s="1094"/>
      <c r="B28" s="1020">
        <v>816</v>
      </c>
      <c r="C28" s="567" t="s">
        <v>26</v>
      </c>
      <c r="D28" s="974"/>
      <c r="E28" s="1165">
        <f>Sheet1!C244</f>
        <v>0</v>
      </c>
      <c r="F28" s="1094"/>
      <c r="G28" s="1019">
        <v>3354</v>
      </c>
      <c r="H28" s="572" t="s">
        <v>613</v>
      </c>
      <c r="I28" s="975"/>
      <c r="J28" s="1165">
        <f>Sheet1!C375</f>
        <v>0</v>
      </c>
      <c r="K28" s="1094"/>
      <c r="L28" s="1019">
        <v>33</v>
      </c>
      <c r="M28" s="572" t="s">
        <v>130</v>
      </c>
      <c r="N28" s="976"/>
      <c r="O28" s="1165">
        <f>Sheet1!C37</f>
        <v>0</v>
      </c>
      <c r="P28" s="1094"/>
      <c r="Q28" s="1019">
        <v>554</v>
      </c>
      <c r="R28" s="572" t="s">
        <v>558</v>
      </c>
      <c r="S28" s="977"/>
      <c r="T28" s="1165">
        <f>Sheet1!C147</f>
        <v>0</v>
      </c>
      <c r="U28" s="1094"/>
      <c r="V28" s="1019">
        <v>792</v>
      </c>
      <c r="W28" s="572" t="s">
        <v>343</v>
      </c>
      <c r="X28" s="978"/>
      <c r="Y28" s="1165">
        <f>Sheet1!C228</f>
        <v>0</v>
      </c>
      <c r="Z28" s="1094"/>
      <c r="AA28" s="1021">
        <v>3844</v>
      </c>
      <c r="AB28" s="1022" t="s">
        <v>401</v>
      </c>
      <c r="AC28" s="1033"/>
      <c r="AD28" s="1166">
        <f>Sheet1!C470</f>
        <v>0</v>
      </c>
      <c r="AE28" s="1094"/>
      <c r="AF28" s="1094"/>
      <c r="AG28" s="1094"/>
      <c r="AH28" s="1745" t="s">
        <v>290</v>
      </c>
      <c r="AI28" s="1745"/>
      <c r="AJ28" s="1094"/>
      <c r="AK28" s="1019">
        <v>3768</v>
      </c>
      <c r="AL28" s="572" t="s">
        <v>325</v>
      </c>
      <c r="AM28" s="979"/>
      <c r="AN28" s="1165">
        <f>Sheet1!C412</f>
        <v>0</v>
      </c>
      <c r="AO28" s="1094"/>
      <c r="AP28" s="1019">
        <v>3813</v>
      </c>
      <c r="AQ28" s="572" t="s">
        <v>608</v>
      </c>
      <c r="AR28" s="980"/>
      <c r="AS28" s="1165">
        <f>Sheet1!C439</f>
        <v>0</v>
      </c>
      <c r="AT28" s="1094"/>
      <c r="AU28" s="1019">
        <v>3348</v>
      </c>
      <c r="AV28" s="572" t="s">
        <v>609</v>
      </c>
      <c r="AW28" s="981"/>
      <c r="AX28" s="1165">
        <f>Sheet1!C373</f>
        <v>0</v>
      </c>
      <c r="AY28" s="1094"/>
      <c r="AZ28" s="1019">
        <v>3364</v>
      </c>
      <c r="BA28" s="572" t="s">
        <v>39</v>
      </c>
      <c r="BB28" s="982"/>
      <c r="BC28" s="1165">
        <f>Sheet1!C378</f>
        <v>0</v>
      </c>
      <c r="BD28" s="1094"/>
      <c r="BE28" s="1019">
        <v>3011</v>
      </c>
      <c r="BF28" s="572" t="s">
        <v>323</v>
      </c>
      <c r="BG28" s="983"/>
      <c r="BH28" s="1165">
        <f>Sheet1!C344</f>
        <v>0</v>
      </c>
      <c r="BI28" s="1094"/>
      <c r="BJ28" s="1021">
        <v>167</v>
      </c>
      <c r="BK28" s="1022" t="s">
        <v>57</v>
      </c>
      <c r="BL28" s="1047"/>
      <c r="BM28" s="1166">
        <f>Sheet1!C57</f>
        <v>0</v>
      </c>
      <c r="BN28" s="1094"/>
      <c r="BO28" s="1021">
        <v>975</v>
      </c>
      <c r="BP28" s="1022" t="s">
        <v>397</v>
      </c>
      <c r="BQ28" s="1049"/>
      <c r="BR28" s="1166">
        <f>Sheet1!C332</f>
        <v>0</v>
      </c>
      <c r="BS28" s="1094"/>
      <c r="BT28" s="1019">
        <v>3341</v>
      </c>
      <c r="BU28" s="572" t="s">
        <v>37</v>
      </c>
      <c r="BV28" s="984"/>
      <c r="BW28" s="1165">
        <f>Sheet1!C369</f>
        <v>0</v>
      </c>
      <c r="BX28" s="1094"/>
      <c r="BY28" s="1019">
        <v>223</v>
      </c>
      <c r="BZ28" s="572" t="s">
        <v>581</v>
      </c>
      <c r="CA28" s="715"/>
      <c r="CB28" s="1165">
        <f>Sheet1!C65</f>
        <v>0</v>
      </c>
      <c r="CC28" s="1094"/>
      <c r="CD28" s="1021">
        <v>632</v>
      </c>
      <c r="CE28" s="1022" t="s">
        <v>674</v>
      </c>
      <c r="CF28" s="1055"/>
      <c r="CG28" s="1166">
        <f>Sheet1!C168</f>
        <v>0</v>
      </c>
      <c r="CH28" s="1094"/>
      <c r="CI28" s="1019">
        <v>3863</v>
      </c>
      <c r="CJ28" s="572" t="s">
        <v>488</v>
      </c>
      <c r="CK28" s="985"/>
      <c r="CL28" s="1165">
        <f>Sheet1!C489</f>
        <v>0</v>
      </c>
      <c r="CM28" s="1094"/>
      <c r="CN28" s="1019">
        <v>840</v>
      </c>
      <c r="CO28" s="572" t="s">
        <v>531</v>
      </c>
      <c r="CP28" s="986"/>
      <c r="CQ28" s="1165">
        <f>Sheet1!C264</f>
        <v>0</v>
      </c>
      <c r="CR28" s="1094"/>
      <c r="CS28" s="1019">
        <v>169</v>
      </c>
      <c r="CT28" s="572" t="s">
        <v>49</v>
      </c>
      <c r="CU28" s="987"/>
      <c r="CV28" s="1165">
        <f>Sheet1!C59</f>
        <v>0</v>
      </c>
      <c r="CW28" s="1094"/>
      <c r="CX28" s="1739"/>
      <c r="CY28" s="1740"/>
      <c r="CZ28" s="1739"/>
      <c r="DA28" s="1739"/>
      <c r="DB28" s="1094"/>
      <c r="DC28" s="10" t="s">
        <v>116</v>
      </c>
      <c r="DD28" s="16" t="s">
        <v>117</v>
      </c>
      <c r="DE28" s="1064"/>
      <c r="DF28" s="1152">
        <f>Sheet1!C584</f>
        <v>0</v>
      </c>
      <c r="DG28" s="1094"/>
      <c r="DH28" s="1739"/>
      <c r="DI28" s="1740"/>
      <c r="DJ28" s="1739"/>
      <c r="DK28" s="1739"/>
      <c r="DL28" s="1094"/>
      <c r="DM28" s="1739"/>
      <c r="DN28" s="1740"/>
      <c r="DO28" s="1739"/>
      <c r="DP28" s="1739"/>
      <c r="DQ28" s="1094"/>
      <c r="DR28" s="1739"/>
      <c r="DS28" s="1740"/>
      <c r="DT28" s="1739"/>
      <c r="DU28" s="1739"/>
      <c r="DV28" s="1094"/>
      <c r="DW28" s="1739"/>
      <c r="DX28" s="1740"/>
      <c r="DY28" s="1739"/>
      <c r="DZ28" s="1739"/>
      <c r="EA28" s="1094"/>
    </row>
    <row r="29" spans="1:131">
      <c r="A29" s="1094"/>
      <c r="B29" s="1019">
        <v>815</v>
      </c>
      <c r="C29" s="572" t="s">
        <v>511</v>
      </c>
      <c r="D29" s="988"/>
      <c r="E29" s="1165">
        <f>Sheet1!C243</f>
        <v>0</v>
      </c>
      <c r="F29" s="1094"/>
      <c r="G29" s="1019">
        <v>3733</v>
      </c>
      <c r="H29" s="572" t="s">
        <v>42</v>
      </c>
      <c r="I29" s="989"/>
      <c r="J29" s="1165">
        <f>Sheet1!C398</f>
        <v>0</v>
      </c>
      <c r="K29" s="1094"/>
      <c r="L29" s="1019">
        <v>34</v>
      </c>
      <c r="M29" s="572" t="s">
        <v>706</v>
      </c>
      <c r="N29" s="990"/>
      <c r="O29" s="1165">
        <f>Sheet1!C38</f>
        <v>0</v>
      </c>
      <c r="P29" s="1094"/>
      <c r="Q29" s="1019">
        <v>553</v>
      </c>
      <c r="R29" s="572" t="s">
        <v>12</v>
      </c>
      <c r="S29" s="991"/>
      <c r="T29" s="1165">
        <f>Sheet1!C146</f>
        <v>0</v>
      </c>
      <c r="U29" s="1094"/>
      <c r="V29" s="1019">
        <v>158</v>
      </c>
      <c r="W29" s="572" t="s">
        <v>377</v>
      </c>
      <c r="X29" s="992"/>
      <c r="Y29" s="1165">
        <f>Sheet1!C48</f>
        <v>0</v>
      </c>
      <c r="Z29" s="1094"/>
      <c r="AA29" s="1094"/>
      <c r="AB29" s="1094"/>
      <c r="AC29" s="1094"/>
      <c r="AD29" s="1094"/>
      <c r="AE29" s="1094"/>
      <c r="AF29" s="1094"/>
      <c r="AG29" s="1094"/>
      <c r="AH29" s="1094"/>
      <c r="AI29" s="1094"/>
      <c r="AJ29" s="1094"/>
      <c r="AK29" s="1019">
        <v>924</v>
      </c>
      <c r="AL29" s="596" t="s">
        <v>427</v>
      </c>
      <c r="AM29" s="993"/>
      <c r="AN29" s="1165">
        <f>Sheet1!C296</f>
        <v>0</v>
      </c>
      <c r="AO29" s="1094"/>
      <c r="AP29" s="1019">
        <v>503</v>
      </c>
      <c r="AQ29" s="572" t="s">
        <v>534</v>
      </c>
      <c r="AR29" s="994"/>
      <c r="AS29" s="1165">
        <f>Sheet1!C132</f>
        <v>0</v>
      </c>
      <c r="AT29" s="1094"/>
      <c r="AU29" s="1019">
        <v>3347</v>
      </c>
      <c r="AV29" s="572" t="s">
        <v>506</v>
      </c>
      <c r="AW29" s="995"/>
      <c r="AX29" s="1165">
        <f>Sheet1!C372</f>
        <v>0</v>
      </c>
      <c r="AY29" s="1094"/>
      <c r="AZ29" s="1019">
        <v>3363</v>
      </c>
      <c r="BA29" s="572" t="s">
        <v>512</v>
      </c>
      <c r="BB29" s="996"/>
      <c r="BC29" s="1165">
        <f>Sheet1!C377</f>
        <v>0</v>
      </c>
      <c r="BD29" s="1094"/>
      <c r="BE29" s="1019">
        <v>372</v>
      </c>
      <c r="BF29" s="572" t="s">
        <v>611</v>
      </c>
      <c r="BG29" s="997"/>
      <c r="BH29" s="1165">
        <f>Sheet1!C105</f>
        <v>0</v>
      </c>
      <c r="BI29" s="1094"/>
      <c r="BJ29" s="1094"/>
      <c r="BK29" s="1094"/>
      <c r="BL29" s="1094"/>
      <c r="BM29" s="1094"/>
      <c r="BN29" s="1094"/>
      <c r="BO29" s="1094"/>
      <c r="BP29" s="1094"/>
      <c r="BQ29" s="1094"/>
      <c r="BR29" s="1094"/>
      <c r="BS29" s="1094"/>
      <c r="BT29" s="1019">
        <v>3340</v>
      </c>
      <c r="BU29" s="572" t="s">
        <v>504</v>
      </c>
      <c r="BV29" s="998"/>
      <c r="BW29" s="1165">
        <f>Sheet1!C368</f>
        <v>0</v>
      </c>
      <c r="BX29" s="1094"/>
      <c r="BY29" s="1019">
        <v>3722</v>
      </c>
      <c r="BZ29" s="572" t="s">
        <v>527</v>
      </c>
      <c r="CA29" s="999"/>
      <c r="CB29" s="1165">
        <f>Sheet1!C394</f>
        <v>0</v>
      </c>
      <c r="CC29" s="1094"/>
      <c r="CD29" s="1094"/>
      <c r="CE29" s="1094"/>
      <c r="CF29" s="1094"/>
      <c r="CG29" s="1094"/>
      <c r="CH29" s="1094"/>
      <c r="CI29" s="1019">
        <v>3862</v>
      </c>
      <c r="CJ29" s="572" t="s">
        <v>332</v>
      </c>
      <c r="CK29" s="1000"/>
      <c r="CL29" s="1165">
        <f>Sheet1!C488</f>
        <v>0</v>
      </c>
      <c r="CM29" s="1094"/>
      <c r="CN29" s="1019">
        <v>839</v>
      </c>
      <c r="CO29" s="572" t="s">
        <v>341</v>
      </c>
      <c r="CP29" s="757"/>
      <c r="CQ29" s="1165">
        <f>Sheet1!C263</f>
        <v>0</v>
      </c>
      <c r="CR29" s="1094"/>
      <c r="CS29" s="1019">
        <v>317</v>
      </c>
      <c r="CT29" s="572" t="s">
        <v>49</v>
      </c>
      <c r="CU29" s="1001"/>
      <c r="CV29" s="1165">
        <f>Sheet1!C78</f>
        <v>0</v>
      </c>
      <c r="CW29" s="1094"/>
      <c r="CX29" s="1739"/>
      <c r="CY29" s="1740"/>
      <c r="CZ29" s="1739"/>
      <c r="DA29" s="1739"/>
      <c r="DB29" s="1094"/>
      <c r="DC29" s="1739"/>
      <c r="DD29" s="1740"/>
      <c r="DE29" s="1739"/>
      <c r="DF29" s="1739"/>
      <c r="DG29" s="1094"/>
      <c r="DH29" s="1739"/>
      <c r="DI29" s="1740"/>
      <c r="DJ29" s="1739"/>
      <c r="DK29" s="1739"/>
      <c r="DL29" s="1094"/>
      <c r="DM29" s="1739"/>
      <c r="DN29" s="1740"/>
      <c r="DO29" s="1739"/>
      <c r="DP29" s="1739"/>
      <c r="DQ29" s="1094"/>
      <c r="DR29" s="1739"/>
      <c r="DS29" s="1740"/>
      <c r="DT29" s="1739"/>
      <c r="DU29" s="1739"/>
      <c r="DV29" s="1094"/>
      <c r="DW29" s="1739"/>
      <c r="DX29" s="1740"/>
      <c r="DY29" s="1739"/>
      <c r="DZ29" s="1739"/>
      <c r="EA29" s="1094"/>
    </row>
    <row r="30" spans="1:131" ht="17" thickBot="1">
      <c r="A30" s="1094"/>
      <c r="B30" s="1021">
        <v>814</v>
      </c>
      <c r="C30" s="1022" t="s">
        <v>365</v>
      </c>
      <c r="D30" s="1023"/>
      <c r="E30" s="1166">
        <f>Sheet1!C242</f>
        <v>0</v>
      </c>
      <c r="F30" s="1094"/>
      <c r="G30" s="1019">
        <v>3731</v>
      </c>
      <c r="H30" s="572" t="s">
        <v>446</v>
      </c>
      <c r="I30" s="1002"/>
      <c r="J30" s="1165">
        <f>Sheet1!C397</f>
        <v>0</v>
      </c>
      <c r="K30" s="1094"/>
      <c r="L30" s="1021">
        <v>35</v>
      </c>
      <c r="M30" s="1022" t="s">
        <v>705</v>
      </c>
      <c r="N30" s="1027"/>
      <c r="O30" s="1166">
        <f>Sheet1!C39</f>
        <v>0</v>
      </c>
      <c r="P30" s="1094"/>
      <c r="Q30" s="1019">
        <v>552</v>
      </c>
      <c r="R30" s="572" t="s">
        <v>476</v>
      </c>
      <c r="S30" s="1003"/>
      <c r="T30" s="1165">
        <f>Sheet1!C145</f>
        <v>0</v>
      </c>
      <c r="U30" s="1094"/>
      <c r="V30" s="1021">
        <v>791</v>
      </c>
      <c r="W30" s="1022" t="s">
        <v>425</v>
      </c>
      <c r="X30" s="1031"/>
      <c r="Y30" s="1166">
        <f>Sheet1!C227</f>
        <v>0</v>
      </c>
      <c r="Z30" s="1094"/>
      <c r="AA30" s="1094"/>
      <c r="AB30" s="1094"/>
      <c r="AC30" s="1094"/>
      <c r="AD30" s="1094"/>
      <c r="AE30" s="1094"/>
      <c r="AF30" s="1094"/>
      <c r="AG30" s="1094"/>
      <c r="AH30" s="1094"/>
      <c r="AI30" s="1094"/>
      <c r="AJ30" s="1094"/>
      <c r="AK30" s="1019">
        <v>3849</v>
      </c>
      <c r="AL30" s="572" t="s">
        <v>544</v>
      </c>
      <c r="AM30" s="1004"/>
      <c r="AN30" s="1165">
        <f>Sheet1!C475</f>
        <v>0</v>
      </c>
      <c r="AO30" s="1094"/>
      <c r="AP30" s="1019">
        <v>502</v>
      </c>
      <c r="AQ30" s="572" t="s">
        <v>9</v>
      </c>
      <c r="AR30" s="1005"/>
      <c r="AS30" s="1165">
        <f>Sheet1!C131</f>
        <v>0</v>
      </c>
      <c r="AT30" s="1094"/>
      <c r="AU30" s="1019">
        <v>3346</v>
      </c>
      <c r="AV30" s="572" t="s">
        <v>38</v>
      </c>
      <c r="AW30" s="1006"/>
      <c r="AX30" s="1165">
        <f>Sheet1!C371</f>
        <v>0</v>
      </c>
      <c r="AY30" s="1094"/>
      <c r="AZ30" s="1021">
        <v>3362</v>
      </c>
      <c r="BA30" s="1022" t="s">
        <v>366</v>
      </c>
      <c r="BB30" s="1043"/>
      <c r="BC30" s="1166">
        <f>Sheet1!C376</f>
        <v>0</v>
      </c>
      <c r="BD30" s="1094"/>
      <c r="BE30" s="1019">
        <v>371</v>
      </c>
      <c r="BF30" s="572" t="s">
        <v>6</v>
      </c>
      <c r="BG30" s="1007"/>
      <c r="BH30" s="1165">
        <f>Sheet1!C104</f>
        <v>0</v>
      </c>
      <c r="BI30" s="1094"/>
      <c r="BJ30" s="1094"/>
      <c r="BK30" s="1094"/>
      <c r="BL30" s="1094"/>
      <c r="BM30" s="1094"/>
      <c r="BN30" s="1094"/>
      <c r="BO30" s="1094"/>
      <c r="BP30" s="1094"/>
      <c r="BQ30" s="1094"/>
      <c r="BR30" s="1094"/>
      <c r="BS30" s="1094"/>
      <c r="BT30" s="1019">
        <v>608</v>
      </c>
      <c r="BU30" s="572" t="s">
        <v>454</v>
      </c>
      <c r="BV30" s="1008"/>
      <c r="BW30" s="1165">
        <f>Sheet1!C163</f>
        <v>0</v>
      </c>
      <c r="BX30" s="1094"/>
      <c r="BY30" s="1019">
        <v>3721</v>
      </c>
      <c r="BZ30" s="572" t="s">
        <v>389</v>
      </c>
      <c r="CA30" s="1009"/>
      <c r="CB30" s="1165">
        <f>Sheet1!C393</f>
        <v>0</v>
      </c>
      <c r="CC30" s="1094"/>
      <c r="CD30" s="1094"/>
      <c r="CE30" s="1094"/>
      <c r="CF30" s="1094"/>
      <c r="CG30" s="1094"/>
      <c r="CH30" s="1094"/>
      <c r="CI30" s="1021">
        <v>3031</v>
      </c>
      <c r="CJ30" s="1022" t="s">
        <v>416</v>
      </c>
      <c r="CK30" s="1057"/>
      <c r="CL30" s="1166">
        <f>Sheet1!C351</f>
        <v>0</v>
      </c>
      <c r="CM30" s="1094"/>
      <c r="CN30" s="1021">
        <v>838</v>
      </c>
      <c r="CO30" s="1022" t="s">
        <v>445</v>
      </c>
      <c r="CP30" s="1059"/>
      <c r="CQ30" s="1166">
        <f>Sheet1!C262</f>
        <v>0</v>
      </c>
      <c r="CR30" s="1094"/>
      <c r="CS30" s="1019">
        <v>413</v>
      </c>
      <c r="CT30" s="572" t="s">
        <v>370</v>
      </c>
      <c r="CU30" s="1010"/>
      <c r="CV30" s="1165">
        <f>Sheet1!C109</f>
        <v>0</v>
      </c>
      <c r="CW30" s="1094"/>
      <c r="CX30" s="1739"/>
      <c r="CY30" s="1740"/>
      <c r="CZ30" s="1739"/>
      <c r="DA30" s="1739"/>
      <c r="DB30" s="1094"/>
      <c r="DC30" s="1739"/>
      <c r="DD30" s="1740"/>
      <c r="DE30" s="1739"/>
      <c r="DF30" s="1739"/>
      <c r="DG30" s="1094"/>
      <c r="DH30" s="1739"/>
      <c r="DI30" s="1740"/>
      <c r="DJ30" s="1739"/>
      <c r="DK30" s="1739"/>
      <c r="DL30" s="1094"/>
      <c r="DM30" s="1739"/>
      <c r="DN30" s="1740"/>
      <c r="DO30" s="1739"/>
      <c r="DP30" s="1739"/>
      <c r="DQ30" s="1094"/>
      <c r="DR30" s="1739"/>
      <c r="DS30" s="1740"/>
      <c r="DT30" s="1739"/>
      <c r="DU30" s="1739"/>
      <c r="DV30" s="1094"/>
      <c r="DW30" s="1739"/>
      <c r="DX30" s="1740"/>
      <c r="DY30" s="1739"/>
      <c r="DZ30" s="1739"/>
      <c r="EA30" s="1094"/>
    </row>
    <row r="31" spans="1:131" ht="17" thickBot="1">
      <c r="A31" s="1094"/>
      <c r="B31" s="1094"/>
      <c r="C31" s="1094"/>
      <c r="D31" s="1094"/>
      <c r="E31" s="1094"/>
      <c r="F31" s="1094"/>
      <c r="G31" s="1019">
        <v>3350</v>
      </c>
      <c r="H31" s="572" t="s">
        <v>676</v>
      </c>
      <c r="I31" s="1011"/>
      <c r="J31" s="1150">
        <f>Sheet1!C374</f>
        <v>0</v>
      </c>
      <c r="K31" s="1094"/>
      <c r="L31" s="1094"/>
      <c r="M31" s="1094"/>
      <c r="N31" s="1094"/>
      <c r="O31" s="1094"/>
      <c r="P31" s="1094"/>
      <c r="Q31" s="1021">
        <v>550</v>
      </c>
      <c r="R31" s="1022" t="s">
        <v>408</v>
      </c>
      <c r="S31" s="1029"/>
      <c r="T31" s="1166">
        <f>Sheet1!C144</f>
        <v>0</v>
      </c>
      <c r="U31" s="1094"/>
      <c r="V31" s="1094"/>
      <c r="W31" s="1094"/>
      <c r="X31" s="1094"/>
      <c r="Y31" s="1094"/>
      <c r="Z31" s="1094"/>
      <c r="AA31" s="1094"/>
      <c r="AB31" s="1094"/>
      <c r="AC31" s="1094"/>
      <c r="AD31" s="1094"/>
      <c r="AE31" s="1094"/>
      <c r="AF31" s="1094"/>
      <c r="AG31" s="1094"/>
      <c r="AH31" s="1094"/>
      <c r="AI31" s="1094"/>
      <c r="AJ31" s="1094"/>
      <c r="AK31" s="1019">
        <v>3848</v>
      </c>
      <c r="AL31" s="572" t="s">
        <v>466</v>
      </c>
      <c r="AM31" s="1012"/>
      <c r="AN31" s="1165">
        <f>Sheet1!C474</f>
        <v>0</v>
      </c>
      <c r="AO31" s="1094"/>
      <c r="AP31" s="1019">
        <v>501</v>
      </c>
      <c r="AQ31" s="572" t="s">
        <v>395</v>
      </c>
      <c r="AR31" s="1013"/>
      <c r="AS31" s="1165">
        <f>Sheet1!C130</f>
        <v>0</v>
      </c>
      <c r="AT31" s="1094"/>
      <c r="AU31" s="1019">
        <v>3345</v>
      </c>
      <c r="AV31" s="572" t="s">
        <v>357</v>
      </c>
      <c r="AW31" s="1014"/>
      <c r="AX31" s="1165">
        <f>Sheet1!C370</f>
        <v>0</v>
      </c>
      <c r="AY31" s="1094"/>
      <c r="AZ31" s="1094"/>
      <c r="BA31" s="1094"/>
      <c r="BB31" s="1094"/>
      <c r="BC31" s="1094"/>
      <c r="BD31" s="1094"/>
      <c r="BE31" s="1021">
        <v>370</v>
      </c>
      <c r="BF31" s="1022" t="s">
        <v>505</v>
      </c>
      <c r="BG31" s="1045"/>
      <c r="BH31" s="1166">
        <f>Sheet1!C103</f>
        <v>0</v>
      </c>
      <c r="BI31" s="1094"/>
      <c r="BJ31" s="1094"/>
      <c r="BK31" s="1094"/>
      <c r="BL31" s="1094"/>
      <c r="BM31" s="1094"/>
      <c r="BN31" s="1094"/>
      <c r="BO31" s="1094"/>
      <c r="BP31" s="1094"/>
      <c r="BQ31" s="1094"/>
      <c r="BR31" s="1094"/>
      <c r="BS31" s="1094"/>
      <c r="BT31" s="1021">
        <v>606</v>
      </c>
      <c r="BU31" s="1022" t="s">
        <v>453</v>
      </c>
      <c r="BV31" s="1051"/>
      <c r="BW31" s="1166">
        <f>Sheet1!C162</f>
        <v>0</v>
      </c>
      <c r="BX31" s="1094"/>
      <c r="BY31" s="1021">
        <v>221</v>
      </c>
      <c r="BZ31" s="1022" t="s">
        <v>449</v>
      </c>
      <c r="CA31" s="1053"/>
      <c r="CB31" s="1166">
        <f>Sheet1!C64</f>
        <v>0</v>
      </c>
      <c r="CC31" s="1094"/>
      <c r="CD31" s="1094"/>
      <c r="CE31" s="1094"/>
      <c r="CF31" s="1094"/>
      <c r="CG31" s="1094"/>
      <c r="CH31" s="1094"/>
      <c r="CI31" s="1094"/>
      <c r="CJ31" s="1094"/>
      <c r="CK31" s="1094"/>
      <c r="CL31" s="1094"/>
      <c r="CM31" s="1094"/>
      <c r="CN31" s="1094"/>
      <c r="CO31" s="1094"/>
      <c r="CP31" s="1094"/>
      <c r="CQ31" s="1094"/>
      <c r="CR31" s="1094"/>
      <c r="CS31" s="1019">
        <v>3799</v>
      </c>
      <c r="CT31" s="572" t="s">
        <v>422</v>
      </c>
      <c r="CU31" s="1015"/>
      <c r="CV31" s="1165">
        <f>Sheet1!C426</f>
        <v>0</v>
      </c>
      <c r="CW31" s="1094"/>
      <c r="CX31" s="1739"/>
      <c r="CY31" s="1740"/>
      <c r="CZ31" s="1739"/>
      <c r="DA31" s="1739"/>
      <c r="DB31" s="1094"/>
      <c r="DC31" s="1719"/>
      <c r="DD31" s="1718"/>
      <c r="DE31" s="1718"/>
      <c r="DF31" s="1718"/>
      <c r="DG31" s="1094"/>
      <c r="DH31" s="1739"/>
      <c r="DI31" s="1740"/>
      <c r="DJ31" s="1739"/>
      <c r="DK31" s="1739"/>
      <c r="DL31" s="1094"/>
      <c r="DM31" s="1739"/>
      <c r="DN31" s="1740"/>
      <c r="DO31" s="1739"/>
      <c r="DP31" s="1739"/>
      <c r="DQ31" s="1094"/>
      <c r="DR31" s="1739"/>
      <c r="DS31" s="1740"/>
      <c r="DT31" s="1739"/>
      <c r="DU31" s="1739"/>
      <c r="DV31" s="1094"/>
      <c r="DW31" s="1739"/>
      <c r="DX31" s="1740"/>
      <c r="DY31" s="1739"/>
      <c r="DZ31" s="1739"/>
      <c r="EA31" s="1094"/>
    </row>
    <row r="32" spans="1:131" ht="17" thickBot="1">
      <c r="A32" s="1094"/>
      <c r="B32" s="1094"/>
      <c r="C32" s="1094"/>
      <c r="D32" s="1094"/>
      <c r="E32" s="1094"/>
      <c r="F32" s="1094"/>
      <c r="G32" s="1021">
        <v>150</v>
      </c>
      <c r="H32" s="1022" t="s">
        <v>456</v>
      </c>
      <c r="I32" s="1025"/>
      <c r="J32" s="1156">
        <f>Sheet1!C40</f>
        <v>0</v>
      </c>
      <c r="K32" s="1094"/>
      <c r="L32" s="1721" t="s">
        <v>1656</v>
      </c>
      <c r="M32" s="1094"/>
      <c r="N32" s="1094"/>
      <c r="O32" s="1094"/>
      <c r="P32" s="1094"/>
      <c r="Q32" s="1094"/>
      <c r="R32" s="1094"/>
      <c r="S32" s="1094"/>
      <c r="T32" s="1094"/>
      <c r="U32" s="1094"/>
      <c r="V32" s="1094"/>
      <c r="W32" s="1094"/>
      <c r="X32" s="1094"/>
      <c r="Y32" s="1094"/>
      <c r="Z32" s="1094"/>
      <c r="AA32" s="1094"/>
      <c r="AB32" s="1094"/>
      <c r="AC32" s="1094"/>
      <c r="AD32" s="1094"/>
      <c r="AE32" s="1094"/>
      <c r="AF32" s="1094"/>
      <c r="AG32" s="1094"/>
      <c r="AH32" s="1094"/>
      <c r="AI32" s="1094"/>
      <c r="AJ32" s="1094"/>
      <c r="AK32" s="1021">
        <v>3847</v>
      </c>
      <c r="AL32" s="1022" t="s">
        <v>318</v>
      </c>
      <c r="AM32" s="1037"/>
      <c r="AN32" s="1166">
        <f>Sheet1!C473</f>
        <v>0</v>
      </c>
      <c r="AO32" s="1094"/>
      <c r="AP32" s="1021">
        <v>500</v>
      </c>
      <c r="AQ32" s="1022" t="s">
        <v>447</v>
      </c>
      <c r="AR32" s="1039"/>
      <c r="AS32" s="1166">
        <f>Sheet1!C129</f>
        <v>0</v>
      </c>
      <c r="AT32" s="1094"/>
      <c r="AU32" s="1021">
        <v>895</v>
      </c>
      <c r="AV32" s="1022" t="s">
        <v>403</v>
      </c>
      <c r="AW32" s="1041"/>
      <c r="AX32" s="1166">
        <f>Sheet1!C275</f>
        <v>0</v>
      </c>
      <c r="AY32" s="1094"/>
      <c r="AZ32" s="1094"/>
      <c r="BA32" s="1094"/>
      <c r="BB32" s="1094"/>
      <c r="BC32" s="1094"/>
      <c r="BD32" s="1094"/>
      <c r="BE32" s="1094"/>
      <c r="BF32" s="1094"/>
      <c r="BG32" s="1094"/>
      <c r="BH32" s="1094"/>
      <c r="BI32" s="1094"/>
      <c r="BJ32" s="1094"/>
      <c r="BK32" s="1094"/>
      <c r="BL32" s="1094"/>
      <c r="BM32" s="1094"/>
      <c r="BN32" s="1094"/>
      <c r="BO32" s="1094"/>
      <c r="BP32" s="1094"/>
      <c r="BQ32" s="1094"/>
      <c r="BR32" s="1094"/>
      <c r="BS32" s="1094"/>
      <c r="BT32" s="1094"/>
      <c r="BU32" s="1094"/>
      <c r="BV32" s="1094"/>
      <c r="BW32" s="1094"/>
      <c r="BX32" s="1094"/>
      <c r="BY32" s="1094"/>
      <c r="BZ32" s="1094"/>
      <c r="CA32" s="1094"/>
      <c r="CB32" s="1094"/>
      <c r="CC32" s="1094"/>
      <c r="CD32" s="1094"/>
      <c r="CE32" s="1094"/>
      <c r="CF32" s="1094"/>
      <c r="CG32" s="1094"/>
      <c r="CH32" s="1094"/>
      <c r="CI32" s="1094"/>
      <c r="CJ32" s="1094"/>
      <c r="CK32" s="1094"/>
      <c r="CL32" s="1094"/>
      <c r="CM32" s="1094"/>
      <c r="CN32" s="1094"/>
      <c r="CO32" s="1094"/>
      <c r="CP32" s="1094"/>
      <c r="CQ32" s="1094"/>
      <c r="CR32" s="1094"/>
      <c r="CS32" s="1021">
        <v>310</v>
      </c>
      <c r="CT32" s="1022" t="s">
        <v>3</v>
      </c>
      <c r="CU32" s="1061"/>
      <c r="CV32" s="1166">
        <f>Sheet1!C73</f>
        <v>0</v>
      </c>
      <c r="CW32" s="1094"/>
      <c r="CX32" s="1739"/>
      <c r="CY32" s="1740"/>
      <c r="CZ32" s="1739"/>
      <c r="DA32" s="1739"/>
      <c r="DB32" s="1094"/>
      <c r="DC32" s="1719"/>
      <c r="DD32" s="1718"/>
      <c r="DE32" s="1718"/>
      <c r="DF32" s="1718"/>
      <c r="DG32" s="1094"/>
      <c r="DH32" s="1739"/>
      <c r="DI32" s="1740"/>
      <c r="DJ32" s="1739"/>
      <c r="DK32" s="1739"/>
      <c r="DL32" s="1094"/>
      <c r="DM32" s="1739"/>
      <c r="DN32" s="1740"/>
      <c r="DO32" s="1739"/>
      <c r="DP32" s="1739"/>
      <c r="DQ32" s="1094"/>
      <c r="DR32" s="1739"/>
      <c r="DS32" s="1740"/>
      <c r="DT32" s="1739"/>
      <c r="DU32" s="1739"/>
      <c r="DV32" s="1094"/>
      <c r="DW32" s="1739"/>
      <c r="DX32" s="1740"/>
      <c r="DY32" s="1739"/>
      <c r="DZ32" s="1739"/>
      <c r="EA32" s="1094"/>
    </row>
    <row r="33" spans="1:131">
      <c r="A33" s="1094"/>
      <c r="B33" s="1094"/>
      <c r="C33" s="1094"/>
      <c r="D33" s="1094"/>
      <c r="E33" s="1094"/>
      <c r="F33" s="1094"/>
      <c r="G33" s="1739"/>
      <c r="H33" s="1740"/>
      <c r="I33" s="1739"/>
      <c r="J33" s="1094"/>
      <c r="K33" s="1094"/>
      <c r="L33" s="1094"/>
      <c r="M33" s="1094"/>
      <c r="N33" s="1094"/>
      <c r="O33" s="1094"/>
      <c r="P33" s="1094"/>
      <c r="Q33" s="1094"/>
      <c r="R33" s="1094"/>
      <c r="S33" s="1094"/>
      <c r="T33" s="1094"/>
      <c r="U33" s="1094"/>
      <c r="V33" s="1094"/>
      <c r="W33" s="1094"/>
      <c r="X33" s="1094"/>
      <c r="Y33" s="1094"/>
      <c r="Z33" s="1094"/>
      <c r="AA33" s="1094"/>
      <c r="AB33" s="1094"/>
      <c r="AC33" s="1094"/>
      <c r="AD33" s="1094"/>
      <c r="AE33" s="1094"/>
      <c r="AF33" s="1094"/>
      <c r="AG33" s="1094"/>
      <c r="AH33" s="1094"/>
      <c r="AI33" s="1094"/>
      <c r="AJ33" s="1094"/>
      <c r="AK33" s="1094"/>
      <c r="AL33" s="1094"/>
      <c r="AM33" s="1094"/>
      <c r="AN33" s="1094"/>
      <c r="AO33" s="1094"/>
      <c r="AP33" s="1094"/>
      <c r="AQ33" s="1094"/>
      <c r="AR33" s="1094"/>
      <c r="AS33" s="1094"/>
      <c r="AT33" s="1094"/>
      <c r="AU33" s="1094"/>
      <c r="AV33" s="1094"/>
      <c r="AW33" s="1094"/>
      <c r="AX33" s="1094"/>
      <c r="AY33" s="1094"/>
      <c r="AZ33" s="1094"/>
      <c r="BA33" s="1094"/>
      <c r="BB33" s="1094"/>
      <c r="BC33" s="1094"/>
      <c r="BD33" s="1094"/>
      <c r="BE33" s="1094"/>
      <c r="BF33" s="1094"/>
      <c r="BG33" s="1094"/>
      <c r="BH33" s="1094"/>
      <c r="BI33" s="1094"/>
      <c r="BJ33" s="1094"/>
      <c r="BK33" s="1094"/>
      <c r="BL33" s="1094"/>
      <c r="BM33" s="1094"/>
      <c r="BN33" s="1094"/>
      <c r="BO33" s="1094"/>
      <c r="BP33" s="1094"/>
      <c r="BQ33" s="1094"/>
      <c r="BR33" s="1094"/>
      <c r="BS33" s="1094"/>
      <c r="BT33" s="1094"/>
      <c r="BU33" s="1094"/>
      <c r="BV33" s="1094"/>
      <c r="BW33" s="1094"/>
      <c r="BX33" s="1094"/>
      <c r="BY33" s="1094"/>
      <c r="BZ33" s="1094"/>
      <c r="CA33" s="1094"/>
      <c r="CB33" s="1094"/>
      <c r="CC33" s="1094"/>
      <c r="CD33" s="1094"/>
      <c r="CE33" s="1094"/>
      <c r="CF33" s="1094"/>
      <c r="CG33" s="1094"/>
      <c r="CH33" s="1094"/>
      <c r="CI33" s="1094"/>
      <c r="CJ33" s="1094"/>
      <c r="CK33" s="1094"/>
      <c r="CL33" s="1094"/>
      <c r="CM33" s="1094"/>
      <c r="CN33" s="1094"/>
      <c r="CO33" s="1094"/>
      <c r="CP33" s="1094"/>
      <c r="CQ33" s="1094"/>
      <c r="CR33" s="1094"/>
      <c r="CS33" s="1741" t="s">
        <v>963</v>
      </c>
      <c r="CT33" s="1094"/>
      <c r="CU33" s="1094"/>
      <c r="CV33" s="1094"/>
      <c r="CW33" s="1094"/>
      <c r="CX33" s="1741"/>
      <c r="CY33" s="1094"/>
      <c r="CZ33" s="1094"/>
      <c r="DA33" s="1094"/>
      <c r="DB33" s="1094"/>
      <c r="DC33" s="1719"/>
      <c r="DD33" s="1718"/>
      <c r="DE33" s="1724"/>
      <c r="DF33" s="1725"/>
      <c r="DG33" s="1094"/>
      <c r="DH33" s="1094"/>
      <c r="DI33" s="1094"/>
      <c r="DJ33" s="1094"/>
      <c r="DK33" s="1094"/>
      <c r="DL33" s="1094"/>
      <c r="DM33" s="1094"/>
      <c r="DN33" s="1094"/>
      <c r="DO33" s="1094"/>
      <c r="DP33" s="1094"/>
      <c r="DQ33" s="1094"/>
      <c r="DR33" s="1094"/>
      <c r="DS33" s="1094"/>
      <c r="DT33" s="1094"/>
      <c r="DU33" s="1094"/>
      <c r="DV33" s="1094"/>
      <c r="DW33" s="1094"/>
      <c r="DX33" s="1094"/>
      <c r="DY33" s="1094"/>
      <c r="DZ33" s="1094"/>
      <c r="EA33" s="1094"/>
    </row>
    <row r="34" spans="1:131">
      <c r="A34" s="1094"/>
      <c r="B34" s="1088" t="s">
        <v>992</v>
      </c>
      <c r="C34" s="1094"/>
      <c r="D34" s="1094"/>
      <c r="E34" s="1094"/>
      <c r="F34" s="1094"/>
      <c r="G34" s="1094"/>
      <c r="H34" s="1094"/>
      <c r="I34" s="1094"/>
      <c r="J34" s="1094"/>
      <c r="K34" s="1094"/>
      <c r="L34" s="1094"/>
      <c r="M34" s="1094"/>
      <c r="N34" s="1094"/>
      <c r="O34" s="1094"/>
      <c r="P34" s="1094"/>
      <c r="Q34" s="1094"/>
      <c r="R34" s="1094"/>
      <c r="S34" s="1094"/>
      <c r="T34" s="1094"/>
      <c r="U34" s="1094"/>
      <c r="V34" s="1094"/>
      <c r="W34" s="1094"/>
      <c r="X34" s="1094"/>
      <c r="Y34" s="1094"/>
      <c r="Z34" s="1094"/>
      <c r="AA34" s="1094"/>
      <c r="AB34" s="1094"/>
      <c r="AC34" s="1094"/>
      <c r="AD34" s="1094"/>
      <c r="AE34" s="1094"/>
      <c r="AF34" s="1094"/>
      <c r="AG34" s="1094"/>
      <c r="AH34" s="1094"/>
      <c r="AI34" s="1094"/>
      <c r="AJ34" s="1094"/>
      <c r="AK34" s="1094"/>
      <c r="AL34" s="1094"/>
      <c r="AM34" s="1094"/>
      <c r="AN34" s="1094"/>
      <c r="AO34" s="1094"/>
      <c r="AP34" s="1094"/>
      <c r="AQ34" s="1094"/>
      <c r="AR34" s="1094"/>
      <c r="AS34" s="1094"/>
      <c r="AT34" s="1094"/>
      <c r="AU34" s="1094"/>
      <c r="AV34" s="1094"/>
      <c r="AW34" s="1094"/>
      <c r="AX34" s="1094"/>
      <c r="AY34" s="1094"/>
      <c r="AZ34" s="1094"/>
      <c r="BA34" s="1094"/>
      <c r="BB34" s="1094"/>
      <c r="BC34" s="1094"/>
      <c r="BD34" s="1094"/>
      <c r="BE34" s="1094"/>
      <c r="BF34" s="1094"/>
      <c r="BG34" s="1094"/>
      <c r="BH34" s="1094"/>
      <c r="BI34" s="1094"/>
      <c r="BJ34" s="1094"/>
      <c r="BK34" s="1094"/>
      <c r="BL34" s="1094"/>
      <c r="BM34" s="1094"/>
      <c r="BN34" s="1094"/>
      <c r="BO34" s="1094"/>
      <c r="BP34" s="1094"/>
      <c r="BQ34" s="1094"/>
      <c r="BR34" s="1094"/>
      <c r="BS34" s="1094"/>
      <c r="BT34" s="1094"/>
      <c r="BU34" s="1094"/>
      <c r="BV34" s="1094"/>
      <c r="BW34" s="1094"/>
      <c r="BX34" s="1094"/>
      <c r="BY34" s="1094"/>
      <c r="BZ34" s="1094"/>
      <c r="CA34" s="1094"/>
      <c r="CB34" s="1094"/>
      <c r="CC34" s="1094"/>
      <c r="CD34" s="1742"/>
      <c r="CE34" s="1743"/>
      <c r="CF34" s="1742"/>
      <c r="CG34" s="1742"/>
      <c r="CH34" s="1741"/>
      <c r="CI34" s="1094"/>
      <c r="CJ34" s="1094"/>
      <c r="CK34" s="1094"/>
      <c r="CL34" s="1094"/>
      <c r="CM34" s="1741"/>
      <c r="CN34" s="1742"/>
      <c r="CO34" s="1743"/>
      <c r="CP34" s="1742"/>
      <c r="CQ34" s="1742"/>
      <c r="CR34" s="1741"/>
      <c r="CS34" s="1742"/>
      <c r="CT34" s="1743"/>
      <c r="CU34" s="1742"/>
      <c r="CV34" s="1742"/>
      <c r="CW34" s="1741"/>
      <c r="CX34" s="1742"/>
      <c r="CY34" s="1743"/>
      <c r="CZ34" s="1742"/>
      <c r="DA34" s="1742"/>
      <c r="DB34" s="1741"/>
      <c r="DC34" s="1741"/>
      <c r="DD34" s="1741"/>
      <c r="DE34" s="1741"/>
      <c r="DF34" s="1094"/>
      <c r="DG34" s="1094"/>
      <c r="DH34" s="1094"/>
      <c r="DI34" s="1094"/>
      <c r="DJ34" s="1094"/>
      <c r="DK34" s="1094"/>
      <c r="DL34" s="1094"/>
      <c r="DM34" s="1094"/>
      <c r="DN34" s="1094"/>
      <c r="DO34" s="1094"/>
      <c r="DP34" s="1094"/>
      <c r="DQ34" s="1094"/>
      <c r="DR34" s="1094"/>
      <c r="DS34" s="1094"/>
      <c r="DT34" s="1094"/>
      <c r="DU34" s="1094"/>
      <c r="DV34" s="1094"/>
      <c r="DW34" s="1094"/>
      <c r="DX34" s="1094"/>
      <c r="DY34" s="1094"/>
      <c r="DZ34" s="1094"/>
      <c r="EA34" s="1094"/>
    </row>
    <row r="35" spans="1:131">
      <c r="A35" s="1094"/>
      <c r="B35" s="1094" t="s">
        <v>993</v>
      </c>
      <c r="C35" s="1094"/>
      <c r="D35" s="1094"/>
      <c r="E35" s="1094"/>
      <c r="F35" s="1094"/>
      <c r="G35" s="1094"/>
      <c r="H35" s="1094"/>
      <c r="I35" s="1094"/>
      <c r="J35" s="1094"/>
      <c r="K35" s="1094"/>
      <c r="L35" s="1094"/>
      <c r="M35" s="1094"/>
      <c r="N35" s="1094"/>
      <c r="O35" s="1094"/>
      <c r="P35" s="1094"/>
      <c r="Q35" s="1094"/>
      <c r="R35" s="1094"/>
      <c r="S35" s="1094"/>
      <c r="T35" s="1094"/>
      <c r="U35" s="1094"/>
      <c r="V35" s="1094"/>
      <c r="W35" s="1094"/>
      <c r="X35" s="1094"/>
      <c r="Y35" s="1094"/>
      <c r="Z35" s="1094"/>
      <c r="AA35" s="1094"/>
      <c r="AB35" s="1094"/>
      <c r="AC35" s="1094"/>
      <c r="AD35" s="1094"/>
      <c r="AE35" s="1094"/>
      <c r="AF35" s="1094"/>
      <c r="AG35" s="1094"/>
      <c r="AH35" s="1094"/>
      <c r="AI35" s="1094"/>
      <c r="AJ35" s="1094"/>
      <c r="AK35" s="1094"/>
      <c r="AL35" s="1094"/>
      <c r="AM35" s="1094"/>
      <c r="AN35" s="1094"/>
      <c r="AO35" s="1094"/>
      <c r="AP35" s="1094"/>
      <c r="AQ35" s="1094"/>
      <c r="AR35" s="1094"/>
      <c r="AS35" s="1094"/>
      <c r="AT35" s="1094"/>
      <c r="AU35" s="1094"/>
      <c r="AV35" s="1094"/>
      <c r="AW35" s="1094"/>
      <c r="AX35" s="1094"/>
      <c r="AY35" s="1094"/>
      <c r="AZ35" s="1094"/>
      <c r="BA35" s="1094"/>
      <c r="BB35" s="1094"/>
      <c r="BC35" s="1094"/>
      <c r="BD35" s="1094"/>
      <c r="BE35" s="1094"/>
      <c r="BF35" s="1094"/>
      <c r="BG35" s="1094"/>
      <c r="BH35" s="1094"/>
      <c r="BI35" s="1094"/>
      <c r="BJ35" s="1094"/>
      <c r="BK35" s="1094"/>
      <c r="BL35" s="1094"/>
      <c r="BM35" s="1094"/>
      <c r="BN35" s="1094"/>
      <c r="BO35" s="1094"/>
      <c r="BP35" s="1094"/>
      <c r="BQ35" s="1094"/>
      <c r="BR35" s="1094"/>
      <c r="BS35" s="1094"/>
      <c r="BT35" s="1094"/>
      <c r="BU35" s="1094"/>
      <c r="BV35" s="1094"/>
      <c r="BW35" s="1094"/>
      <c r="BX35" s="1094"/>
      <c r="BY35" s="1094"/>
      <c r="BZ35" s="1094"/>
      <c r="CA35" s="1094"/>
      <c r="CB35" s="1094"/>
      <c r="CC35" s="1094"/>
      <c r="CD35" s="1094"/>
      <c r="CE35" s="1094"/>
      <c r="CF35" s="1094"/>
      <c r="CG35" s="1094"/>
      <c r="CH35" s="1741"/>
      <c r="CI35" s="1094"/>
      <c r="CJ35" s="1094"/>
      <c r="CK35" s="1094"/>
      <c r="CL35" s="1094"/>
      <c r="CM35" s="1741"/>
      <c r="CN35" s="1094"/>
      <c r="CO35" s="1094"/>
      <c r="CP35" s="1094"/>
      <c r="CQ35" s="1094"/>
      <c r="CR35" s="1741"/>
      <c r="CS35" s="1094"/>
      <c r="CT35" s="1094"/>
      <c r="CU35" s="1094"/>
      <c r="CV35" s="1094"/>
      <c r="CW35" s="1741"/>
      <c r="CX35" s="1094"/>
      <c r="CY35" s="1094"/>
      <c r="CZ35" s="1094"/>
      <c r="DA35" s="1094"/>
      <c r="DB35" s="1741"/>
      <c r="DC35" s="1741"/>
      <c r="DD35" s="1741"/>
      <c r="DE35" s="1741"/>
      <c r="DF35" s="1094"/>
      <c r="DG35" s="1094"/>
      <c r="DH35" s="1094"/>
      <c r="DI35" s="1094"/>
      <c r="DJ35" s="1094"/>
      <c r="DK35" s="1094"/>
      <c r="DL35" s="1094"/>
      <c r="DM35" s="1094"/>
      <c r="DN35" s="1094"/>
      <c r="DO35" s="1094"/>
      <c r="DP35" s="1094"/>
      <c r="DQ35" s="1094"/>
      <c r="DR35" s="1094"/>
      <c r="DS35" s="1094"/>
      <c r="DT35" s="1094"/>
      <c r="DU35" s="1094"/>
      <c r="DV35" s="1094"/>
      <c r="DW35" s="1094"/>
      <c r="DX35" s="1094"/>
      <c r="DY35" s="1094"/>
      <c r="DZ35" s="1094"/>
      <c r="EA35" s="1094"/>
    </row>
    <row r="36" spans="1:131">
      <c r="A36" s="1094"/>
      <c r="B36" s="1094" t="s">
        <v>994</v>
      </c>
      <c r="C36" s="1094"/>
      <c r="D36" s="1094"/>
      <c r="E36" s="1094"/>
      <c r="F36" s="1094"/>
      <c r="G36" s="1094"/>
      <c r="H36" s="1094"/>
      <c r="I36" s="1094"/>
      <c r="J36" s="1094"/>
      <c r="K36" s="1094"/>
      <c r="L36" s="1094"/>
      <c r="M36" s="1094"/>
      <c r="N36" s="1094"/>
      <c r="O36" s="1094"/>
      <c r="P36" s="1094"/>
      <c r="Q36" s="1094"/>
      <c r="R36" s="1094"/>
      <c r="S36" s="1094"/>
      <c r="T36" s="1094"/>
      <c r="U36" s="1094"/>
      <c r="V36" s="1094"/>
      <c r="W36" s="1094"/>
      <c r="X36" s="1094"/>
      <c r="Y36" s="1094"/>
      <c r="Z36" s="1094"/>
      <c r="AA36" s="1094"/>
      <c r="AB36" s="1094"/>
      <c r="AC36" s="1094"/>
      <c r="AD36" s="1094"/>
      <c r="AE36" s="1094"/>
      <c r="AF36" s="1094"/>
      <c r="AG36" s="1094"/>
      <c r="AH36" s="1094"/>
      <c r="AI36" s="1094"/>
      <c r="AJ36" s="1094"/>
      <c r="AK36" s="1094"/>
      <c r="AL36" s="1094"/>
      <c r="AM36" s="1094"/>
      <c r="AN36" s="1094"/>
      <c r="AO36" s="1094"/>
      <c r="AP36" s="1094"/>
      <c r="AQ36" s="1094"/>
      <c r="AR36" s="1094"/>
      <c r="AS36" s="1094"/>
      <c r="AT36" s="1094"/>
      <c r="AU36" s="1094"/>
      <c r="AV36" s="1094"/>
      <c r="AW36" s="1094"/>
      <c r="AX36" s="1094"/>
      <c r="AY36" s="1094"/>
      <c r="AZ36" s="1094"/>
      <c r="BA36" s="1094"/>
      <c r="BB36" s="1094"/>
      <c r="BC36" s="1094"/>
      <c r="BD36" s="1094"/>
      <c r="BE36" s="1094"/>
      <c r="BF36" s="1094"/>
      <c r="BG36" s="1094"/>
      <c r="BH36" s="1094"/>
      <c r="BI36" s="1094"/>
      <c r="BJ36" s="1094"/>
      <c r="BK36" s="1094"/>
      <c r="BL36" s="1094"/>
      <c r="BM36" s="1094"/>
      <c r="BN36" s="1094"/>
      <c r="BO36" s="1094"/>
      <c r="BP36" s="1094"/>
      <c r="BQ36" s="1094"/>
      <c r="BR36" s="1094"/>
      <c r="BS36" s="1094"/>
      <c r="BT36" s="1094"/>
      <c r="BU36" s="1094"/>
      <c r="BV36" s="1094"/>
      <c r="BW36" s="1094"/>
      <c r="BX36" s="1094"/>
      <c r="BY36" s="1094"/>
      <c r="BZ36" s="1094"/>
      <c r="CA36" s="1094"/>
      <c r="CB36" s="1094"/>
      <c r="CC36" s="1094"/>
      <c r="CD36" s="1094"/>
      <c r="CE36" s="1094"/>
      <c r="CF36" s="1094"/>
      <c r="CG36" s="1094"/>
      <c r="CH36" s="1741"/>
      <c r="CI36" s="1094"/>
      <c r="CJ36" s="1094"/>
      <c r="CK36" s="1094"/>
      <c r="CL36" s="1094"/>
      <c r="CM36" s="1741"/>
      <c r="CN36" s="1094"/>
      <c r="CO36" s="1094"/>
      <c r="CP36" s="1094"/>
      <c r="CQ36" s="1094"/>
      <c r="CR36" s="1741"/>
      <c r="CS36" s="1094"/>
      <c r="CT36" s="1094"/>
      <c r="CU36" s="1094"/>
      <c r="CV36" s="1094"/>
      <c r="CW36" s="1741"/>
      <c r="CX36" s="1094"/>
      <c r="CY36" s="1094"/>
      <c r="CZ36" s="1094"/>
      <c r="DA36" s="1094"/>
      <c r="DB36" s="1741"/>
      <c r="DC36" s="1741"/>
      <c r="DD36" s="1741"/>
      <c r="DE36" s="1741"/>
      <c r="DF36" s="1094"/>
      <c r="DG36" s="1094"/>
      <c r="DH36" s="1094"/>
      <c r="DI36" s="1094"/>
      <c r="DJ36" s="1094"/>
      <c r="DK36" s="1094"/>
      <c r="DL36" s="1094"/>
      <c r="DM36" s="1094"/>
      <c r="DN36" s="1094"/>
      <c r="DO36" s="1094"/>
      <c r="DP36" s="1094"/>
      <c r="DQ36" s="1094"/>
      <c r="DR36" s="1094"/>
      <c r="DS36" s="1094"/>
      <c r="DT36" s="1094"/>
      <c r="DU36" s="1094"/>
      <c r="DV36" s="1094"/>
      <c r="DW36" s="1094"/>
      <c r="DX36" s="1094"/>
      <c r="DY36" s="1094"/>
      <c r="DZ36" s="1094"/>
      <c r="EA36" s="1094"/>
    </row>
    <row r="37" spans="1:131">
      <c r="A37" s="1094"/>
      <c r="B37" s="1094" t="s">
        <v>995</v>
      </c>
      <c r="C37" s="1094"/>
      <c r="D37" s="1094"/>
      <c r="E37" s="1094"/>
      <c r="F37" s="1094"/>
      <c r="G37" s="1094"/>
      <c r="H37" s="1094"/>
      <c r="I37" s="1094"/>
      <c r="J37" s="1094"/>
      <c r="K37" s="1094"/>
      <c r="L37" s="1094"/>
      <c r="M37" s="1094"/>
      <c r="N37" s="1094"/>
      <c r="O37" s="1094"/>
      <c r="P37" s="1094"/>
      <c r="Q37" s="1094"/>
      <c r="R37" s="1094"/>
      <c r="S37" s="1094"/>
      <c r="T37" s="1094"/>
      <c r="U37" s="1094"/>
      <c r="V37" s="1094"/>
      <c r="W37" s="1094"/>
      <c r="X37" s="1094"/>
      <c r="Y37" s="1094"/>
      <c r="Z37" s="1094"/>
      <c r="AA37" s="1094"/>
      <c r="AB37" s="1094"/>
      <c r="AC37" s="1094"/>
      <c r="AD37" s="1094"/>
      <c r="AE37" s="1094"/>
      <c r="AF37" s="1094"/>
      <c r="AG37" s="1094"/>
      <c r="AH37" s="1094"/>
      <c r="AI37" s="1094"/>
      <c r="AJ37" s="1094"/>
      <c r="AK37" s="1094"/>
      <c r="AL37" s="1094"/>
      <c r="AM37" s="1094"/>
      <c r="AN37" s="1094"/>
      <c r="AO37" s="1094"/>
      <c r="AP37" s="1094"/>
      <c r="AQ37" s="1094"/>
      <c r="AR37" s="1094"/>
      <c r="AS37" s="1094"/>
      <c r="AT37" s="1094"/>
      <c r="AU37" s="1094"/>
      <c r="AV37" s="1094"/>
      <c r="AW37" s="1094"/>
      <c r="AX37" s="1094"/>
      <c r="AY37" s="1094"/>
      <c r="AZ37" s="1094"/>
      <c r="BA37" s="1094"/>
      <c r="BB37" s="1094"/>
      <c r="BC37" s="1094"/>
      <c r="BD37" s="1094"/>
      <c r="BE37" s="1094"/>
      <c r="BF37" s="1094"/>
      <c r="BG37" s="1094"/>
      <c r="BH37" s="1094"/>
      <c r="BI37" s="1094"/>
      <c r="BJ37" s="1094"/>
      <c r="BK37" s="1094"/>
      <c r="BL37" s="1094"/>
      <c r="BM37" s="1094"/>
      <c r="BN37" s="1094"/>
      <c r="BO37" s="1094"/>
      <c r="BP37" s="1094"/>
      <c r="BQ37" s="1094"/>
      <c r="BR37" s="1094"/>
      <c r="BS37" s="1094"/>
      <c r="BT37" s="1094"/>
      <c r="BU37" s="1094"/>
      <c r="BV37" s="1094"/>
      <c r="BW37" s="1094"/>
      <c r="BX37" s="1094"/>
      <c r="BY37" s="1094"/>
      <c r="BZ37" s="1094"/>
      <c r="CA37" s="1094"/>
      <c r="CB37" s="1094"/>
      <c r="CC37" s="1094"/>
      <c r="CD37" s="1094"/>
      <c r="CE37" s="1094"/>
      <c r="CF37" s="1094"/>
      <c r="CG37" s="1094"/>
      <c r="CH37" s="1741"/>
      <c r="CI37" s="1094"/>
      <c r="CJ37" s="1094"/>
      <c r="CK37" s="1094"/>
      <c r="CL37" s="1094"/>
      <c r="CM37" s="1741"/>
      <c r="CN37" s="1094"/>
      <c r="CO37" s="1094"/>
      <c r="CP37" s="1094"/>
      <c r="CQ37" s="1094"/>
      <c r="CR37" s="1741"/>
      <c r="CS37" s="1094"/>
      <c r="CT37" s="1094"/>
      <c r="CU37" s="1094"/>
      <c r="CV37" s="1094"/>
      <c r="CW37" s="1741"/>
      <c r="CX37" s="1094"/>
      <c r="CY37" s="1094"/>
      <c r="CZ37" s="1094"/>
      <c r="DA37" s="1094"/>
      <c r="DB37" s="1741"/>
      <c r="DC37" s="1741"/>
      <c r="DD37" s="1741"/>
      <c r="DE37" s="1741"/>
      <c r="DF37" s="1094"/>
      <c r="DG37" s="1094"/>
      <c r="DH37" s="1094"/>
      <c r="DI37" s="1094"/>
      <c r="DJ37" s="1094"/>
      <c r="DK37" s="1094"/>
      <c r="DL37" s="1094"/>
      <c r="DM37" s="1094"/>
      <c r="DN37" s="1094"/>
      <c r="DO37" s="1094"/>
      <c r="DP37" s="1094"/>
      <c r="DQ37" s="1094"/>
      <c r="DR37" s="1094"/>
      <c r="DS37" s="1094"/>
      <c r="DT37" s="1094"/>
      <c r="DU37" s="1094"/>
      <c r="DV37" s="1094"/>
      <c r="DW37" s="1094"/>
      <c r="DX37" s="1094"/>
      <c r="DY37" s="1094"/>
      <c r="DZ37" s="1094"/>
      <c r="EA37" s="1094"/>
    </row>
    <row r="38" spans="1:131">
      <c r="A38" s="1094"/>
      <c r="B38" s="1094" t="s">
        <v>996</v>
      </c>
      <c r="C38" s="1094"/>
      <c r="D38" s="1094"/>
      <c r="E38" s="1094"/>
      <c r="F38" s="1094"/>
      <c r="G38" s="1094"/>
      <c r="H38" s="1094"/>
      <c r="I38" s="1094"/>
      <c r="J38" s="1094"/>
      <c r="K38" s="1094"/>
      <c r="L38" s="1094"/>
      <c r="M38" s="1094"/>
      <c r="N38" s="1094"/>
      <c r="O38" s="1094"/>
      <c r="P38" s="1094"/>
      <c r="Q38" s="1094"/>
      <c r="R38" s="1094"/>
      <c r="S38" s="1094"/>
      <c r="T38" s="1094"/>
      <c r="U38" s="1094"/>
      <c r="V38" s="1094"/>
      <c r="W38" s="1094"/>
      <c r="X38" s="1094"/>
      <c r="Y38" s="1094"/>
      <c r="Z38" s="1094"/>
      <c r="AA38" s="1094"/>
      <c r="AB38" s="1094"/>
      <c r="AC38" s="1094"/>
      <c r="AD38" s="1094"/>
      <c r="AE38" s="1094"/>
      <c r="AF38" s="1094"/>
      <c r="AG38" s="1094"/>
      <c r="AH38" s="1094"/>
      <c r="AI38" s="1094"/>
      <c r="AJ38" s="1094"/>
      <c r="AK38" s="1094"/>
      <c r="AL38" s="1094"/>
      <c r="AM38" s="1094"/>
      <c r="AN38" s="1094"/>
      <c r="AO38" s="1094"/>
      <c r="AP38" s="1094"/>
      <c r="AQ38" s="1094"/>
      <c r="AR38" s="1094"/>
      <c r="AS38" s="1094"/>
      <c r="AT38" s="1094"/>
      <c r="AU38" s="1094"/>
      <c r="AV38" s="1094"/>
      <c r="AW38" s="1094"/>
      <c r="AX38" s="1094"/>
      <c r="AY38" s="1094"/>
      <c r="AZ38" s="1094"/>
      <c r="BA38" s="1094"/>
      <c r="BB38" s="1094"/>
      <c r="BC38" s="1094"/>
      <c r="BD38" s="1094"/>
      <c r="BE38" s="1094"/>
      <c r="BF38" s="1094"/>
      <c r="BG38" s="1094"/>
      <c r="BH38" s="1094"/>
      <c r="BI38" s="1094"/>
      <c r="BJ38" s="1094"/>
      <c r="BK38" s="1094"/>
      <c r="BL38" s="1094"/>
      <c r="BM38" s="1094"/>
      <c r="BN38" s="1094"/>
      <c r="BO38" s="1094"/>
      <c r="BP38" s="1094"/>
      <c r="BQ38" s="1094"/>
      <c r="BR38" s="1094"/>
      <c r="BS38" s="1094"/>
      <c r="BT38" s="1094"/>
      <c r="BU38" s="1094"/>
      <c r="BV38" s="1094"/>
      <c r="BW38" s="1094"/>
      <c r="BX38" s="1094"/>
      <c r="BY38" s="1094"/>
      <c r="BZ38" s="1094"/>
      <c r="CA38" s="1094"/>
      <c r="CB38" s="1094"/>
      <c r="CC38" s="1094"/>
      <c r="CD38" s="1094"/>
      <c r="CE38" s="1094"/>
      <c r="CF38" s="1094"/>
      <c r="CG38" s="1094"/>
      <c r="CH38" s="1741"/>
      <c r="CI38" s="1094"/>
      <c r="CJ38" s="1094"/>
      <c r="CK38" s="1094"/>
      <c r="CL38" s="1094"/>
      <c r="CM38" s="1741"/>
      <c r="CN38" s="1094"/>
      <c r="CO38" s="1094"/>
      <c r="CP38" s="1094"/>
      <c r="CQ38" s="1094"/>
      <c r="CR38" s="1741"/>
      <c r="CS38" s="1094"/>
      <c r="CT38" s="1094"/>
      <c r="CU38" s="1094"/>
      <c r="CV38" s="1094"/>
      <c r="CW38" s="1741"/>
      <c r="CX38" s="1094"/>
      <c r="CY38" s="1094"/>
      <c r="CZ38" s="1094"/>
      <c r="DA38" s="1094"/>
      <c r="DB38" s="1741"/>
      <c r="DC38" s="1741"/>
      <c r="DD38" s="1741"/>
      <c r="DE38" s="1741"/>
      <c r="DF38" s="1094"/>
      <c r="DG38" s="1094"/>
      <c r="DH38" s="1094"/>
      <c r="DI38" s="1094"/>
      <c r="DJ38" s="1094"/>
      <c r="DK38" s="1094"/>
      <c r="DL38" s="1094"/>
      <c r="DM38" s="1094"/>
      <c r="DN38" s="1094"/>
      <c r="DO38" s="1094"/>
      <c r="DP38" s="1094"/>
      <c r="DQ38" s="1094"/>
      <c r="DR38" s="1094"/>
      <c r="DS38" s="1094"/>
      <c r="DT38" s="1094"/>
      <c r="DU38" s="1094"/>
      <c r="DV38" s="1094"/>
      <c r="DW38" s="1094"/>
      <c r="DX38" s="1094"/>
      <c r="DY38" s="1094"/>
      <c r="DZ38" s="1094"/>
      <c r="EA38" s="1094"/>
    </row>
    <row r="39" spans="1:131">
      <c r="A39" s="1094"/>
      <c r="B39" s="1094" t="s">
        <v>997</v>
      </c>
      <c r="C39" s="1088"/>
      <c r="D39" s="1094"/>
      <c r="E39" s="1094"/>
      <c r="F39" s="1094"/>
      <c r="G39" s="1094"/>
      <c r="H39" s="1094"/>
      <c r="I39" s="1094"/>
      <c r="J39" s="1094"/>
      <c r="K39" s="1094"/>
      <c r="L39" s="1094"/>
      <c r="M39" s="1094"/>
      <c r="N39" s="1094"/>
      <c r="O39" s="1094"/>
      <c r="P39" s="1094"/>
      <c r="Q39" s="1094"/>
      <c r="R39" s="1094"/>
      <c r="S39" s="1094"/>
      <c r="T39" s="1094"/>
      <c r="U39" s="1094"/>
      <c r="V39" s="1094"/>
      <c r="W39" s="1094"/>
      <c r="X39" s="1094"/>
      <c r="Y39" s="1094"/>
      <c r="Z39" s="1094"/>
      <c r="AA39" s="1094"/>
      <c r="AB39" s="1094"/>
      <c r="AC39" s="1094"/>
      <c r="AD39" s="1094"/>
      <c r="AE39" s="1094"/>
      <c r="AF39" s="1094"/>
      <c r="AG39" s="1094"/>
      <c r="AH39" s="1094"/>
      <c r="AI39" s="1094"/>
      <c r="AJ39" s="1094"/>
      <c r="AK39" s="1094"/>
      <c r="AL39" s="1094"/>
      <c r="AM39" s="1094"/>
      <c r="AN39" s="1094"/>
      <c r="AO39" s="1094"/>
      <c r="AP39" s="1094"/>
      <c r="AQ39" s="1094"/>
      <c r="AR39" s="1094"/>
      <c r="AS39" s="1094"/>
      <c r="AT39" s="1094"/>
      <c r="AU39" s="1094"/>
      <c r="AV39" s="1094"/>
      <c r="AW39" s="1094"/>
      <c r="AX39" s="1094"/>
      <c r="AY39" s="1094"/>
      <c r="AZ39" s="1094"/>
      <c r="BA39" s="1094"/>
      <c r="BB39" s="1094"/>
      <c r="BC39" s="1094"/>
      <c r="BD39" s="1094"/>
      <c r="BE39" s="1094"/>
      <c r="BF39" s="1094"/>
      <c r="BG39" s="1094"/>
      <c r="BH39" s="1094"/>
      <c r="BI39" s="1094"/>
      <c r="BJ39" s="1094"/>
      <c r="BK39" s="1094"/>
      <c r="BL39" s="1094"/>
      <c r="BM39" s="1094"/>
      <c r="BN39" s="1094"/>
      <c r="BO39" s="1094"/>
      <c r="BP39" s="1094"/>
      <c r="BQ39" s="1094"/>
      <c r="BR39" s="1094"/>
      <c r="BS39" s="1094"/>
      <c r="BT39" s="1094"/>
      <c r="BU39" s="1094"/>
      <c r="BV39" s="1094"/>
      <c r="BW39" s="1094"/>
      <c r="BX39" s="1094"/>
      <c r="BY39" s="1094"/>
      <c r="BZ39" s="1094"/>
      <c r="CA39" s="1094"/>
      <c r="CB39" s="1094"/>
      <c r="CC39" s="1094"/>
      <c r="CD39" s="1094"/>
      <c r="CE39" s="1094"/>
      <c r="CF39" s="1094"/>
      <c r="CG39" s="1094"/>
      <c r="CH39" s="1741"/>
      <c r="CI39" s="1094"/>
      <c r="CJ39" s="1094"/>
      <c r="CK39" s="1094"/>
      <c r="CL39" s="1094"/>
      <c r="CM39" s="1741"/>
      <c r="CN39" s="1094"/>
      <c r="CO39" s="1094"/>
      <c r="CP39" s="1094"/>
      <c r="CQ39" s="1094"/>
      <c r="CR39" s="1741"/>
      <c r="CS39" s="1094"/>
      <c r="CT39" s="1094"/>
      <c r="CU39" s="1094"/>
      <c r="CV39" s="1094"/>
      <c r="CW39" s="1741"/>
      <c r="CX39" s="1094"/>
      <c r="CY39" s="1094"/>
      <c r="CZ39" s="1094"/>
      <c r="DA39" s="1094"/>
      <c r="DB39" s="1741"/>
      <c r="DC39" s="1741"/>
      <c r="DD39" s="1741"/>
      <c r="DE39" s="1741"/>
      <c r="DF39" s="1094"/>
      <c r="DG39" s="1094"/>
      <c r="DH39" s="1094"/>
      <c r="DI39" s="1094"/>
      <c r="DJ39" s="1094"/>
      <c r="DK39" s="1094"/>
      <c r="DL39" s="1094"/>
      <c r="DM39" s="1094"/>
      <c r="DN39" s="1094"/>
      <c r="DO39" s="1094"/>
      <c r="DP39" s="1094"/>
      <c r="DQ39" s="1094"/>
      <c r="DR39" s="1094"/>
      <c r="DS39" s="1094"/>
      <c r="DT39" s="1094"/>
      <c r="DU39" s="1094"/>
      <c r="DV39" s="1094"/>
      <c r="DW39" s="1094"/>
      <c r="DX39" s="1094"/>
      <c r="DY39" s="1094"/>
      <c r="DZ39" s="1094"/>
      <c r="EA39" s="1094"/>
    </row>
    <row r="40" spans="1:131">
      <c r="A40" s="1094"/>
      <c r="B40" s="1094" t="s">
        <v>998</v>
      </c>
      <c r="C40" s="1094"/>
      <c r="D40" s="1094"/>
      <c r="E40" s="1094"/>
      <c r="F40" s="1094"/>
      <c r="G40" s="1094"/>
      <c r="H40" s="1094"/>
      <c r="I40" s="1094"/>
      <c r="J40" s="1094"/>
      <c r="K40" s="1094"/>
      <c r="L40" s="1094"/>
      <c r="M40" s="1094"/>
      <c r="N40" s="1094"/>
      <c r="O40" s="1094"/>
      <c r="P40" s="1094"/>
      <c r="Q40" s="1094"/>
      <c r="R40" s="1094"/>
      <c r="S40" s="1094"/>
      <c r="T40" s="1094"/>
      <c r="U40" s="1094"/>
      <c r="V40" s="1094"/>
      <c r="W40" s="1094"/>
      <c r="X40" s="1094"/>
      <c r="Y40" s="1094"/>
      <c r="Z40" s="1094"/>
      <c r="AA40" s="1094"/>
      <c r="AB40" s="1094"/>
      <c r="AC40" s="1094"/>
      <c r="AD40" s="1094"/>
      <c r="AE40" s="1094"/>
      <c r="AF40" s="1094"/>
      <c r="AG40" s="1094"/>
      <c r="AH40" s="1094"/>
      <c r="AI40" s="1094"/>
      <c r="AJ40" s="1094"/>
      <c r="AK40" s="1094"/>
      <c r="AL40" s="1094"/>
      <c r="AM40" s="1094"/>
      <c r="AN40" s="1094"/>
      <c r="AO40" s="1094"/>
      <c r="AP40" s="1094"/>
      <c r="AQ40" s="1094"/>
      <c r="AR40" s="1094"/>
      <c r="AS40" s="1094"/>
      <c r="AT40" s="1094"/>
      <c r="AU40" s="1094"/>
      <c r="AV40" s="1094"/>
      <c r="AW40" s="1094"/>
      <c r="AX40" s="1094"/>
      <c r="AY40" s="1094"/>
      <c r="AZ40" s="1094"/>
      <c r="BA40" s="1094"/>
      <c r="BB40" s="1094"/>
      <c r="BC40" s="1094"/>
      <c r="BD40" s="1094"/>
      <c r="BE40" s="1094"/>
      <c r="BF40" s="1094"/>
      <c r="BG40" s="1094"/>
      <c r="BH40" s="1094"/>
      <c r="BI40" s="1094"/>
      <c r="BJ40" s="1094"/>
      <c r="BK40" s="1094"/>
      <c r="BL40" s="1094"/>
      <c r="BM40" s="1094"/>
      <c r="BN40" s="1094"/>
      <c r="BO40" s="1094"/>
      <c r="BP40" s="1094"/>
      <c r="BQ40" s="1094"/>
      <c r="BR40" s="1094"/>
      <c r="BS40" s="1094"/>
      <c r="BT40" s="1094"/>
      <c r="BU40" s="1094"/>
      <c r="BV40" s="1094"/>
      <c r="BW40" s="1094"/>
      <c r="BX40" s="1094"/>
      <c r="BY40" s="1094"/>
      <c r="BZ40" s="1094"/>
      <c r="CA40" s="1094"/>
      <c r="CB40" s="1094"/>
      <c r="CC40" s="1094"/>
      <c r="CD40" s="1094"/>
      <c r="CE40" s="1094"/>
      <c r="CF40" s="1094"/>
      <c r="CG40" s="1094"/>
      <c r="CH40" s="1741"/>
      <c r="CI40" s="1094"/>
      <c r="CJ40" s="1094"/>
      <c r="CK40" s="1094"/>
      <c r="CL40" s="1094"/>
      <c r="CM40" s="1741"/>
      <c r="CN40" s="1094"/>
      <c r="CO40" s="1094"/>
      <c r="CP40" s="1094"/>
      <c r="CQ40" s="1094"/>
      <c r="CR40" s="1741"/>
      <c r="CS40" s="1094"/>
      <c r="CT40" s="1094"/>
      <c r="CU40" s="1094"/>
      <c r="CV40" s="1094"/>
      <c r="CW40" s="1741"/>
      <c r="CX40" s="1094"/>
      <c r="CY40" s="1094"/>
      <c r="CZ40" s="1094"/>
      <c r="DA40" s="1094"/>
      <c r="DB40" s="1741"/>
      <c r="DC40" s="1741"/>
      <c r="DD40" s="1741"/>
      <c r="DE40" s="1741"/>
      <c r="DF40" s="1094"/>
      <c r="DG40" s="1094"/>
      <c r="DH40" s="1094"/>
      <c r="DI40" s="1094"/>
      <c r="DJ40" s="1094"/>
      <c r="DK40" s="1094"/>
      <c r="DL40" s="1094"/>
      <c r="DM40" s="1094"/>
      <c r="DN40" s="1094"/>
      <c r="DO40" s="1094"/>
      <c r="DP40" s="1094"/>
      <c r="DQ40" s="1094"/>
      <c r="DR40" s="1094"/>
      <c r="DS40" s="1094"/>
      <c r="DT40" s="1094"/>
      <c r="DU40" s="1094"/>
      <c r="DV40" s="1094"/>
      <c r="DW40" s="1094"/>
      <c r="DX40" s="1094"/>
      <c r="DY40" s="1094"/>
      <c r="DZ40" s="1094"/>
      <c r="EA40" s="1094"/>
    </row>
    <row r="41" spans="1:131">
      <c r="A41" s="1094"/>
      <c r="B41" s="1094"/>
      <c r="C41" s="1094"/>
      <c r="D41" s="1094"/>
      <c r="E41" s="1094"/>
      <c r="F41" s="1094"/>
      <c r="G41" s="1094"/>
      <c r="H41" s="1094"/>
      <c r="I41" s="1094"/>
      <c r="J41" s="1094"/>
      <c r="K41" s="1094"/>
      <c r="L41" s="1094"/>
      <c r="M41" s="1094"/>
      <c r="N41" s="1094"/>
      <c r="O41" s="1094"/>
      <c r="P41" s="1094"/>
      <c r="Q41" s="1094"/>
      <c r="R41" s="1094"/>
      <c r="S41" s="1094"/>
      <c r="T41" s="1094"/>
      <c r="U41" s="1094"/>
      <c r="V41" s="1094"/>
      <c r="W41" s="1094"/>
      <c r="X41" s="1094"/>
      <c r="Y41" s="1094"/>
      <c r="Z41" s="1094"/>
      <c r="AA41" s="1094"/>
      <c r="AB41" s="1094"/>
      <c r="AC41" s="1094"/>
      <c r="AD41" s="1094"/>
      <c r="AE41" s="1094"/>
      <c r="AF41" s="1094"/>
      <c r="AG41" s="1094"/>
      <c r="AH41" s="1094"/>
      <c r="AI41" s="1094"/>
      <c r="AJ41" s="1094"/>
      <c r="AK41" s="1094"/>
      <c r="AL41" s="1094"/>
      <c r="AM41" s="1094"/>
      <c r="AN41" s="1094"/>
      <c r="AO41" s="1094"/>
      <c r="AP41" s="1094"/>
      <c r="AQ41" s="1094"/>
      <c r="AR41" s="1094"/>
      <c r="AS41" s="1094"/>
      <c r="AT41" s="1094"/>
      <c r="AU41" s="1094"/>
      <c r="AV41" s="1094"/>
      <c r="AW41" s="1094"/>
      <c r="AX41" s="1094"/>
      <c r="AY41" s="1094"/>
      <c r="AZ41" s="1094"/>
      <c r="BA41" s="1094"/>
      <c r="BB41" s="1094"/>
      <c r="BC41" s="1094"/>
      <c r="BD41" s="1094"/>
      <c r="BE41" s="1094"/>
      <c r="BF41" s="1094"/>
      <c r="BG41" s="1094"/>
      <c r="BH41" s="1094"/>
      <c r="BI41" s="1094"/>
      <c r="BJ41" s="1094"/>
      <c r="BK41" s="1094"/>
      <c r="BL41" s="1094"/>
      <c r="BM41" s="1094"/>
      <c r="BN41" s="1094"/>
      <c r="BO41" s="1094"/>
      <c r="BP41" s="1094"/>
      <c r="BQ41" s="1094"/>
      <c r="BR41" s="1094"/>
      <c r="BS41" s="1094"/>
      <c r="BT41" s="1094"/>
      <c r="BU41" s="1094"/>
      <c r="BV41" s="1094"/>
      <c r="BW41" s="1094"/>
      <c r="BX41" s="1094"/>
      <c r="BY41" s="1094"/>
      <c r="BZ41" s="1094"/>
      <c r="CA41" s="1094"/>
      <c r="CB41" s="1094"/>
      <c r="CC41" s="1094"/>
      <c r="CD41" s="1094"/>
      <c r="CE41" s="1094"/>
      <c r="CF41" s="1094"/>
      <c r="CG41" s="1094"/>
      <c r="CH41" s="1741"/>
      <c r="CI41" s="1094"/>
      <c r="CJ41" s="1094"/>
      <c r="CK41" s="1094"/>
      <c r="CL41" s="1094"/>
      <c r="CM41" s="1741"/>
      <c r="CN41" s="1094"/>
      <c r="CO41" s="1094"/>
      <c r="CP41" s="1094"/>
      <c r="CQ41" s="1094"/>
      <c r="CR41" s="1741"/>
      <c r="CS41" s="1094"/>
      <c r="CT41" s="1094"/>
      <c r="CU41" s="1094"/>
      <c r="CV41" s="1094"/>
      <c r="CW41" s="1741"/>
      <c r="CX41" s="1094"/>
      <c r="CY41" s="1094"/>
      <c r="CZ41" s="1094"/>
      <c r="DA41" s="1094"/>
      <c r="DB41" s="1741"/>
      <c r="DC41" s="1741"/>
      <c r="DD41" s="1741"/>
      <c r="DE41" s="1741"/>
      <c r="DF41" s="1094"/>
      <c r="DG41" s="1094"/>
      <c r="DH41" s="1094"/>
      <c r="DI41" s="1094"/>
      <c r="DJ41" s="1094"/>
      <c r="DK41" s="1094"/>
      <c r="DL41" s="1094"/>
      <c r="DM41" s="1094"/>
      <c r="DN41" s="1094"/>
      <c r="DO41" s="1094"/>
      <c r="DP41" s="1094"/>
      <c r="DQ41" s="1094"/>
      <c r="DR41" s="1094"/>
      <c r="DS41" s="1094"/>
      <c r="DT41" s="1094"/>
      <c r="DU41" s="1094"/>
      <c r="DV41" s="1094"/>
      <c r="DW41" s="1094"/>
      <c r="DX41" s="1094"/>
      <c r="DY41" s="1094"/>
      <c r="DZ41" s="1094"/>
      <c r="EA41" s="1094"/>
    </row>
    <row r="42" spans="1:131">
      <c r="A42" s="1094"/>
      <c r="B42" s="1094"/>
      <c r="C42" s="1094"/>
      <c r="D42" s="1094"/>
      <c r="E42" s="1094"/>
      <c r="F42" s="1094"/>
      <c r="G42" s="1094"/>
      <c r="H42" s="1094"/>
      <c r="I42" s="1094"/>
      <c r="J42" s="1094"/>
      <c r="K42" s="1094"/>
      <c r="L42" s="1094"/>
      <c r="M42" s="1094"/>
      <c r="N42" s="1094"/>
      <c r="O42" s="1094"/>
      <c r="P42" s="1094"/>
      <c r="Q42" s="1094"/>
      <c r="R42" s="1094"/>
      <c r="S42" s="1094"/>
      <c r="T42" s="1094"/>
      <c r="U42" s="1094"/>
      <c r="V42" s="1094"/>
      <c r="W42" s="1094"/>
      <c r="X42" s="1094"/>
      <c r="Y42" s="1094"/>
      <c r="Z42" s="1094"/>
      <c r="AA42" s="1094"/>
      <c r="AB42" s="1094"/>
      <c r="AC42" s="1094"/>
      <c r="AD42" s="1094"/>
      <c r="AE42" s="1094"/>
      <c r="AF42" s="1094"/>
      <c r="AG42" s="1094"/>
      <c r="AH42" s="1094"/>
      <c r="AI42" s="1094"/>
      <c r="AJ42" s="1094"/>
      <c r="AK42" s="1094"/>
      <c r="AL42" s="1094"/>
      <c r="AM42" s="1094"/>
      <c r="AN42" s="1094"/>
      <c r="AO42" s="1094"/>
      <c r="AP42" s="1094"/>
      <c r="AQ42" s="1094"/>
      <c r="AR42" s="1094"/>
      <c r="AS42" s="1094"/>
      <c r="AT42" s="1094"/>
      <c r="AU42" s="1094"/>
      <c r="AV42" s="1094"/>
      <c r="AW42" s="1094"/>
      <c r="AX42" s="1094"/>
      <c r="AY42" s="1094"/>
      <c r="AZ42" s="1094"/>
      <c r="BA42" s="1094"/>
      <c r="BB42" s="1094"/>
      <c r="BC42" s="1094"/>
      <c r="BD42" s="1094"/>
      <c r="BE42" s="1094"/>
      <c r="BF42" s="1094"/>
      <c r="BG42" s="1094"/>
      <c r="BH42" s="1094"/>
      <c r="BI42" s="1094"/>
      <c r="BJ42" s="1094"/>
      <c r="BK42" s="1094"/>
      <c r="BL42" s="1094"/>
      <c r="BM42" s="1094"/>
      <c r="BN42" s="1094"/>
      <c r="BO42" s="1094"/>
      <c r="BP42" s="1094"/>
      <c r="BQ42" s="1094"/>
      <c r="BR42" s="1094"/>
      <c r="BS42" s="1094"/>
      <c r="BT42" s="1094"/>
      <c r="BU42" s="1094"/>
      <c r="BV42" s="1094"/>
      <c r="BW42" s="1094"/>
      <c r="BX42" s="1094"/>
      <c r="BY42" s="1094"/>
      <c r="BZ42" s="1094"/>
      <c r="CA42" s="1094"/>
      <c r="CB42" s="1094"/>
      <c r="CC42" s="1094"/>
      <c r="CD42" s="1094"/>
      <c r="CE42" s="1094"/>
      <c r="CF42" s="1094"/>
      <c r="CG42" s="1094"/>
      <c r="CH42" s="1741"/>
      <c r="CI42" s="1094"/>
      <c r="CJ42" s="1094"/>
      <c r="CK42" s="1094"/>
      <c r="CL42" s="1094"/>
      <c r="CM42" s="1741"/>
      <c r="CN42" s="1094"/>
      <c r="CO42" s="1094"/>
      <c r="CP42" s="1094"/>
      <c r="CQ42" s="1094"/>
      <c r="CR42" s="1741"/>
      <c r="CS42" s="1094"/>
      <c r="CT42" s="1094"/>
      <c r="CU42" s="1094"/>
      <c r="CV42" s="1094"/>
      <c r="CW42" s="1741"/>
      <c r="CX42" s="1094"/>
      <c r="CY42" s="1094"/>
      <c r="CZ42" s="1094"/>
      <c r="DA42" s="1094"/>
      <c r="DB42" s="1741"/>
      <c r="DC42" s="1741"/>
      <c r="DD42" s="1741"/>
      <c r="DE42" s="1741"/>
      <c r="DF42" s="1094"/>
      <c r="DG42" s="1094"/>
      <c r="DH42" s="1094"/>
      <c r="DI42" s="1094"/>
      <c r="DJ42" s="1094"/>
      <c r="DK42" s="1094"/>
      <c r="DL42" s="1094"/>
      <c r="DM42" s="1094"/>
      <c r="DN42" s="1094"/>
      <c r="DO42" s="1094"/>
      <c r="DP42" s="1094"/>
      <c r="DQ42" s="1094"/>
      <c r="DR42" s="1094"/>
      <c r="DS42" s="1094"/>
      <c r="DT42" s="1094"/>
      <c r="DU42" s="1094"/>
      <c r="DV42" s="1094"/>
      <c r="DW42" s="1094"/>
      <c r="DX42" s="1094"/>
      <c r="DY42" s="1094"/>
      <c r="DZ42" s="1094"/>
      <c r="EA42" s="1094"/>
    </row>
    <row r="43" spans="1:131">
      <c r="A43" s="1094"/>
      <c r="B43" s="1094"/>
      <c r="C43" s="1094"/>
      <c r="D43" s="1094"/>
      <c r="E43" s="1094"/>
      <c r="F43" s="1094"/>
      <c r="G43" s="1094"/>
      <c r="H43" s="1094"/>
      <c r="I43" s="1094"/>
      <c r="J43" s="1094"/>
      <c r="K43" s="1094"/>
      <c r="L43" s="1094"/>
      <c r="M43" s="1094"/>
      <c r="N43" s="1094"/>
      <c r="O43" s="1094"/>
      <c r="P43" s="1094"/>
      <c r="Q43" s="1094"/>
      <c r="R43" s="1094"/>
      <c r="S43" s="1094"/>
      <c r="T43" s="1094"/>
      <c r="U43" s="1094"/>
      <c r="V43" s="1094"/>
      <c r="W43" s="1094"/>
      <c r="X43" s="1094"/>
      <c r="Y43" s="1094"/>
      <c r="Z43" s="1094"/>
      <c r="AA43" s="1094"/>
      <c r="AB43" s="1094"/>
      <c r="AC43" s="1094"/>
      <c r="AD43" s="1094"/>
      <c r="AE43" s="1094"/>
      <c r="AF43" s="1094"/>
      <c r="AG43" s="1094"/>
      <c r="AH43" s="1094"/>
      <c r="AI43" s="1094"/>
      <c r="AJ43" s="1094"/>
      <c r="AK43" s="1094"/>
      <c r="AL43" s="1094"/>
      <c r="AM43" s="1094"/>
      <c r="AN43" s="1094"/>
      <c r="AO43" s="1094"/>
      <c r="AP43" s="1094"/>
      <c r="AQ43" s="1094"/>
      <c r="AR43" s="1094"/>
      <c r="AS43" s="1094"/>
      <c r="AT43" s="1094"/>
      <c r="AU43" s="1094"/>
      <c r="AV43" s="1094"/>
      <c r="AW43" s="1094"/>
      <c r="AX43" s="1094"/>
      <c r="AY43" s="1094"/>
      <c r="AZ43" s="1094"/>
      <c r="BA43" s="1094"/>
      <c r="BB43" s="1094"/>
      <c r="BC43" s="1094"/>
      <c r="BD43" s="1094"/>
      <c r="BE43" s="1094"/>
      <c r="BF43" s="1094"/>
      <c r="BG43" s="1094"/>
      <c r="BH43" s="1094"/>
      <c r="BI43" s="1094"/>
      <c r="BJ43" s="1094"/>
      <c r="BK43" s="1094"/>
      <c r="BL43" s="1094"/>
      <c r="BM43" s="1094"/>
      <c r="BN43" s="1094"/>
      <c r="BO43" s="1094"/>
      <c r="BP43" s="1094"/>
      <c r="BQ43" s="1094"/>
      <c r="BR43" s="1094"/>
      <c r="BS43" s="1094"/>
      <c r="BT43" s="1094"/>
      <c r="BU43" s="1094"/>
      <c r="BV43" s="1094"/>
      <c r="BW43" s="1094"/>
      <c r="BX43" s="1094"/>
      <c r="BY43" s="1094"/>
      <c r="BZ43" s="1094"/>
      <c r="CA43" s="1094"/>
      <c r="CB43" s="1094"/>
      <c r="CC43" s="1094"/>
      <c r="CD43" s="1094"/>
      <c r="CE43" s="1094"/>
      <c r="CF43" s="1094"/>
      <c r="CG43" s="1094"/>
      <c r="CH43" s="1741"/>
      <c r="CI43" s="1094"/>
      <c r="CJ43" s="1094"/>
      <c r="CK43" s="1094"/>
      <c r="CL43" s="1094"/>
      <c r="CM43" s="1741"/>
      <c r="CN43" s="1094"/>
      <c r="CO43" s="1094"/>
      <c r="CP43" s="1094"/>
      <c r="CQ43" s="1094"/>
      <c r="CR43" s="1741"/>
      <c r="CS43" s="1094"/>
      <c r="CT43" s="1094"/>
      <c r="CU43" s="1094"/>
      <c r="CV43" s="1094"/>
      <c r="CW43" s="1741"/>
      <c r="CX43" s="1094"/>
      <c r="CY43" s="1094"/>
      <c r="CZ43" s="1094"/>
      <c r="DA43" s="1094"/>
      <c r="DB43" s="1741"/>
      <c r="DC43" s="1741"/>
      <c r="DD43" s="1741"/>
      <c r="DE43" s="1741"/>
      <c r="DF43" s="1094"/>
      <c r="DG43" s="1094"/>
      <c r="DH43" s="1094"/>
      <c r="DI43" s="1094"/>
      <c r="DJ43" s="1094"/>
      <c r="DK43" s="1094"/>
      <c r="DL43" s="1094"/>
      <c r="DM43" s="1094"/>
      <c r="DN43" s="1094"/>
      <c r="DO43" s="1094"/>
      <c r="DP43" s="1094"/>
      <c r="DQ43" s="1094"/>
      <c r="DR43" s="1094"/>
      <c r="DS43" s="1094"/>
      <c r="DT43" s="1094"/>
      <c r="DU43" s="1094"/>
      <c r="DV43" s="1094"/>
      <c r="DW43" s="1094"/>
      <c r="DX43" s="1094"/>
      <c r="DY43" s="1094"/>
      <c r="DZ43" s="1094"/>
      <c r="EA43" s="1094"/>
    </row>
    <row r="44" spans="1:131">
      <c r="A44" s="1094"/>
      <c r="B44" s="1094"/>
      <c r="C44" s="1094"/>
      <c r="D44" s="1094"/>
      <c r="E44" s="1094"/>
      <c r="F44" s="1094"/>
      <c r="G44" s="1094"/>
      <c r="H44" s="1094"/>
      <c r="I44" s="1094"/>
      <c r="J44" s="1094"/>
      <c r="K44" s="1094"/>
      <c r="L44" s="1094"/>
      <c r="M44" s="1094"/>
      <c r="N44" s="1094"/>
      <c r="O44" s="1094"/>
      <c r="P44" s="1094"/>
      <c r="Q44" s="1094"/>
      <c r="R44" s="1094"/>
      <c r="S44" s="1094"/>
      <c r="T44" s="1094"/>
      <c r="U44" s="1094"/>
      <c r="V44" s="1094"/>
      <c r="W44" s="1094"/>
      <c r="X44" s="1094"/>
      <c r="Y44" s="1094"/>
      <c r="Z44" s="1094"/>
      <c r="AA44" s="1094"/>
      <c r="AB44" s="1094"/>
      <c r="AC44" s="1094"/>
      <c r="AD44" s="1094"/>
      <c r="AE44" s="1094"/>
      <c r="AF44" s="1094"/>
      <c r="AG44" s="1094"/>
      <c r="AH44" s="1094"/>
      <c r="AI44" s="1094"/>
      <c r="AJ44" s="1094"/>
      <c r="AK44" s="1094"/>
      <c r="AL44" s="1094"/>
      <c r="AM44" s="1094"/>
      <c r="AN44" s="1094"/>
      <c r="AO44" s="1094"/>
      <c r="AP44" s="1094"/>
      <c r="AQ44" s="1094"/>
      <c r="AR44" s="1094"/>
      <c r="AS44" s="1094"/>
      <c r="AT44" s="1094"/>
      <c r="AU44" s="1094"/>
      <c r="AV44" s="1094"/>
      <c r="AW44" s="1094"/>
      <c r="AX44" s="1094"/>
      <c r="AY44" s="1094"/>
      <c r="AZ44" s="1094"/>
      <c r="BA44" s="1094"/>
      <c r="BB44" s="1094"/>
      <c r="BC44" s="1094"/>
      <c r="BD44" s="1094"/>
      <c r="BE44" s="1094"/>
      <c r="BF44" s="1094"/>
      <c r="BG44" s="1094"/>
      <c r="BH44" s="1094"/>
      <c r="BI44" s="1094"/>
      <c r="BJ44" s="1094"/>
      <c r="BK44" s="1094"/>
      <c r="BL44" s="1094"/>
      <c r="BM44" s="1094"/>
      <c r="BN44" s="1094"/>
      <c r="BO44" s="1094"/>
      <c r="BP44" s="1094"/>
      <c r="BQ44" s="1094"/>
      <c r="BR44" s="1094"/>
      <c r="BS44" s="1094"/>
      <c r="BT44" s="1094"/>
      <c r="BU44" s="1094"/>
      <c r="BV44" s="1094"/>
      <c r="BW44" s="1094"/>
      <c r="BX44" s="1094"/>
      <c r="BY44" s="1094"/>
      <c r="BZ44" s="1094"/>
      <c r="CA44" s="1094"/>
      <c r="CB44" s="1094"/>
      <c r="CC44" s="1094"/>
      <c r="CD44" s="1094"/>
      <c r="CE44" s="1094"/>
      <c r="CF44" s="1094"/>
      <c r="CG44" s="1094"/>
      <c r="CH44" s="1741"/>
      <c r="CI44" s="1094"/>
      <c r="CJ44" s="1094"/>
      <c r="CK44" s="1094"/>
      <c r="CL44" s="1094"/>
      <c r="CM44" s="1741"/>
      <c r="CN44" s="1094"/>
      <c r="CO44" s="1094"/>
      <c r="CP44" s="1094"/>
      <c r="CQ44" s="1094"/>
      <c r="CR44" s="1741"/>
      <c r="CS44" s="1094"/>
      <c r="CT44" s="1094"/>
      <c r="CU44" s="1094"/>
      <c r="CV44" s="1094"/>
      <c r="CW44" s="1741"/>
      <c r="CX44" s="1094"/>
      <c r="CY44" s="1094"/>
      <c r="CZ44" s="1094"/>
      <c r="DA44" s="1094"/>
      <c r="DB44" s="1741"/>
      <c r="DC44" s="1741"/>
      <c r="DD44" s="1741"/>
      <c r="DE44" s="1741"/>
      <c r="DF44" s="1094"/>
      <c r="DG44" s="1094"/>
      <c r="DH44" s="1094"/>
      <c r="DI44" s="1094"/>
      <c r="DJ44" s="1094"/>
      <c r="DK44" s="1094"/>
      <c r="DL44" s="1094"/>
      <c r="DM44" s="1094"/>
      <c r="DN44" s="1094"/>
      <c r="DO44" s="1094"/>
      <c r="DP44" s="1094"/>
      <c r="DQ44" s="1094"/>
      <c r="DR44" s="1094"/>
      <c r="DS44" s="1094"/>
      <c r="DT44" s="1094"/>
      <c r="DU44" s="1094"/>
      <c r="DV44" s="1094"/>
      <c r="DW44" s="1094"/>
      <c r="DX44" s="1094"/>
      <c r="DY44" s="1094"/>
      <c r="DZ44" s="1094"/>
      <c r="EA44" s="1094"/>
    </row>
    <row r="45" spans="1:131">
      <c r="A45" s="1094"/>
      <c r="B45" s="1094"/>
      <c r="C45" s="1094"/>
      <c r="D45" s="1094"/>
      <c r="E45" s="1094"/>
      <c r="F45" s="1094"/>
      <c r="G45" s="1094"/>
      <c r="H45" s="1094"/>
      <c r="I45" s="1094"/>
      <c r="J45" s="1094"/>
      <c r="K45" s="1094"/>
      <c r="L45" s="1094"/>
      <c r="M45" s="1094"/>
      <c r="N45" s="1094"/>
      <c r="O45" s="1094"/>
      <c r="P45" s="1094"/>
      <c r="Q45" s="1094"/>
      <c r="R45" s="1094"/>
      <c r="S45" s="1094"/>
      <c r="T45" s="1094"/>
      <c r="U45" s="1094"/>
      <c r="V45" s="1094"/>
      <c r="W45" s="1094"/>
      <c r="X45" s="1094"/>
      <c r="Y45" s="1094"/>
      <c r="Z45" s="1094"/>
      <c r="AA45" s="1094"/>
      <c r="AB45" s="1094"/>
      <c r="AC45" s="1094"/>
      <c r="AD45" s="1094"/>
      <c r="AE45" s="1094"/>
      <c r="AF45" s="1094"/>
      <c r="AG45" s="1094"/>
      <c r="AH45" s="1094"/>
      <c r="AI45" s="1094"/>
      <c r="AJ45" s="1094"/>
      <c r="AK45" s="1094"/>
      <c r="AL45" s="1094"/>
      <c r="AM45" s="1094"/>
      <c r="AN45" s="1094"/>
      <c r="AO45" s="1094"/>
      <c r="AP45" s="1094"/>
      <c r="AQ45" s="1094"/>
      <c r="AR45" s="1094"/>
      <c r="AS45" s="1094"/>
      <c r="AT45" s="1094"/>
      <c r="AU45" s="1094"/>
      <c r="AV45" s="1094"/>
      <c r="AW45" s="1094"/>
      <c r="AX45" s="1094"/>
      <c r="AY45" s="1094"/>
      <c r="AZ45" s="1094"/>
      <c r="BA45" s="1094"/>
      <c r="BB45" s="1094"/>
      <c r="BC45" s="1094"/>
      <c r="BD45" s="1094"/>
      <c r="BE45" s="1094"/>
      <c r="BF45" s="1094"/>
      <c r="BG45" s="1094"/>
      <c r="BH45" s="1094"/>
      <c r="BI45" s="1094"/>
      <c r="BJ45" s="1094"/>
      <c r="BK45" s="1094"/>
      <c r="BL45" s="1094"/>
      <c r="BM45" s="1094"/>
      <c r="BN45" s="1094"/>
      <c r="BO45" s="1094"/>
      <c r="BP45" s="1094"/>
      <c r="BQ45" s="1094"/>
      <c r="BR45" s="1094"/>
      <c r="BS45" s="1094"/>
      <c r="BT45" s="1094"/>
      <c r="BU45" s="1094"/>
      <c r="BV45" s="1094"/>
      <c r="BW45" s="1094"/>
      <c r="BX45" s="1094"/>
      <c r="BY45" s="1094"/>
      <c r="BZ45" s="1094"/>
      <c r="CA45" s="1094"/>
      <c r="CB45" s="1094"/>
      <c r="CC45" s="1094"/>
      <c r="CD45" s="1094"/>
      <c r="CE45" s="1094"/>
      <c r="CF45" s="1094"/>
      <c r="CG45" s="1094"/>
      <c r="CH45" s="1741"/>
      <c r="CI45" s="1094"/>
      <c r="CJ45" s="1094"/>
      <c r="CK45" s="1094"/>
      <c r="CL45" s="1094"/>
      <c r="CM45" s="1741"/>
      <c r="CN45" s="1094"/>
      <c r="CO45" s="1094"/>
      <c r="CP45" s="1094"/>
      <c r="CQ45" s="1094"/>
      <c r="CR45" s="1741"/>
      <c r="CS45" s="1094"/>
      <c r="CT45" s="1094"/>
      <c r="CU45" s="1094"/>
      <c r="CV45" s="1094"/>
      <c r="CW45" s="1741"/>
      <c r="CX45" s="1094"/>
      <c r="CY45" s="1094"/>
      <c r="CZ45" s="1094"/>
      <c r="DA45" s="1094"/>
      <c r="DB45" s="1741"/>
      <c r="DC45" s="1741"/>
      <c r="DD45" s="1741"/>
      <c r="DE45" s="1741"/>
      <c r="DF45" s="1094"/>
      <c r="DG45" s="1094"/>
      <c r="DH45" s="1094"/>
      <c r="DI45" s="1094"/>
      <c r="DJ45" s="1094"/>
      <c r="DK45" s="1094"/>
      <c r="DL45" s="1094"/>
      <c r="DM45" s="1094"/>
      <c r="DN45" s="1094"/>
      <c r="DO45" s="1094"/>
      <c r="DP45" s="1094"/>
      <c r="DQ45" s="1094"/>
      <c r="DR45" s="1094"/>
      <c r="DS45" s="1094"/>
      <c r="DT45" s="1094"/>
      <c r="DU45" s="1094"/>
      <c r="DV45" s="1094"/>
      <c r="DW45" s="1094"/>
      <c r="DX45" s="1094"/>
      <c r="DY45" s="1094"/>
      <c r="DZ45" s="1094"/>
      <c r="EA45" s="1094"/>
    </row>
    <row r="46" spans="1:131">
      <c r="CH46" s="567"/>
      <c r="CM46" s="567"/>
      <c r="CR46" s="567"/>
      <c r="CW46" s="567"/>
      <c r="DB46" s="567"/>
      <c r="DC46" s="567"/>
      <c r="DD46" s="567"/>
      <c r="DE46" s="567"/>
    </row>
    <row r="47" spans="1:131">
      <c r="CH47" s="567"/>
      <c r="CM47" s="567"/>
      <c r="CR47" s="567"/>
      <c r="CW47" s="567"/>
      <c r="DB47" s="567"/>
      <c r="DC47" s="567"/>
      <c r="DD47" s="567"/>
      <c r="DE47" s="567"/>
    </row>
    <row r="48" spans="1:131">
      <c r="CH48" s="567"/>
      <c r="CM48" s="567"/>
      <c r="CR48" s="567"/>
      <c r="CW48" s="567"/>
      <c r="DB48" s="567"/>
      <c r="DC48" s="567"/>
      <c r="DD48" s="567"/>
      <c r="DE48" s="567"/>
    </row>
    <row r="49" spans="81:109">
      <c r="CH49" s="567"/>
      <c r="CM49" s="567"/>
      <c r="CR49" s="567"/>
      <c r="CW49" s="567"/>
      <c r="DB49" s="567"/>
      <c r="DC49" s="567"/>
      <c r="DD49" s="567"/>
      <c r="DE49" s="567"/>
    </row>
    <row r="50" spans="81:109">
      <c r="CH50" s="567"/>
      <c r="CM50" s="567"/>
      <c r="CR50" s="567"/>
      <c r="CW50" s="567"/>
      <c r="DB50" s="567"/>
      <c r="DC50" s="567"/>
      <c r="DD50" s="567"/>
      <c r="DE50" s="567"/>
    </row>
    <row r="51" spans="81:109">
      <c r="CH51" s="567"/>
      <c r="CM51" s="567"/>
      <c r="CR51" s="567"/>
      <c r="CW51" s="567"/>
      <c r="DB51" s="567"/>
      <c r="DC51" s="567"/>
      <c r="DD51" s="567"/>
      <c r="DE51" s="567"/>
    </row>
    <row r="52" spans="81:109">
      <c r="CH52" s="567"/>
      <c r="CM52" s="567"/>
      <c r="CR52" s="567"/>
      <c r="CW52" s="567"/>
      <c r="DB52" s="567"/>
      <c r="DC52" s="567"/>
      <c r="DD52" s="567"/>
      <c r="DE52" s="567"/>
    </row>
    <row r="53" spans="81:109">
      <c r="CH53" s="567"/>
      <c r="CM53" s="567"/>
      <c r="CR53" s="567"/>
      <c r="CW53" s="567"/>
      <c r="DB53" s="567"/>
      <c r="DC53" s="567"/>
      <c r="DD53" s="567"/>
      <c r="DE53" s="567"/>
    </row>
    <row r="54" spans="81:109">
      <c r="CH54" s="567"/>
      <c r="CM54" s="567"/>
      <c r="CR54" s="567"/>
      <c r="CW54" s="567"/>
      <c r="DB54" s="567"/>
      <c r="DC54" s="567"/>
      <c r="DD54" s="567"/>
      <c r="DE54" s="567"/>
    </row>
    <row r="55" spans="81:109">
      <c r="CH55" s="567"/>
      <c r="CM55" s="567"/>
      <c r="CR55" s="567"/>
      <c r="CW55" s="567"/>
      <c r="DB55" s="567"/>
      <c r="DC55" s="567"/>
      <c r="DD55" s="567"/>
      <c r="DE55" s="567"/>
    </row>
    <row r="56" spans="81:109">
      <c r="CH56" s="567"/>
      <c r="CM56" s="567"/>
      <c r="CR56" s="567"/>
      <c r="CW56" s="567"/>
      <c r="DB56" s="567"/>
      <c r="DC56" s="567"/>
      <c r="DD56" s="567"/>
      <c r="DE56" s="567"/>
    </row>
    <row r="57" spans="81:109">
      <c r="CH57" s="567"/>
      <c r="CM57" s="567"/>
      <c r="CR57" s="567"/>
      <c r="CW57" s="567"/>
      <c r="DB57" s="567"/>
      <c r="DC57" s="567"/>
      <c r="DD57" s="567"/>
      <c r="DE57" s="567"/>
    </row>
    <row r="58" spans="81:109">
      <c r="CH58" s="567"/>
      <c r="CM58" s="567"/>
      <c r="CR58" s="567"/>
      <c r="CW58" s="567"/>
      <c r="DB58" s="567"/>
      <c r="DC58" s="567"/>
      <c r="DD58" s="567"/>
      <c r="DE58" s="567"/>
    </row>
    <row r="59" spans="81:109">
      <c r="CC59" s="567"/>
      <c r="CH59" s="567"/>
      <c r="CM59" s="567"/>
    </row>
  </sheetData>
  <sheetProtection algorithmName="SHA-512" hashValue="eQ2Ma8x3LJFDp1NKbcIdYvV9CZEFxr++l2x+LG1bhyQ7PrqzT4IGCToyvYNikny4AZV8icgBRDIdsR9fI0tQUw==" saltValue="UfNlZ8tk4/pC/Zjrm3fumA==" spinCount="100000" sheet="1" objects="1" scenarios="1"/>
  <mergeCells count="26">
    <mergeCell ref="BJ5:BM5"/>
    <mergeCell ref="B5:E5"/>
    <mergeCell ref="G5:J5"/>
    <mergeCell ref="L5:O5"/>
    <mergeCell ref="Q5:T5"/>
    <mergeCell ref="V5:Y5"/>
    <mergeCell ref="AA5:AD5"/>
    <mergeCell ref="AF5:AI5"/>
    <mergeCell ref="AK5:AN5"/>
    <mergeCell ref="AP5:AS5"/>
    <mergeCell ref="AU5:AX5"/>
    <mergeCell ref="AZ5:BC5"/>
    <mergeCell ref="BE5:BH5"/>
    <mergeCell ref="BO5:BR5"/>
    <mergeCell ref="BT5:BW5"/>
    <mergeCell ref="BY5:CB5"/>
    <mergeCell ref="CD5:CG5"/>
    <mergeCell ref="CI5:CL5"/>
    <mergeCell ref="DR5:DU5"/>
    <mergeCell ref="DW5:DZ5"/>
    <mergeCell ref="CN5:CQ5"/>
    <mergeCell ref="CS5:CV5"/>
    <mergeCell ref="CX5:DA5"/>
    <mergeCell ref="DC5:DF5"/>
    <mergeCell ref="DH5:DK5"/>
    <mergeCell ref="DM5:DP5"/>
  </mergeCells>
  <conditionalFormatting sqref="DZ7:DZ8 DK7:DK20 DU7:DU21 DA7:DA24 AI7:AI27 DP7:DP27 AD7:AD28 BM7:BM28 BR7:BR28 CG7:CG28 DF7:DF28 E7:E30 O7:O30 Y7:Y30 BC7:BC30 CL7:CL30 CQ7:CQ30 T7:T31 BH7:BH31 BW7:BW31 CB7:CB31 J7:J32 AN7:AN32 AS7:AS32 AX7:AX32 CV7:CV32">
    <cfRule type="cellIs" dxfId="0" priority="1" operator="equal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4EBB-AFB4-6B4D-B829-89391741EDA2}">
  <sheetPr>
    <tabColor rgb="FF9BBB59"/>
  </sheetPr>
  <dimension ref="A1:AF77"/>
  <sheetViews>
    <sheetView workbookViewId="0">
      <selection activeCell="B2" sqref="B2"/>
    </sheetView>
  </sheetViews>
  <sheetFormatPr baseColWidth="10" defaultColWidth="10.83203125" defaultRowHeight="16"/>
  <cols>
    <col min="1" max="1" width="2.1640625" customWidth="1"/>
    <col min="2" max="2" width="8" style="8" customWidth="1"/>
    <col min="3" max="3" width="25.33203125" customWidth="1"/>
    <col min="4" max="4" width="7.83203125" customWidth="1"/>
    <col min="5" max="5" width="5.83203125" customWidth="1"/>
    <col min="6" max="6" width="10.83203125" style="8" customWidth="1"/>
    <col min="7" max="7" width="25" customWidth="1"/>
    <col min="8" max="8" width="7.83203125" customWidth="1"/>
    <col min="9" max="9" width="5.83203125" customWidth="1"/>
    <col min="10" max="10" width="10.83203125" style="8" customWidth="1"/>
    <col min="11" max="11" width="24.83203125" customWidth="1"/>
    <col min="12" max="12" width="7.83203125" customWidth="1"/>
    <col min="13" max="13" width="5.83203125" customWidth="1"/>
    <col min="14" max="14" width="10.83203125" style="8" customWidth="1"/>
    <col min="15" max="15" width="23.1640625" customWidth="1"/>
    <col min="16" max="16" width="7.83203125" customWidth="1"/>
    <col min="17" max="17" width="5.83203125" customWidth="1"/>
    <col min="18" max="18" width="10.83203125" style="8" customWidth="1"/>
    <col min="19" max="19" width="24.5" customWidth="1"/>
    <col min="20" max="20" width="7.83203125" customWidth="1"/>
    <col min="21" max="21" width="5.83203125" customWidth="1"/>
    <col min="22" max="22" width="10.83203125" style="8" customWidth="1"/>
    <col min="23" max="23" width="22.5" customWidth="1"/>
    <col min="24" max="24" width="7.83203125" style="8" customWidth="1"/>
    <col min="25" max="25" width="5.83203125" customWidth="1"/>
    <col min="26" max="26" width="10.83203125" style="8" customWidth="1"/>
    <col min="27" max="27" width="26.1640625" customWidth="1"/>
    <col min="28" max="28" width="7.83203125" customWidth="1"/>
    <col min="29" max="29" width="5.83203125" customWidth="1"/>
    <col min="30" max="30" width="10.83203125" style="8" customWidth="1"/>
    <col min="31" max="31" width="26.6640625" customWidth="1"/>
    <col min="32" max="32" width="7.83203125" style="8" customWidth="1"/>
    <col min="33" max="33" width="5.83203125" customWidth="1"/>
  </cols>
  <sheetData>
    <row r="1" spans="1:32" ht="10" customHeight="1" thickBot="1">
      <c r="F1" s="516" t="s">
        <v>290</v>
      </c>
    </row>
    <row r="2" spans="1:32" ht="17" customHeight="1" thickBot="1">
      <c r="A2" s="6"/>
      <c r="B2" s="519" t="s">
        <v>61</v>
      </c>
      <c r="C2" s="520" t="s">
        <v>0</v>
      </c>
      <c r="D2" s="522" t="s">
        <v>991</v>
      </c>
      <c r="E2" s="6"/>
      <c r="F2" s="519" t="s">
        <v>61</v>
      </c>
      <c r="G2" s="520" t="s">
        <v>0</v>
      </c>
      <c r="H2" s="522" t="s">
        <v>991</v>
      </c>
      <c r="I2" s="6"/>
      <c r="J2" s="519" t="s">
        <v>61</v>
      </c>
      <c r="K2" s="520" t="s">
        <v>0</v>
      </c>
      <c r="L2" s="522" t="s">
        <v>991</v>
      </c>
      <c r="M2" s="6"/>
      <c r="N2" s="519" t="s">
        <v>61</v>
      </c>
      <c r="O2" s="520" t="s">
        <v>0</v>
      </c>
      <c r="P2" s="522" t="s">
        <v>991</v>
      </c>
      <c r="Q2" s="6"/>
      <c r="R2" s="519" t="s">
        <v>61</v>
      </c>
      <c r="S2" s="520" t="s">
        <v>0</v>
      </c>
      <c r="T2" s="522" t="s">
        <v>991</v>
      </c>
      <c r="U2" s="6"/>
      <c r="V2" s="519" t="s">
        <v>61</v>
      </c>
      <c r="W2" s="520" t="s">
        <v>0</v>
      </c>
      <c r="X2" s="522" t="s">
        <v>991</v>
      </c>
      <c r="Y2" s="6"/>
      <c r="Z2" s="519" t="s">
        <v>61</v>
      </c>
      <c r="AA2" s="520" t="s">
        <v>0</v>
      </c>
      <c r="AB2" s="522" t="s">
        <v>991</v>
      </c>
      <c r="AC2" s="6"/>
      <c r="AD2" s="519" t="s">
        <v>61</v>
      </c>
      <c r="AE2" s="520" t="s">
        <v>0</v>
      </c>
      <c r="AF2" s="522" t="s">
        <v>991</v>
      </c>
    </row>
    <row r="3" spans="1:32">
      <c r="A3" s="6"/>
      <c r="B3" s="11" t="s">
        <v>113</v>
      </c>
      <c r="C3" s="518" t="s">
        <v>184</v>
      </c>
      <c r="D3" s="495">
        <v>23</v>
      </c>
      <c r="E3" s="6"/>
      <c r="F3" s="13">
        <v>163</v>
      </c>
      <c r="G3" s="14" t="s">
        <v>55</v>
      </c>
      <c r="H3" s="495">
        <v>9</v>
      </c>
      <c r="I3" s="6"/>
      <c r="J3" s="13">
        <v>436</v>
      </c>
      <c r="K3" s="14" t="s">
        <v>7</v>
      </c>
      <c r="L3" s="495">
        <v>18</v>
      </c>
      <c r="M3" s="6"/>
      <c r="N3" s="13">
        <v>712</v>
      </c>
      <c r="O3" s="14" t="s">
        <v>17</v>
      </c>
      <c r="P3" s="495">
        <v>18</v>
      </c>
      <c r="Q3" s="6"/>
      <c r="R3" s="13">
        <v>827</v>
      </c>
      <c r="S3" s="14" t="s">
        <v>637</v>
      </c>
      <c r="T3" s="495">
        <v>6</v>
      </c>
      <c r="U3" s="6"/>
      <c r="V3" s="13">
        <v>966</v>
      </c>
      <c r="W3" s="14" t="s">
        <v>526</v>
      </c>
      <c r="X3" s="495">
        <v>9</v>
      </c>
      <c r="Y3" s="6"/>
      <c r="Z3" s="13">
        <v>3722</v>
      </c>
      <c r="AA3" s="14" t="s">
        <v>527</v>
      </c>
      <c r="AB3" s="495">
        <v>16</v>
      </c>
      <c r="AC3" s="6"/>
      <c r="AD3" s="13">
        <v>3838</v>
      </c>
      <c r="AE3" s="14" t="s">
        <v>394</v>
      </c>
      <c r="AF3" s="495">
        <v>6</v>
      </c>
    </row>
    <row r="4" spans="1:32">
      <c r="A4" s="6"/>
      <c r="B4" s="1" t="s">
        <v>44</v>
      </c>
      <c r="C4" s="2" t="s">
        <v>45</v>
      </c>
      <c r="D4" s="496">
        <v>19</v>
      </c>
      <c r="E4" s="6"/>
      <c r="F4" s="1">
        <v>164</v>
      </c>
      <c r="G4" s="2" t="s">
        <v>584</v>
      </c>
      <c r="H4" s="496">
        <v>10</v>
      </c>
      <c r="I4" s="6"/>
      <c r="J4" s="9" t="s">
        <v>102</v>
      </c>
      <c r="K4" s="6" t="s">
        <v>197</v>
      </c>
      <c r="L4" s="496">
        <v>22</v>
      </c>
      <c r="M4" s="6"/>
      <c r="N4" s="1">
        <v>718</v>
      </c>
      <c r="O4" s="2" t="s">
        <v>18</v>
      </c>
      <c r="P4" s="496">
        <v>3</v>
      </c>
      <c r="Q4" s="6"/>
      <c r="R4" s="1">
        <v>828</v>
      </c>
      <c r="S4" s="2" t="s">
        <v>681</v>
      </c>
      <c r="T4" s="496">
        <v>8</v>
      </c>
      <c r="U4" s="6"/>
      <c r="V4" s="9" t="s">
        <v>108</v>
      </c>
      <c r="W4" s="6" t="s">
        <v>208</v>
      </c>
      <c r="X4" s="496">
        <v>23</v>
      </c>
      <c r="Y4" s="6"/>
      <c r="Z4" s="1">
        <v>3726</v>
      </c>
      <c r="AA4" s="2" t="s">
        <v>391</v>
      </c>
      <c r="AB4" s="496">
        <v>4</v>
      </c>
      <c r="AC4" s="6"/>
      <c r="AD4" s="1">
        <v>3839</v>
      </c>
      <c r="AE4" s="2" t="s">
        <v>532</v>
      </c>
      <c r="AF4" s="496">
        <v>6</v>
      </c>
    </row>
    <row r="5" spans="1:32">
      <c r="A5" s="6"/>
      <c r="B5" s="1" t="s">
        <v>962</v>
      </c>
      <c r="C5" s="2" t="s">
        <v>46</v>
      </c>
      <c r="D5" s="496">
        <v>20</v>
      </c>
      <c r="E5" s="6"/>
      <c r="F5" s="1">
        <v>165</v>
      </c>
      <c r="G5" s="2" t="s">
        <v>457</v>
      </c>
      <c r="H5" s="496">
        <v>12</v>
      </c>
      <c r="I5" s="6"/>
      <c r="J5" s="1">
        <v>437</v>
      </c>
      <c r="K5" s="2" t="s">
        <v>636</v>
      </c>
      <c r="L5" s="496">
        <v>18</v>
      </c>
      <c r="M5" s="6"/>
      <c r="N5" s="9" t="s">
        <v>92</v>
      </c>
      <c r="O5" s="6" t="s">
        <v>201</v>
      </c>
      <c r="P5" s="496">
        <v>22</v>
      </c>
      <c r="Q5" s="6"/>
      <c r="R5" s="1">
        <v>829</v>
      </c>
      <c r="S5" s="2" t="s">
        <v>444</v>
      </c>
      <c r="T5" s="496">
        <v>13</v>
      </c>
      <c r="U5" s="6"/>
      <c r="V5" s="1">
        <v>967</v>
      </c>
      <c r="W5" s="2" t="s">
        <v>552</v>
      </c>
      <c r="X5" s="496">
        <v>15</v>
      </c>
      <c r="Y5" s="6"/>
      <c r="Z5" s="1">
        <v>3727</v>
      </c>
      <c r="AA5" s="2" t="s">
        <v>652</v>
      </c>
      <c r="AB5" s="496">
        <v>4</v>
      </c>
      <c r="AC5" s="6"/>
      <c r="AD5" s="1">
        <v>3840</v>
      </c>
      <c r="AE5" s="2" t="s">
        <v>655</v>
      </c>
      <c r="AF5" s="496">
        <v>6</v>
      </c>
    </row>
    <row r="6" spans="1:32">
      <c r="A6" s="6"/>
      <c r="B6" s="1" t="s">
        <v>961</v>
      </c>
      <c r="C6" s="2" t="s">
        <v>46</v>
      </c>
      <c r="D6" s="496">
        <v>20</v>
      </c>
      <c r="E6" s="6"/>
      <c r="F6" s="1">
        <v>166</v>
      </c>
      <c r="G6" s="2" t="s">
        <v>56</v>
      </c>
      <c r="H6" s="496">
        <v>12</v>
      </c>
      <c r="I6" s="6"/>
      <c r="J6" s="1">
        <v>444</v>
      </c>
      <c r="K6" s="2" t="s">
        <v>383</v>
      </c>
      <c r="L6" s="496">
        <v>15</v>
      </c>
      <c r="M6" s="6"/>
      <c r="N6" s="1">
        <v>720</v>
      </c>
      <c r="O6" s="2" t="s">
        <v>386</v>
      </c>
      <c r="P6" s="496">
        <v>16</v>
      </c>
      <c r="Q6" s="6"/>
      <c r="R6" s="1">
        <v>830</v>
      </c>
      <c r="S6" s="2" t="s">
        <v>388</v>
      </c>
      <c r="T6" s="496">
        <v>13</v>
      </c>
      <c r="U6" s="6"/>
      <c r="V6" s="9" t="s">
        <v>111</v>
      </c>
      <c r="W6" s="6" t="s">
        <v>209</v>
      </c>
      <c r="X6" s="496">
        <v>23</v>
      </c>
      <c r="Y6" s="6"/>
      <c r="Z6" s="1">
        <v>3731</v>
      </c>
      <c r="AA6" s="2" t="s">
        <v>446</v>
      </c>
      <c r="AB6" s="496">
        <v>2</v>
      </c>
      <c r="AC6" s="6"/>
      <c r="AD6" s="1">
        <v>3841</v>
      </c>
      <c r="AE6" s="2" t="s">
        <v>704</v>
      </c>
      <c r="AF6" s="496">
        <v>7</v>
      </c>
    </row>
    <row r="7" spans="1:32">
      <c r="A7" s="6"/>
      <c r="B7" s="1" t="s">
        <v>47</v>
      </c>
      <c r="C7" s="2" t="s">
        <v>48</v>
      </c>
      <c r="D7" s="496">
        <v>20</v>
      </c>
      <c r="E7" s="6"/>
      <c r="F7" s="1">
        <v>167</v>
      </c>
      <c r="G7" s="2" t="s">
        <v>57</v>
      </c>
      <c r="H7" s="496">
        <v>13</v>
      </c>
      <c r="I7" s="6"/>
      <c r="J7" s="1">
        <v>445</v>
      </c>
      <c r="K7" s="2" t="s">
        <v>601</v>
      </c>
      <c r="L7" s="496">
        <v>15</v>
      </c>
      <c r="M7" s="6"/>
      <c r="N7" s="1">
        <v>721</v>
      </c>
      <c r="O7" s="2" t="s">
        <v>523</v>
      </c>
      <c r="P7" s="496">
        <v>16</v>
      </c>
      <c r="Q7" s="6"/>
      <c r="R7" s="1">
        <v>831</v>
      </c>
      <c r="S7" s="2" t="s">
        <v>525</v>
      </c>
      <c r="T7" s="496">
        <v>13</v>
      </c>
      <c r="U7" s="6"/>
      <c r="V7" s="1">
        <v>970</v>
      </c>
      <c r="W7" s="2" t="s">
        <v>650</v>
      </c>
      <c r="X7" s="496">
        <v>15</v>
      </c>
      <c r="Y7" s="6"/>
      <c r="Z7" s="1">
        <v>3733</v>
      </c>
      <c r="AA7" s="2" t="s">
        <v>42</v>
      </c>
      <c r="AB7" s="496">
        <v>2</v>
      </c>
      <c r="AC7" s="6"/>
      <c r="AD7" s="1">
        <v>3842</v>
      </c>
      <c r="AE7" s="2" t="s">
        <v>315</v>
      </c>
      <c r="AF7" s="496">
        <v>8</v>
      </c>
    </row>
    <row r="8" spans="1:32">
      <c r="A8" s="6"/>
      <c r="B8" s="1">
        <v>1</v>
      </c>
      <c r="C8" s="15" t="s">
        <v>118</v>
      </c>
      <c r="D8" s="496">
        <v>20</v>
      </c>
      <c r="E8" s="6"/>
      <c r="F8" s="1">
        <v>168</v>
      </c>
      <c r="G8" s="2" t="s">
        <v>59</v>
      </c>
      <c r="H8" s="496">
        <v>20</v>
      </c>
      <c r="I8" s="6"/>
      <c r="J8" s="1">
        <v>451</v>
      </c>
      <c r="K8" s="2" t="s">
        <v>385</v>
      </c>
      <c r="L8" s="496">
        <v>18</v>
      </c>
      <c r="M8" s="6"/>
      <c r="N8" s="1">
        <v>722</v>
      </c>
      <c r="O8" s="2" t="s">
        <v>588</v>
      </c>
      <c r="P8" s="496">
        <v>16</v>
      </c>
      <c r="Q8" s="6"/>
      <c r="R8" s="1">
        <v>832</v>
      </c>
      <c r="S8" s="2" t="s">
        <v>28</v>
      </c>
      <c r="T8" s="496">
        <v>13</v>
      </c>
      <c r="U8" s="6"/>
      <c r="V8" s="1">
        <v>972</v>
      </c>
      <c r="W8" s="2" t="s">
        <v>690</v>
      </c>
      <c r="X8" s="496">
        <v>15</v>
      </c>
      <c r="Y8" s="6"/>
      <c r="Z8" s="1">
        <v>3740</v>
      </c>
      <c r="AA8" s="2" t="s">
        <v>353</v>
      </c>
      <c r="AB8" s="496">
        <v>5</v>
      </c>
      <c r="AC8" s="6"/>
      <c r="AD8" s="1">
        <v>3843</v>
      </c>
      <c r="AE8" s="2" t="s">
        <v>73</v>
      </c>
      <c r="AF8" s="496">
        <v>6</v>
      </c>
    </row>
    <row r="9" spans="1:32">
      <c r="A9" s="6"/>
      <c r="B9" s="1">
        <v>2</v>
      </c>
      <c r="C9" s="15" t="s">
        <v>119</v>
      </c>
      <c r="D9" s="496">
        <v>20</v>
      </c>
      <c r="E9" s="6"/>
      <c r="F9" s="9" t="s">
        <v>95</v>
      </c>
      <c r="G9" s="6" t="s">
        <v>188</v>
      </c>
      <c r="H9" s="496">
        <v>23</v>
      </c>
      <c r="I9" s="6"/>
      <c r="J9" s="1">
        <v>452</v>
      </c>
      <c r="K9" s="2" t="s">
        <v>522</v>
      </c>
      <c r="L9" s="496">
        <v>18</v>
      </c>
      <c r="M9" s="6"/>
      <c r="N9" s="1">
        <v>725</v>
      </c>
      <c r="O9" s="2" t="s">
        <v>19</v>
      </c>
      <c r="P9" s="496">
        <v>15</v>
      </c>
      <c r="Q9" s="6"/>
      <c r="R9" s="1">
        <v>833</v>
      </c>
      <c r="S9" s="2" t="s">
        <v>646</v>
      </c>
      <c r="T9" s="496">
        <v>13</v>
      </c>
      <c r="U9" s="6"/>
      <c r="V9" s="1">
        <v>973</v>
      </c>
      <c r="W9" s="2" t="s">
        <v>459</v>
      </c>
      <c r="X9" s="496">
        <v>15</v>
      </c>
      <c r="Y9" s="6"/>
      <c r="Z9" s="1">
        <v>3743</v>
      </c>
      <c r="AA9" s="2" t="s">
        <v>657</v>
      </c>
      <c r="AB9" s="496">
        <v>5</v>
      </c>
      <c r="AC9" s="6"/>
      <c r="AD9" s="9" t="s">
        <v>88</v>
      </c>
      <c r="AE9" s="6" t="s">
        <v>214</v>
      </c>
      <c r="AF9" s="496">
        <v>22</v>
      </c>
    </row>
    <row r="10" spans="1:32">
      <c r="A10" s="6"/>
      <c r="B10" s="1">
        <v>3</v>
      </c>
      <c r="C10" s="2" t="s">
        <v>720</v>
      </c>
      <c r="D10" s="496">
        <v>20</v>
      </c>
      <c r="E10" s="6"/>
      <c r="F10" s="1">
        <v>169</v>
      </c>
      <c r="G10" s="2" t="s">
        <v>49</v>
      </c>
      <c r="H10" s="496">
        <v>20</v>
      </c>
      <c r="I10" s="6"/>
      <c r="J10" s="1">
        <v>453</v>
      </c>
      <c r="K10" s="2" t="s">
        <v>640</v>
      </c>
      <c r="L10" s="496">
        <v>18</v>
      </c>
      <c r="M10" s="6"/>
      <c r="N10" s="1">
        <v>726</v>
      </c>
      <c r="O10" s="2" t="s">
        <v>645</v>
      </c>
      <c r="P10" s="496">
        <v>15</v>
      </c>
      <c r="Q10" s="6"/>
      <c r="R10" s="1">
        <v>834</v>
      </c>
      <c r="S10" s="2" t="s">
        <v>649</v>
      </c>
      <c r="T10" s="496">
        <v>13</v>
      </c>
      <c r="U10" s="6"/>
      <c r="V10" s="1">
        <v>975</v>
      </c>
      <c r="W10" s="2" t="s">
        <v>397</v>
      </c>
      <c r="X10" s="496">
        <v>14</v>
      </c>
      <c r="Y10" s="6"/>
      <c r="Z10" s="1">
        <v>3746</v>
      </c>
      <c r="AA10" s="2" t="s">
        <v>398</v>
      </c>
      <c r="AB10" s="496">
        <v>5</v>
      </c>
      <c r="AC10" s="6"/>
      <c r="AD10" s="1">
        <v>3844</v>
      </c>
      <c r="AE10" s="2" t="s">
        <v>401</v>
      </c>
      <c r="AF10" s="496">
        <v>6</v>
      </c>
    </row>
    <row r="11" spans="1:32">
      <c r="A11" s="6"/>
      <c r="B11" s="1">
        <v>4</v>
      </c>
      <c r="C11" s="2" t="s">
        <v>719</v>
      </c>
      <c r="D11" s="496">
        <v>20</v>
      </c>
      <c r="E11" s="6"/>
      <c r="F11" s="1">
        <v>208</v>
      </c>
      <c r="G11" s="2" t="s">
        <v>429</v>
      </c>
      <c r="H11" s="496">
        <v>4</v>
      </c>
      <c r="I11" s="6"/>
      <c r="J11" s="1">
        <v>469</v>
      </c>
      <c r="K11" s="2" t="s">
        <v>8</v>
      </c>
      <c r="L11" s="496">
        <v>11</v>
      </c>
      <c r="M11" s="6"/>
      <c r="N11" s="1">
        <v>727</v>
      </c>
      <c r="O11" s="2" t="s">
        <v>648</v>
      </c>
      <c r="P11" s="496">
        <v>15</v>
      </c>
      <c r="Q11" s="6"/>
      <c r="R11" s="1">
        <v>838</v>
      </c>
      <c r="S11" s="2" t="s">
        <v>445</v>
      </c>
      <c r="T11" s="496">
        <v>19</v>
      </c>
      <c r="U11" s="6"/>
      <c r="V11" s="1">
        <v>976</v>
      </c>
      <c r="W11" s="2" t="s">
        <v>533</v>
      </c>
      <c r="X11" s="496">
        <v>14</v>
      </c>
      <c r="Y11" s="6"/>
      <c r="Z11" s="1">
        <v>3747</v>
      </c>
      <c r="AA11" s="2" t="s">
        <v>662</v>
      </c>
      <c r="AB11" s="496">
        <v>5</v>
      </c>
      <c r="AC11" s="6"/>
      <c r="AD11" s="1">
        <v>3845</v>
      </c>
      <c r="AE11" s="2" t="s">
        <v>461</v>
      </c>
      <c r="AF11" s="496">
        <v>6</v>
      </c>
    </row>
    <row r="12" spans="1:32">
      <c r="A12" s="6"/>
      <c r="B12" s="1">
        <v>5</v>
      </c>
      <c r="C12" s="2" t="s">
        <v>718</v>
      </c>
      <c r="D12" s="496">
        <v>19</v>
      </c>
      <c r="E12" s="6"/>
      <c r="F12" s="1">
        <v>209</v>
      </c>
      <c r="G12" s="2" t="s">
        <v>392</v>
      </c>
      <c r="H12" s="496">
        <v>4</v>
      </c>
      <c r="I12" s="6"/>
      <c r="J12" s="1">
        <v>470</v>
      </c>
      <c r="K12" s="2" t="s">
        <v>644</v>
      </c>
      <c r="L12" s="496">
        <v>11</v>
      </c>
      <c r="M12" s="6"/>
      <c r="N12" s="1">
        <v>728</v>
      </c>
      <c r="O12" s="2" t="s">
        <v>63</v>
      </c>
      <c r="P12" s="496">
        <v>14</v>
      </c>
      <c r="Q12" s="6"/>
      <c r="R12" s="1">
        <v>839</v>
      </c>
      <c r="S12" s="2" t="s">
        <v>341</v>
      </c>
      <c r="T12" s="496">
        <v>19</v>
      </c>
      <c r="U12" s="6"/>
      <c r="V12" s="1">
        <v>977</v>
      </c>
      <c r="W12" s="2" t="s">
        <v>658</v>
      </c>
      <c r="X12" s="496">
        <v>14</v>
      </c>
      <c r="Y12" s="6"/>
      <c r="Z12" s="9" t="s">
        <v>112</v>
      </c>
      <c r="AA12" s="6" t="s">
        <v>211</v>
      </c>
      <c r="AB12" s="496">
        <v>23</v>
      </c>
      <c r="AC12" s="6"/>
      <c r="AD12" s="1">
        <v>3846</v>
      </c>
      <c r="AE12" s="2" t="s">
        <v>538</v>
      </c>
      <c r="AF12" s="496">
        <v>6</v>
      </c>
    </row>
    <row r="13" spans="1:32">
      <c r="A13" s="6"/>
      <c r="B13" s="1">
        <v>6</v>
      </c>
      <c r="C13" s="2" t="s">
        <v>717</v>
      </c>
      <c r="D13" s="496">
        <v>19</v>
      </c>
      <c r="E13" s="6"/>
      <c r="F13" s="1">
        <v>210</v>
      </c>
      <c r="G13" s="2" t="s">
        <v>530</v>
      </c>
      <c r="H13" s="496">
        <v>4</v>
      </c>
      <c r="I13" s="6"/>
      <c r="J13" s="1">
        <v>471</v>
      </c>
      <c r="K13" s="2" t="s">
        <v>647</v>
      </c>
      <c r="L13" s="496">
        <v>11</v>
      </c>
      <c r="M13" s="6"/>
      <c r="N13" s="1">
        <v>729</v>
      </c>
      <c r="O13" s="2" t="s">
        <v>529</v>
      </c>
      <c r="P13" s="496">
        <v>14</v>
      </c>
      <c r="Q13" s="6"/>
      <c r="R13" s="1">
        <v>840</v>
      </c>
      <c r="S13" s="2" t="s">
        <v>531</v>
      </c>
      <c r="T13" s="496">
        <v>19</v>
      </c>
      <c r="U13" s="6"/>
      <c r="V13" s="9" t="s">
        <v>114</v>
      </c>
      <c r="W13" s="6" t="s">
        <v>939</v>
      </c>
      <c r="X13" s="496">
        <v>22</v>
      </c>
      <c r="Y13" s="6"/>
      <c r="Z13" s="1">
        <v>3750</v>
      </c>
      <c r="AA13" s="2" t="s">
        <v>452</v>
      </c>
      <c r="AB13" s="496">
        <v>7</v>
      </c>
      <c r="AC13" s="6"/>
      <c r="AD13" s="1">
        <v>3847</v>
      </c>
      <c r="AE13" s="2" t="s">
        <v>318</v>
      </c>
      <c r="AF13" s="496">
        <v>8</v>
      </c>
    </row>
    <row r="14" spans="1:32">
      <c r="A14" s="6"/>
      <c r="B14" s="1">
        <v>7</v>
      </c>
      <c r="C14" s="2" t="s">
        <v>691</v>
      </c>
      <c r="D14" s="496">
        <v>19</v>
      </c>
      <c r="E14" s="6"/>
      <c r="F14" s="1">
        <v>211</v>
      </c>
      <c r="G14" s="2" t="s">
        <v>653</v>
      </c>
      <c r="H14" s="496">
        <v>4</v>
      </c>
      <c r="I14" s="6"/>
      <c r="J14" s="1">
        <v>472</v>
      </c>
      <c r="K14" s="2" t="s">
        <v>683</v>
      </c>
      <c r="L14" s="496">
        <v>11</v>
      </c>
      <c r="M14" s="6"/>
      <c r="N14" s="1">
        <v>730</v>
      </c>
      <c r="O14" s="2" t="s">
        <v>448</v>
      </c>
      <c r="P14" s="496">
        <v>12</v>
      </c>
      <c r="Q14" s="6"/>
      <c r="R14" s="1">
        <v>841</v>
      </c>
      <c r="S14" s="2" t="s">
        <v>654</v>
      </c>
      <c r="T14" s="496">
        <v>19</v>
      </c>
      <c r="U14" s="6"/>
      <c r="V14" s="1">
        <v>986</v>
      </c>
      <c r="W14" s="2" t="s">
        <v>450</v>
      </c>
      <c r="X14" s="496">
        <v>10</v>
      </c>
      <c r="Y14" s="6"/>
      <c r="Z14" s="1">
        <v>3752</v>
      </c>
      <c r="AA14" s="2" t="s">
        <v>536</v>
      </c>
      <c r="AB14" s="496">
        <v>7</v>
      </c>
      <c r="AC14" s="6"/>
      <c r="AD14" s="1">
        <v>3848</v>
      </c>
      <c r="AE14" s="2" t="s">
        <v>466</v>
      </c>
      <c r="AF14" s="496">
        <v>8</v>
      </c>
    </row>
    <row r="15" spans="1:32">
      <c r="A15" s="6"/>
      <c r="B15" s="1">
        <v>8</v>
      </c>
      <c r="C15" s="2" t="s">
        <v>716</v>
      </c>
      <c r="D15" s="496">
        <v>19</v>
      </c>
      <c r="E15" s="6"/>
      <c r="F15" s="9" t="s">
        <v>106</v>
      </c>
      <c r="G15" s="6" t="s">
        <v>189</v>
      </c>
      <c r="H15" s="496">
        <v>23</v>
      </c>
      <c r="I15" s="6"/>
      <c r="J15" s="1">
        <v>498</v>
      </c>
      <c r="K15" s="2" t="s">
        <v>393</v>
      </c>
      <c r="L15" s="496">
        <v>1</v>
      </c>
      <c r="M15" s="6"/>
      <c r="N15" s="1">
        <v>732</v>
      </c>
      <c r="O15" s="2" t="s">
        <v>20</v>
      </c>
      <c r="P15" s="496">
        <v>12</v>
      </c>
      <c r="Q15" s="6"/>
      <c r="R15" s="1">
        <v>842</v>
      </c>
      <c r="S15" s="2" t="s">
        <v>656</v>
      </c>
      <c r="T15" s="496">
        <v>19</v>
      </c>
      <c r="U15" s="6"/>
      <c r="V15" s="1">
        <v>987</v>
      </c>
      <c r="W15" s="2" t="s">
        <v>400</v>
      </c>
      <c r="X15" s="496">
        <v>10</v>
      </c>
      <c r="Y15" s="6"/>
      <c r="Z15" s="1">
        <v>3753</v>
      </c>
      <c r="AA15" s="2" t="s">
        <v>666</v>
      </c>
      <c r="AB15" s="496">
        <v>7</v>
      </c>
      <c r="AC15" s="6"/>
      <c r="AD15" s="1">
        <v>3849</v>
      </c>
      <c r="AE15" s="2" t="s">
        <v>544</v>
      </c>
      <c r="AF15" s="496">
        <v>8</v>
      </c>
    </row>
    <row r="16" spans="1:32">
      <c r="A16" s="6"/>
      <c r="B16" s="1">
        <v>9</v>
      </c>
      <c r="C16" s="2" t="s">
        <v>715</v>
      </c>
      <c r="D16" s="496">
        <v>18</v>
      </c>
      <c r="E16" s="6"/>
      <c r="F16" s="1">
        <v>221</v>
      </c>
      <c r="G16" s="2" t="s">
        <v>449</v>
      </c>
      <c r="H16" s="496">
        <v>16</v>
      </c>
      <c r="I16" s="6"/>
      <c r="J16" s="1">
        <v>500</v>
      </c>
      <c r="K16" s="2" t="s">
        <v>447</v>
      </c>
      <c r="L16" s="496">
        <v>9</v>
      </c>
      <c r="M16" s="6"/>
      <c r="N16" s="1">
        <v>733</v>
      </c>
      <c r="O16" s="2" t="s">
        <v>535</v>
      </c>
      <c r="P16" s="496">
        <v>12</v>
      </c>
      <c r="Q16" s="6"/>
      <c r="R16" s="1">
        <v>844</v>
      </c>
      <c r="S16" s="2" t="s">
        <v>685</v>
      </c>
      <c r="T16" s="496">
        <v>19</v>
      </c>
      <c r="U16" s="6"/>
      <c r="V16" s="1">
        <v>988</v>
      </c>
      <c r="W16" s="2" t="s">
        <v>460</v>
      </c>
      <c r="X16" s="496">
        <v>10</v>
      </c>
      <c r="Y16" s="6"/>
      <c r="Z16" s="1">
        <v>3755</v>
      </c>
      <c r="AA16" s="2" t="s">
        <v>43</v>
      </c>
      <c r="AB16" s="496">
        <v>7</v>
      </c>
      <c r="AC16" s="6"/>
      <c r="AD16" s="9" t="s">
        <v>90</v>
      </c>
      <c r="AE16" s="6" t="s">
        <v>215</v>
      </c>
      <c r="AF16" s="496">
        <v>22</v>
      </c>
    </row>
    <row r="17" spans="1:32">
      <c r="A17" s="6"/>
      <c r="B17" s="1">
        <v>10</v>
      </c>
      <c r="C17" s="2" t="s">
        <v>714</v>
      </c>
      <c r="D17" s="496">
        <v>12</v>
      </c>
      <c r="E17" s="6"/>
      <c r="F17" s="1">
        <v>223</v>
      </c>
      <c r="G17" s="2" t="s">
        <v>581</v>
      </c>
      <c r="H17" s="496">
        <v>16</v>
      </c>
      <c r="I17" s="6"/>
      <c r="J17" s="1">
        <v>501</v>
      </c>
      <c r="K17" s="2" t="s">
        <v>395</v>
      </c>
      <c r="L17" s="496">
        <v>9</v>
      </c>
      <c r="M17" s="6"/>
      <c r="N17" s="1">
        <v>734</v>
      </c>
      <c r="O17" s="2" t="s">
        <v>661</v>
      </c>
      <c r="P17" s="496">
        <v>12</v>
      </c>
      <c r="Q17" s="6"/>
      <c r="R17" s="1">
        <v>869</v>
      </c>
      <c r="S17" s="2" t="s">
        <v>451</v>
      </c>
      <c r="T17" s="496">
        <v>13</v>
      </c>
      <c r="U17" s="6"/>
      <c r="V17" s="1">
        <v>989</v>
      </c>
      <c r="W17" s="2" t="s">
        <v>35</v>
      </c>
      <c r="X17" s="496">
        <v>10</v>
      </c>
      <c r="Y17" s="6"/>
      <c r="Z17" s="1">
        <v>3756</v>
      </c>
      <c r="AA17" s="2" t="s">
        <v>595</v>
      </c>
      <c r="AB17" s="496">
        <v>7</v>
      </c>
      <c r="AC17" s="6"/>
      <c r="AD17" s="1">
        <v>3850</v>
      </c>
      <c r="AE17" s="2" t="s">
        <v>322</v>
      </c>
      <c r="AF17" s="496">
        <v>9</v>
      </c>
    </row>
    <row r="18" spans="1:32">
      <c r="A18" s="6"/>
      <c r="B18" s="1">
        <v>11</v>
      </c>
      <c r="C18" s="2" t="s">
        <v>695</v>
      </c>
      <c r="D18" s="496">
        <v>12</v>
      </c>
      <c r="E18" s="6"/>
      <c r="F18" s="1">
        <v>224</v>
      </c>
      <c r="G18" s="2" t="s">
        <v>659</v>
      </c>
      <c r="H18" s="496">
        <v>16</v>
      </c>
      <c r="I18" s="6"/>
      <c r="J18" s="1">
        <v>502</v>
      </c>
      <c r="K18" s="2" t="s">
        <v>9</v>
      </c>
      <c r="L18" s="496">
        <v>9</v>
      </c>
      <c r="M18" s="6"/>
      <c r="N18" s="1">
        <v>738</v>
      </c>
      <c r="O18" s="2" t="s">
        <v>663</v>
      </c>
      <c r="P18" s="496">
        <v>18</v>
      </c>
      <c r="Q18" s="6"/>
      <c r="R18" s="1">
        <v>890</v>
      </c>
      <c r="S18" s="2" t="s">
        <v>665</v>
      </c>
      <c r="T18" s="496">
        <v>10</v>
      </c>
      <c r="U18" s="6"/>
      <c r="V18" s="9" t="s">
        <v>115</v>
      </c>
      <c r="W18" s="6" t="s">
        <v>940</v>
      </c>
      <c r="X18" s="496">
        <v>22</v>
      </c>
      <c r="Y18" s="6"/>
      <c r="Z18" s="1">
        <v>3760</v>
      </c>
      <c r="AA18" s="2" t="s">
        <v>468</v>
      </c>
      <c r="AB18" s="496">
        <v>8</v>
      </c>
      <c r="AC18" s="6"/>
      <c r="AD18" s="1">
        <v>3851</v>
      </c>
      <c r="AE18" s="2" t="s">
        <v>548</v>
      </c>
      <c r="AF18" s="496">
        <v>9</v>
      </c>
    </row>
    <row r="19" spans="1:32">
      <c r="A19" s="6"/>
      <c r="B19" s="1">
        <v>12</v>
      </c>
      <c r="C19" s="15" t="s">
        <v>120</v>
      </c>
      <c r="D19" s="496">
        <v>12</v>
      </c>
      <c r="E19" s="6"/>
      <c r="F19" s="1">
        <v>225</v>
      </c>
      <c r="G19" s="2" t="s">
        <v>686</v>
      </c>
      <c r="H19" s="496">
        <v>16</v>
      </c>
      <c r="I19" s="6"/>
      <c r="J19" s="1">
        <v>503</v>
      </c>
      <c r="K19" s="2" t="s">
        <v>534</v>
      </c>
      <c r="L19" s="496">
        <v>9</v>
      </c>
      <c r="M19" s="6"/>
      <c r="N19" s="1">
        <v>739</v>
      </c>
      <c r="O19" s="2" t="s">
        <v>664</v>
      </c>
      <c r="P19" s="496">
        <v>18</v>
      </c>
      <c r="Q19" s="6"/>
      <c r="R19" s="1">
        <v>891</v>
      </c>
      <c r="S19" s="2" t="s">
        <v>316</v>
      </c>
      <c r="T19" s="496">
        <v>2</v>
      </c>
      <c r="U19" s="6"/>
      <c r="V19" s="1">
        <v>991</v>
      </c>
      <c r="W19" s="2" t="s">
        <v>317</v>
      </c>
      <c r="X19" s="496">
        <v>9</v>
      </c>
      <c r="Y19" s="6"/>
      <c r="Z19" s="1">
        <v>3761</v>
      </c>
      <c r="AA19" s="2" t="s">
        <v>546</v>
      </c>
      <c r="AB19" s="496">
        <v>8</v>
      </c>
      <c r="AC19" s="6"/>
      <c r="AD19" s="1">
        <v>3852</v>
      </c>
      <c r="AE19" s="2" t="s">
        <v>407</v>
      </c>
      <c r="AF19" s="496">
        <v>14</v>
      </c>
    </row>
    <row r="20" spans="1:32">
      <c r="A20" s="6"/>
      <c r="B20" s="1">
        <v>13</v>
      </c>
      <c r="C20" s="2" t="s">
        <v>694</v>
      </c>
      <c r="D20" s="496">
        <v>10</v>
      </c>
      <c r="E20" s="6"/>
      <c r="F20" s="1">
        <v>300</v>
      </c>
      <c r="G20" s="2" t="s">
        <v>402</v>
      </c>
      <c r="H20" s="496">
        <v>16</v>
      </c>
      <c r="I20" s="6"/>
      <c r="J20" s="1">
        <v>505</v>
      </c>
      <c r="K20" s="2" t="s">
        <v>399</v>
      </c>
      <c r="L20" s="496">
        <v>9</v>
      </c>
      <c r="M20" s="6"/>
      <c r="N20" s="1">
        <v>740</v>
      </c>
      <c r="O20" s="2" t="s">
        <v>21</v>
      </c>
      <c r="P20" s="496">
        <v>15</v>
      </c>
      <c r="Q20" s="6"/>
      <c r="R20" s="1">
        <v>892</v>
      </c>
      <c r="S20" s="2" t="s">
        <v>465</v>
      </c>
      <c r="T20" s="496">
        <v>2</v>
      </c>
      <c r="U20" s="6"/>
      <c r="V20" s="1">
        <v>992</v>
      </c>
      <c r="W20" s="2" t="s">
        <v>541</v>
      </c>
      <c r="X20" s="496">
        <v>9</v>
      </c>
      <c r="Y20" s="6"/>
      <c r="Z20" s="1">
        <v>3765</v>
      </c>
      <c r="AA20" s="2" t="s">
        <v>405</v>
      </c>
      <c r="AB20" s="496">
        <v>8</v>
      </c>
      <c r="AC20" s="6"/>
      <c r="AD20" s="9" t="s">
        <v>100</v>
      </c>
      <c r="AE20" s="6" t="s">
        <v>216</v>
      </c>
      <c r="AF20" s="496">
        <v>23</v>
      </c>
    </row>
    <row r="21" spans="1:32">
      <c r="A21" s="6"/>
      <c r="B21" s="1">
        <v>14</v>
      </c>
      <c r="C21" s="2" t="s">
        <v>696</v>
      </c>
      <c r="D21" s="496">
        <v>11</v>
      </c>
      <c r="E21" s="6"/>
      <c r="F21" s="1">
        <v>301</v>
      </c>
      <c r="G21" s="2" t="s">
        <v>462</v>
      </c>
      <c r="H21" s="496">
        <v>16</v>
      </c>
      <c r="I21" s="6"/>
      <c r="J21" s="1">
        <v>517</v>
      </c>
      <c r="K21" s="2" t="s">
        <v>315</v>
      </c>
      <c r="L21" s="496">
        <v>8</v>
      </c>
      <c r="M21" s="6"/>
      <c r="N21" s="1">
        <v>741</v>
      </c>
      <c r="O21" s="2" t="s">
        <v>464</v>
      </c>
      <c r="P21" s="496">
        <v>15</v>
      </c>
      <c r="Q21" s="6"/>
      <c r="R21" s="1">
        <v>893</v>
      </c>
      <c r="S21" s="2" t="s">
        <v>540</v>
      </c>
      <c r="T21" s="496">
        <v>2</v>
      </c>
      <c r="U21" s="6"/>
      <c r="V21" s="1">
        <v>993</v>
      </c>
      <c r="W21" s="2" t="s">
        <v>543</v>
      </c>
      <c r="X21" s="496">
        <v>9</v>
      </c>
      <c r="Y21" s="6"/>
      <c r="Z21" s="1">
        <v>3766</v>
      </c>
      <c r="AA21" s="2" t="s">
        <v>550</v>
      </c>
      <c r="AB21" s="496">
        <v>8</v>
      </c>
      <c r="AC21" s="6"/>
      <c r="AD21" s="1">
        <v>3853</v>
      </c>
      <c r="AE21" s="2" t="s">
        <v>326</v>
      </c>
      <c r="AF21" s="496">
        <v>14</v>
      </c>
    </row>
    <row r="22" spans="1:32">
      <c r="A22" s="6"/>
      <c r="B22" s="1">
        <v>15</v>
      </c>
      <c r="C22" s="15" t="s">
        <v>121</v>
      </c>
      <c r="D22" s="496">
        <v>11</v>
      </c>
      <c r="E22" s="6"/>
      <c r="F22" s="9" t="s">
        <v>96</v>
      </c>
      <c r="G22" s="6" t="s">
        <v>190</v>
      </c>
      <c r="H22" s="496">
        <v>22</v>
      </c>
      <c r="I22" s="6"/>
      <c r="J22" s="1">
        <v>518</v>
      </c>
      <c r="K22" s="2" t="s">
        <v>537</v>
      </c>
      <c r="L22" s="496">
        <v>8</v>
      </c>
      <c r="M22" s="6"/>
      <c r="N22" s="1">
        <v>742</v>
      </c>
      <c r="O22" s="2" t="s">
        <v>539</v>
      </c>
      <c r="P22" s="496">
        <v>15</v>
      </c>
      <c r="Q22" s="6"/>
      <c r="R22" s="1">
        <v>894</v>
      </c>
      <c r="S22" s="2" t="s">
        <v>542</v>
      </c>
      <c r="T22" s="496">
        <v>2</v>
      </c>
      <c r="U22" s="6"/>
      <c r="V22" s="1">
        <v>995</v>
      </c>
      <c r="W22" s="2" t="s">
        <v>321</v>
      </c>
      <c r="X22" s="496">
        <v>6</v>
      </c>
      <c r="Y22" s="6"/>
      <c r="Z22" s="1">
        <v>3768</v>
      </c>
      <c r="AA22" s="2" t="s">
        <v>325</v>
      </c>
      <c r="AB22" s="496">
        <v>8</v>
      </c>
      <c r="AC22" s="6"/>
      <c r="AD22" s="1">
        <v>3854</v>
      </c>
      <c r="AE22" s="2" t="s">
        <v>475</v>
      </c>
      <c r="AF22" s="496">
        <v>14</v>
      </c>
    </row>
    <row r="23" spans="1:32">
      <c r="A23" s="6"/>
      <c r="B23" s="1">
        <v>16</v>
      </c>
      <c r="C23" s="2" t="s">
        <v>693</v>
      </c>
      <c r="D23" s="496">
        <v>11</v>
      </c>
      <c r="E23" s="6"/>
      <c r="F23" s="1">
        <v>304</v>
      </c>
      <c r="G23" s="2" t="s">
        <v>463</v>
      </c>
      <c r="H23" s="496">
        <v>1</v>
      </c>
      <c r="I23" s="6"/>
      <c r="J23" s="1">
        <v>519</v>
      </c>
      <c r="K23" s="2" t="s">
        <v>10</v>
      </c>
      <c r="L23" s="496">
        <v>8</v>
      </c>
      <c r="M23" s="6"/>
      <c r="N23" s="1">
        <v>743</v>
      </c>
      <c r="O23" s="2" t="s">
        <v>467</v>
      </c>
      <c r="P23" s="496">
        <v>15</v>
      </c>
      <c r="Q23" s="6"/>
      <c r="R23" s="1">
        <v>895</v>
      </c>
      <c r="S23" s="2" t="s">
        <v>403</v>
      </c>
      <c r="T23" s="496">
        <v>10</v>
      </c>
      <c r="U23" s="6"/>
      <c r="V23" s="1">
        <v>996</v>
      </c>
      <c r="W23" s="2" t="s">
        <v>470</v>
      </c>
      <c r="X23" s="496">
        <v>6</v>
      </c>
      <c r="Y23" s="6"/>
      <c r="Z23" s="1">
        <v>3770</v>
      </c>
      <c r="AA23" s="2" t="s">
        <v>554</v>
      </c>
      <c r="AB23" s="496">
        <v>16</v>
      </c>
      <c r="AC23" s="6"/>
      <c r="AD23" s="1">
        <v>3855</v>
      </c>
      <c r="AE23" s="2" t="s">
        <v>556</v>
      </c>
      <c r="AF23" s="496">
        <v>14</v>
      </c>
    </row>
    <row r="24" spans="1:32">
      <c r="A24" s="6"/>
      <c r="B24" s="1">
        <v>17</v>
      </c>
      <c r="C24" s="2" t="s">
        <v>692</v>
      </c>
      <c r="D24" s="496">
        <v>13</v>
      </c>
      <c r="E24" s="6"/>
      <c r="F24" s="1">
        <v>307</v>
      </c>
      <c r="G24" s="2" t="s">
        <v>2</v>
      </c>
      <c r="H24" s="496">
        <v>15</v>
      </c>
      <c r="I24" s="6"/>
      <c r="J24" s="1">
        <v>520</v>
      </c>
      <c r="K24" s="2" t="s">
        <v>319</v>
      </c>
      <c r="L24" s="496">
        <v>12</v>
      </c>
      <c r="M24" s="6"/>
      <c r="N24" s="1">
        <v>744</v>
      </c>
      <c r="O24" s="2" t="s">
        <v>697</v>
      </c>
      <c r="P24" s="496">
        <v>15</v>
      </c>
      <c r="Q24" s="6"/>
      <c r="R24" s="1">
        <v>898</v>
      </c>
      <c r="S24" s="2" t="s">
        <v>404</v>
      </c>
      <c r="T24" s="496">
        <v>18</v>
      </c>
      <c r="U24" s="6"/>
      <c r="V24" s="1">
        <v>3011</v>
      </c>
      <c r="W24" s="2" t="s">
        <v>323</v>
      </c>
      <c r="X24" s="496">
        <v>12</v>
      </c>
      <c r="Y24" s="6"/>
      <c r="Z24" s="1">
        <v>3771</v>
      </c>
      <c r="AA24" s="2" t="s">
        <v>327</v>
      </c>
      <c r="AB24" s="496">
        <v>17</v>
      </c>
      <c r="AC24" s="6"/>
      <c r="AD24" s="1">
        <v>3856</v>
      </c>
      <c r="AE24" s="2" t="s">
        <v>668</v>
      </c>
      <c r="AF24" s="496">
        <v>16</v>
      </c>
    </row>
    <row r="25" spans="1:32">
      <c r="A25" s="6"/>
      <c r="B25" s="1">
        <v>18</v>
      </c>
      <c r="C25" s="15" t="s">
        <v>122</v>
      </c>
      <c r="D25" s="496">
        <v>13</v>
      </c>
      <c r="E25" s="6"/>
      <c r="F25" s="1">
        <v>309</v>
      </c>
      <c r="G25" s="2" t="s">
        <v>320</v>
      </c>
      <c r="H25" s="496">
        <v>2</v>
      </c>
      <c r="I25" s="6"/>
      <c r="J25" s="1">
        <v>522</v>
      </c>
      <c r="K25" s="2" t="s">
        <v>11</v>
      </c>
      <c r="L25" s="496">
        <v>12</v>
      </c>
      <c r="M25" s="6"/>
      <c r="N25" s="1">
        <v>745</v>
      </c>
      <c r="O25" s="2" t="s">
        <v>698</v>
      </c>
      <c r="P25" s="496">
        <v>15</v>
      </c>
      <c r="Q25" s="6"/>
      <c r="R25" s="9" t="s">
        <v>101</v>
      </c>
      <c r="S25" s="6" t="s">
        <v>207</v>
      </c>
      <c r="T25" s="496">
        <v>22</v>
      </c>
      <c r="U25" s="6"/>
      <c r="V25" s="1">
        <v>3012</v>
      </c>
      <c r="W25" s="2" t="s">
        <v>473</v>
      </c>
      <c r="X25" s="496">
        <v>12</v>
      </c>
      <c r="Y25" s="6"/>
      <c r="Z25" s="1">
        <v>3772</v>
      </c>
      <c r="AA25" s="2" t="s">
        <v>412</v>
      </c>
      <c r="AB25" s="496">
        <v>17</v>
      </c>
      <c r="AC25" s="6"/>
      <c r="AD25" s="1">
        <v>3857</v>
      </c>
      <c r="AE25" s="2" t="s">
        <v>329</v>
      </c>
      <c r="AF25" s="526">
        <v>17</v>
      </c>
    </row>
    <row r="26" spans="1:32">
      <c r="A26" s="6"/>
      <c r="B26" s="1">
        <v>19</v>
      </c>
      <c r="C26" s="2" t="s">
        <v>713</v>
      </c>
      <c r="D26" s="496">
        <v>14</v>
      </c>
      <c r="E26" s="6"/>
      <c r="F26" s="1">
        <v>310</v>
      </c>
      <c r="G26" s="2" t="s">
        <v>3</v>
      </c>
      <c r="H26" s="496">
        <v>20</v>
      </c>
      <c r="I26" s="6"/>
      <c r="J26" s="1">
        <v>523</v>
      </c>
      <c r="K26" s="2" t="s">
        <v>545</v>
      </c>
      <c r="L26" s="496">
        <v>12</v>
      </c>
      <c r="M26" s="6"/>
      <c r="N26" s="1">
        <v>746</v>
      </c>
      <c r="O26" s="2" t="s">
        <v>22</v>
      </c>
      <c r="P26" s="496">
        <v>13</v>
      </c>
      <c r="Q26" s="6"/>
      <c r="R26" s="1">
        <v>899</v>
      </c>
      <c r="S26" s="2" t="s">
        <v>471</v>
      </c>
      <c r="T26" s="496">
        <v>2</v>
      </c>
      <c r="U26" s="6"/>
      <c r="V26" s="1">
        <v>3013</v>
      </c>
      <c r="W26" s="2" t="s">
        <v>553</v>
      </c>
      <c r="X26" s="496">
        <v>12</v>
      </c>
      <c r="Y26" s="6"/>
      <c r="Z26" s="1">
        <v>3774</v>
      </c>
      <c r="AA26" s="2" t="s">
        <v>564</v>
      </c>
      <c r="AB26" s="496">
        <v>17</v>
      </c>
      <c r="AC26" s="6"/>
      <c r="AD26" s="1">
        <v>3858</v>
      </c>
      <c r="AE26" s="2" t="s">
        <v>481</v>
      </c>
      <c r="AF26" s="526">
        <v>17</v>
      </c>
    </row>
    <row r="27" spans="1:32">
      <c r="A27" s="6"/>
      <c r="B27" s="1">
        <v>20</v>
      </c>
      <c r="C27" s="15" t="s">
        <v>123</v>
      </c>
      <c r="D27" s="496">
        <v>17</v>
      </c>
      <c r="E27" s="6"/>
      <c r="F27" s="9" t="s">
        <v>104</v>
      </c>
      <c r="G27" s="6" t="s">
        <v>191</v>
      </c>
      <c r="H27" s="496">
        <v>22</v>
      </c>
      <c r="I27" s="6"/>
      <c r="J27" s="1">
        <v>524</v>
      </c>
      <c r="K27" s="2" t="s">
        <v>547</v>
      </c>
      <c r="L27" s="496">
        <v>12</v>
      </c>
      <c r="M27" s="6"/>
      <c r="N27" s="9" t="s">
        <v>107</v>
      </c>
      <c r="O27" s="6" t="s">
        <v>202</v>
      </c>
      <c r="P27" s="496">
        <v>23</v>
      </c>
      <c r="Q27" s="6"/>
      <c r="R27" s="1">
        <v>900</v>
      </c>
      <c r="S27" s="2" t="s">
        <v>324</v>
      </c>
      <c r="T27" s="496">
        <v>15</v>
      </c>
      <c r="U27" s="6"/>
      <c r="V27" s="1">
        <v>3021</v>
      </c>
      <c r="W27" s="2" t="s">
        <v>411</v>
      </c>
      <c r="X27" s="496">
        <v>19</v>
      </c>
      <c r="Y27" s="6"/>
      <c r="Z27" s="1">
        <v>3776</v>
      </c>
      <c r="AA27" s="2" t="s">
        <v>566</v>
      </c>
      <c r="AB27" s="496">
        <v>16</v>
      </c>
      <c r="AC27" s="6"/>
      <c r="AD27" s="1">
        <v>3859</v>
      </c>
      <c r="AE27" s="2" t="s">
        <v>567</v>
      </c>
      <c r="AF27" s="526">
        <v>17</v>
      </c>
    </row>
    <row r="28" spans="1:32">
      <c r="A28" s="6"/>
      <c r="B28" s="1">
        <v>21</v>
      </c>
      <c r="C28" s="2" t="s">
        <v>712</v>
      </c>
      <c r="D28" s="496">
        <v>17</v>
      </c>
      <c r="E28" s="6"/>
      <c r="F28" s="1">
        <v>311</v>
      </c>
      <c r="G28" s="2" t="s">
        <v>469</v>
      </c>
      <c r="H28" s="496">
        <v>8</v>
      </c>
      <c r="I28" s="6"/>
      <c r="J28" s="1">
        <v>535</v>
      </c>
      <c r="K28" s="2" t="s">
        <v>549</v>
      </c>
      <c r="L28" s="496">
        <v>20</v>
      </c>
      <c r="M28" s="6"/>
      <c r="N28" s="1">
        <v>747</v>
      </c>
      <c r="O28" s="2" t="s">
        <v>551</v>
      </c>
      <c r="P28" s="496">
        <v>8</v>
      </c>
      <c r="Q28" s="6"/>
      <c r="R28" s="1">
        <v>902</v>
      </c>
      <c r="S28" s="2" t="s">
        <v>409</v>
      </c>
      <c r="T28" s="496">
        <v>4</v>
      </c>
      <c r="U28" s="6"/>
      <c r="V28" s="1">
        <v>3022</v>
      </c>
      <c r="W28" s="2" t="s">
        <v>477</v>
      </c>
      <c r="X28" s="496">
        <v>20</v>
      </c>
      <c r="Y28" s="6"/>
      <c r="Z28" s="1">
        <v>3777</v>
      </c>
      <c r="AA28" s="2" t="s">
        <v>417</v>
      </c>
      <c r="AB28" s="496">
        <v>17</v>
      </c>
      <c r="AC28" s="6"/>
      <c r="AD28" s="1">
        <v>3860</v>
      </c>
      <c r="AE28" s="2" t="s">
        <v>79</v>
      </c>
      <c r="AF28" s="526">
        <v>18</v>
      </c>
    </row>
    <row r="29" spans="1:32">
      <c r="A29" s="6"/>
      <c r="B29" s="1">
        <v>22</v>
      </c>
      <c r="C29" s="15" t="s">
        <v>124</v>
      </c>
      <c r="D29" s="496">
        <v>17</v>
      </c>
      <c r="E29" s="6"/>
      <c r="F29" s="1">
        <v>312</v>
      </c>
      <c r="G29" s="2" t="s">
        <v>406</v>
      </c>
      <c r="H29" s="496">
        <v>7</v>
      </c>
      <c r="I29" s="6"/>
      <c r="J29" s="1">
        <v>543</v>
      </c>
      <c r="K29" s="2" t="s">
        <v>667</v>
      </c>
      <c r="L29" s="496">
        <v>18</v>
      </c>
      <c r="M29" s="6"/>
      <c r="N29" s="9" t="s">
        <v>110</v>
      </c>
      <c r="O29" s="6" t="s">
        <v>203</v>
      </c>
      <c r="P29" s="496">
        <v>23</v>
      </c>
      <c r="Q29" s="6"/>
      <c r="R29" s="1">
        <v>904</v>
      </c>
      <c r="S29" s="2" t="s">
        <v>410</v>
      </c>
      <c r="T29" s="496">
        <v>11</v>
      </c>
      <c r="U29" s="6"/>
      <c r="V29" s="1">
        <v>3023</v>
      </c>
      <c r="W29" s="2" t="s">
        <v>560</v>
      </c>
      <c r="X29" s="496">
        <v>20</v>
      </c>
      <c r="Y29" s="6"/>
      <c r="Z29" s="1">
        <v>3778</v>
      </c>
      <c r="AA29" s="2" t="s">
        <v>572</v>
      </c>
      <c r="AB29" s="496">
        <v>17</v>
      </c>
      <c r="AC29" s="6"/>
      <c r="AD29" s="1">
        <v>3861</v>
      </c>
      <c r="AE29" s="2" t="s">
        <v>573</v>
      </c>
      <c r="AF29" s="526">
        <v>18</v>
      </c>
    </row>
    <row r="30" spans="1:32">
      <c r="A30" s="6"/>
      <c r="B30" s="1">
        <v>23</v>
      </c>
      <c r="C30" s="15" t="s">
        <v>125</v>
      </c>
      <c r="D30" s="496">
        <v>3</v>
      </c>
      <c r="E30" s="6"/>
      <c r="F30" s="1">
        <v>315</v>
      </c>
      <c r="G30" s="2" t="s">
        <v>472</v>
      </c>
      <c r="H30" s="496">
        <v>4</v>
      </c>
      <c r="I30" s="6"/>
      <c r="J30" s="1">
        <v>550</v>
      </c>
      <c r="K30" s="2" t="s">
        <v>408</v>
      </c>
      <c r="L30" s="496">
        <v>4</v>
      </c>
      <c r="M30" s="6"/>
      <c r="N30" s="1">
        <v>754</v>
      </c>
      <c r="O30" s="2" t="s">
        <v>552</v>
      </c>
      <c r="P30" s="496">
        <v>17</v>
      </c>
      <c r="Q30" s="6"/>
      <c r="R30" s="1">
        <v>905</v>
      </c>
      <c r="S30" s="2" t="s">
        <v>328</v>
      </c>
      <c r="T30" s="496">
        <v>11</v>
      </c>
      <c r="U30" s="6"/>
      <c r="V30" s="1">
        <v>3024</v>
      </c>
      <c r="W30" s="2" t="s">
        <v>563</v>
      </c>
      <c r="X30" s="496">
        <v>20</v>
      </c>
      <c r="Y30" s="6"/>
      <c r="Z30" s="1">
        <v>3779</v>
      </c>
      <c r="AA30" s="2" t="s">
        <v>669</v>
      </c>
      <c r="AB30" s="496">
        <v>17</v>
      </c>
      <c r="AC30" s="6"/>
      <c r="AD30" s="1">
        <v>3862</v>
      </c>
      <c r="AE30" s="2" t="s">
        <v>332</v>
      </c>
      <c r="AF30" s="526">
        <v>18</v>
      </c>
    </row>
    <row r="31" spans="1:32">
      <c r="A31" s="6"/>
      <c r="B31" s="1">
        <v>24</v>
      </c>
      <c r="C31" s="15" t="s">
        <v>126</v>
      </c>
      <c r="D31" s="496">
        <v>4</v>
      </c>
      <c r="E31" s="6"/>
      <c r="F31" s="1">
        <v>316</v>
      </c>
      <c r="G31" s="2" t="s">
        <v>474</v>
      </c>
      <c r="H31" s="496">
        <v>4</v>
      </c>
      <c r="I31" s="6"/>
      <c r="J31" s="1">
        <v>552</v>
      </c>
      <c r="K31" s="2" t="s">
        <v>476</v>
      </c>
      <c r="L31" s="496">
        <v>4</v>
      </c>
      <c r="M31" s="6"/>
      <c r="N31" s="1">
        <v>758</v>
      </c>
      <c r="O31" s="2" t="s">
        <v>555</v>
      </c>
      <c r="P31" s="496">
        <v>17</v>
      </c>
      <c r="Q31" s="6"/>
      <c r="R31" s="1">
        <v>906</v>
      </c>
      <c r="S31" s="2" t="s">
        <v>478</v>
      </c>
      <c r="T31" s="496">
        <v>11</v>
      </c>
      <c r="U31" s="6"/>
      <c r="V31" s="1">
        <v>3031</v>
      </c>
      <c r="W31" s="2" t="s">
        <v>416</v>
      </c>
      <c r="X31" s="496">
        <v>18</v>
      </c>
      <c r="Y31" s="6"/>
      <c r="Z31" s="1">
        <v>3781</v>
      </c>
      <c r="AA31" s="2" t="s">
        <v>333</v>
      </c>
      <c r="AB31" s="496">
        <v>19</v>
      </c>
      <c r="AC31" s="6"/>
      <c r="AD31" s="1">
        <v>3863</v>
      </c>
      <c r="AE31" s="2" t="s">
        <v>488</v>
      </c>
      <c r="AF31" s="526">
        <v>18</v>
      </c>
    </row>
    <row r="32" spans="1:32">
      <c r="A32" s="6"/>
      <c r="B32" s="1">
        <v>25</v>
      </c>
      <c r="C32" s="2" t="s">
        <v>711</v>
      </c>
      <c r="D32" s="496">
        <v>4</v>
      </c>
      <c r="E32" s="6"/>
      <c r="F32" s="9" t="s">
        <v>89</v>
      </c>
      <c r="G32" s="6" t="s">
        <v>192</v>
      </c>
      <c r="H32" s="496">
        <v>22</v>
      </c>
      <c r="I32" s="6"/>
      <c r="J32" s="1">
        <v>553</v>
      </c>
      <c r="K32" s="2" t="s">
        <v>12</v>
      </c>
      <c r="L32" s="496">
        <v>4</v>
      </c>
      <c r="M32" s="6"/>
      <c r="N32" s="1">
        <v>760</v>
      </c>
      <c r="O32" s="2" t="s">
        <v>23</v>
      </c>
      <c r="P32" s="496">
        <v>1</v>
      </c>
      <c r="Q32" s="6"/>
      <c r="R32" s="1">
        <v>907</v>
      </c>
      <c r="S32" s="2" t="s">
        <v>562</v>
      </c>
      <c r="T32" s="496">
        <v>11</v>
      </c>
      <c r="U32" s="6"/>
      <c r="V32" s="1">
        <v>3032</v>
      </c>
      <c r="W32" s="2" t="s">
        <v>483</v>
      </c>
      <c r="X32" s="496">
        <v>19</v>
      </c>
      <c r="Y32" s="6"/>
      <c r="Z32" s="1">
        <v>3782</v>
      </c>
      <c r="AA32" s="2" t="s">
        <v>577</v>
      </c>
      <c r="AB32" s="496">
        <v>19</v>
      </c>
      <c r="AC32" s="6"/>
      <c r="AD32" s="1">
        <v>3864</v>
      </c>
      <c r="AE32" s="2" t="s">
        <v>578</v>
      </c>
      <c r="AF32" s="526">
        <v>18</v>
      </c>
    </row>
    <row r="33" spans="1:32">
      <c r="A33" s="6"/>
      <c r="B33" s="1">
        <v>26</v>
      </c>
      <c r="C33" s="2" t="s">
        <v>710</v>
      </c>
      <c r="D33" s="496">
        <v>4</v>
      </c>
      <c r="E33" s="6"/>
      <c r="F33" s="1">
        <v>317</v>
      </c>
      <c r="G33" s="2" t="s">
        <v>49</v>
      </c>
      <c r="H33" s="496">
        <v>20</v>
      </c>
      <c r="I33" s="6"/>
      <c r="J33" s="1">
        <v>554</v>
      </c>
      <c r="K33" s="2" t="s">
        <v>558</v>
      </c>
      <c r="L33" s="496">
        <v>4</v>
      </c>
      <c r="M33" s="6"/>
      <c r="N33" s="1">
        <v>761</v>
      </c>
      <c r="O33" s="2" t="s">
        <v>559</v>
      </c>
      <c r="P33" s="496">
        <v>1</v>
      </c>
      <c r="Q33" s="6"/>
      <c r="R33" s="1">
        <v>909</v>
      </c>
      <c r="S33" s="2" t="s">
        <v>415</v>
      </c>
      <c r="T33" s="496">
        <v>10</v>
      </c>
      <c r="U33" s="6"/>
      <c r="V33" s="1">
        <v>3033</v>
      </c>
      <c r="W33" s="2" t="s">
        <v>571</v>
      </c>
      <c r="X33" s="496">
        <v>19</v>
      </c>
      <c r="Y33" s="6"/>
      <c r="Z33" s="1">
        <v>3787</v>
      </c>
      <c r="AA33" s="2" t="s">
        <v>336</v>
      </c>
      <c r="AB33" s="496">
        <v>19</v>
      </c>
      <c r="AC33" s="6"/>
      <c r="AD33" s="1">
        <v>3865</v>
      </c>
      <c r="AE33" s="2" t="s">
        <v>80</v>
      </c>
      <c r="AF33" s="526">
        <v>19</v>
      </c>
    </row>
    <row r="34" spans="1:32">
      <c r="A34" s="6"/>
      <c r="B34" s="1">
        <v>27</v>
      </c>
      <c r="C34" s="15" t="s">
        <v>127</v>
      </c>
      <c r="D34" s="496">
        <v>5</v>
      </c>
      <c r="E34" s="6"/>
      <c r="F34" s="9" t="s">
        <v>97</v>
      </c>
      <c r="G34" s="6" t="s">
        <v>193</v>
      </c>
      <c r="H34" s="496">
        <v>23</v>
      </c>
      <c r="I34" s="6"/>
      <c r="J34" s="1">
        <v>561</v>
      </c>
      <c r="K34" s="2" t="s">
        <v>414</v>
      </c>
      <c r="L34" s="496">
        <v>9</v>
      </c>
      <c r="M34" s="6"/>
      <c r="N34" s="1">
        <v>762</v>
      </c>
      <c r="O34" s="2" t="s">
        <v>561</v>
      </c>
      <c r="P34" s="496">
        <v>20</v>
      </c>
      <c r="Q34" s="6"/>
      <c r="R34" s="1">
        <v>910</v>
      </c>
      <c r="S34" s="2" t="s">
        <v>330</v>
      </c>
      <c r="T34" s="496">
        <v>10</v>
      </c>
      <c r="U34" s="6"/>
      <c r="V34" s="1">
        <v>3041</v>
      </c>
      <c r="W34" s="2" t="s">
        <v>486</v>
      </c>
      <c r="X34" s="496">
        <v>5</v>
      </c>
      <c r="Y34" s="6"/>
      <c r="Z34" s="1">
        <v>3790</v>
      </c>
      <c r="AA34" s="2" t="s">
        <v>671</v>
      </c>
      <c r="AB34" s="496">
        <v>19</v>
      </c>
      <c r="AC34" s="6"/>
      <c r="AD34" s="1">
        <v>3866</v>
      </c>
      <c r="AE34" s="2" t="s">
        <v>672</v>
      </c>
      <c r="AF34" s="496">
        <v>19</v>
      </c>
    </row>
    <row r="35" spans="1:32">
      <c r="A35" s="6"/>
      <c r="B35" s="1">
        <v>28</v>
      </c>
      <c r="C35" s="2" t="s">
        <v>709</v>
      </c>
      <c r="D35" s="496">
        <v>5</v>
      </c>
      <c r="E35" s="6"/>
      <c r="F35" s="1">
        <v>318</v>
      </c>
      <c r="G35" s="2" t="s">
        <v>557</v>
      </c>
      <c r="H35" s="496">
        <v>20</v>
      </c>
      <c r="I35" s="6"/>
      <c r="J35" s="1">
        <v>562</v>
      </c>
      <c r="K35" s="2" t="s">
        <v>482</v>
      </c>
      <c r="L35" s="496">
        <v>9</v>
      </c>
      <c r="M35" s="6"/>
      <c r="N35" s="1">
        <v>772</v>
      </c>
      <c r="O35" s="2" t="s">
        <v>565</v>
      </c>
      <c r="P35" s="496">
        <v>10</v>
      </c>
      <c r="Q35" s="6"/>
      <c r="R35" s="1">
        <v>911</v>
      </c>
      <c r="S35" s="2" t="s">
        <v>485</v>
      </c>
      <c r="T35" s="496">
        <v>10</v>
      </c>
      <c r="U35" s="6"/>
      <c r="V35" s="1">
        <v>3042</v>
      </c>
      <c r="W35" s="2" t="s">
        <v>576</v>
      </c>
      <c r="X35" s="496">
        <v>5</v>
      </c>
      <c r="Y35" s="6"/>
      <c r="Z35" s="1">
        <v>3799</v>
      </c>
      <c r="AA35" s="2" t="s">
        <v>422</v>
      </c>
      <c r="AB35" s="496">
        <v>20</v>
      </c>
      <c r="AC35" s="6"/>
      <c r="AD35" s="9">
        <v>4010</v>
      </c>
      <c r="AE35" s="2" t="s">
        <v>869</v>
      </c>
      <c r="AF35" s="496">
        <v>24</v>
      </c>
    </row>
    <row r="36" spans="1:32">
      <c r="A36" s="6"/>
      <c r="B36" s="1">
        <v>29</v>
      </c>
      <c r="C36" s="15" t="s">
        <v>128</v>
      </c>
      <c r="D36" s="496">
        <v>5</v>
      </c>
      <c r="E36" s="6"/>
      <c r="F36" s="1">
        <v>319</v>
      </c>
      <c r="G36" s="2" t="s">
        <v>413</v>
      </c>
      <c r="H36" s="496">
        <v>10</v>
      </c>
      <c r="I36" s="6"/>
      <c r="J36" s="1">
        <v>563</v>
      </c>
      <c r="K36" s="2" t="s">
        <v>568</v>
      </c>
      <c r="L36" s="496">
        <v>9</v>
      </c>
      <c r="M36" s="6"/>
      <c r="N36" s="1">
        <v>775</v>
      </c>
      <c r="O36" s="2" t="s">
        <v>569</v>
      </c>
      <c r="P36" s="496">
        <v>7</v>
      </c>
      <c r="Q36" s="6"/>
      <c r="R36" s="1">
        <v>912</v>
      </c>
      <c r="S36" s="2" t="s">
        <v>574</v>
      </c>
      <c r="T36" s="496">
        <v>10</v>
      </c>
      <c r="U36" s="6"/>
      <c r="V36" s="1">
        <v>3045</v>
      </c>
      <c r="W36" s="2" t="s">
        <v>335</v>
      </c>
      <c r="X36" s="496">
        <v>13</v>
      </c>
      <c r="Y36" s="6"/>
      <c r="Z36" s="1">
        <v>3801</v>
      </c>
      <c r="AA36" s="2" t="s">
        <v>423</v>
      </c>
      <c r="AB36" s="496">
        <v>1</v>
      </c>
      <c r="AC36" s="6"/>
      <c r="AD36" s="9">
        <v>4015</v>
      </c>
      <c r="AE36" s="2" t="s">
        <v>149</v>
      </c>
      <c r="AF36" s="496">
        <v>24</v>
      </c>
    </row>
    <row r="37" spans="1:32">
      <c r="A37" s="6"/>
      <c r="B37" s="1">
        <v>30</v>
      </c>
      <c r="C37" s="2" t="s">
        <v>708</v>
      </c>
      <c r="D37" s="496">
        <v>5</v>
      </c>
      <c r="E37" s="6"/>
      <c r="F37" s="1">
        <v>320</v>
      </c>
      <c r="G37" s="2" t="s">
        <v>480</v>
      </c>
      <c r="H37" s="496">
        <v>10</v>
      </c>
      <c r="I37" s="6"/>
      <c r="J37" s="1">
        <v>564</v>
      </c>
      <c r="K37" s="2" t="s">
        <v>570</v>
      </c>
      <c r="L37" s="496">
        <v>9</v>
      </c>
      <c r="M37" s="6"/>
      <c r="N37" s="1">
        <v>777</v>
      </c>
      <c r="O37" s="2" t="s">
        <v>687</v>
      </c>
      <c r="P37" s="496">
        <v>1</v>
      </c>
      <c r="Q37" s="6"/>
      <c r="R37" s="1">
        <v>913</v>
      </c>
      <c r="S37" s="2" t="s">
        <v>487</v>
      </c>
      <c r="T37" s="496">
        <v>10</v>
      </c>
      <c r="U37" s="6"/>
      <c r="V37" s="1">
        <v>3046</v>
      </c>
      <c r="W37" s="2" t="s">
        <v>491</v>
      </c>
      <c r="X37" s="496">
        <v>13</v>
      </c>
      <c r="Y37" s="6"/>
      <c r="Z37" s="1">
        <v>3802</v>
      </c>
      <c r="AA37" s="2" t="s">
        <v>426</v>
      </c>
      <c r="AB37" s="496">
        <v>4</v>
      </c>
      <c r="AC37" s="6"/>
      <c r="AD37" s="9">
        <v>4020</v>
      </c>
      <c r="AE37" s="2" t="s">
        <v>168</v>
      </c>
      <c r="AF37" s="496">
        <v>24</v>
      </c>
    </row>
    <row r="38" spans="1:32">
      <c r="A38" s="6"/>
      <c r="B38" s="1">
        <v>31</v>
      </c>
      <c r="C38" s="15" t="s">
        <v>129</v>
      </c>
      <c r="D38" s="496">
        <v>5</v>
      </c>
      <c r="E38" s="6"/>
      <c r="F38" s="1">
        <v>321</v>
      </c>
      <c r="G38" s="2" t="s">
        <v>51</v>
      </c>
      <c r="H38" s="496">
        <v>1</v>
      </c>
      <c r="I38" s="6"/>
      <c r="J38" s="1">
        <v>580</v>
      </c>
      <c r="K38" s="2" t="s">
        <v>331</v>
      </c>
      <c r="L38" s="496">
        <v>12</v>
      </c>
      <c r="M38" s="6"/>
      <c r="N38" s="1">
        <v>778</v>
      </c>
      <c r="O38" s="2" t="s">
        <v>575</v>
      </c>
      <c r="P38" s="496">
        <v>4</v>
      </c>
      <c r="Q38" s="6"/>
      <c r="R38" s="1">
        <v>915</v>
      </c>
      <c r="S38" s="2" t="s">
        <v>334</v>
      </c>
      <c r="T38" s="496">
        <v>3</v>
      </c>
      <c r="U38" s="6"/>
      <c r="V38" s="1">
        <v>3047</v>
      </c>
      <c r="W38" s="2" t="s">
        <v>580</v>
      </c>
      <c r="X38" s="496">
        <v>13</v>
      </c>
      <c r="Y38" s="6"/>
      <c r="Z38" s="1">
        <v>3803</v>
      </c>
      <c r="AA38" s="2" t="s">
        <v>344</v>
      </c>
      <c r="AB38" s="496">
        <v>3</v>
      </c>
      <c r="AC38" s="6"/>
      <c r="AD38" s="9">
        <v>4025</v>
      </c>
      <c r="AE38" s="2" t="s">
        <v>169</v>
      </c>
      <c r="AF38" s="496">
        <v>24</v>
      </c>
    </row>
    <row r="39" spans="1:32">
      <c r="A39" s="6"/>
      <c r="B39" s="1">
        <v>32</v>
      </c>
      <c r="C39" s="2" t="s">
        <v>707</v>
      </c>
      <c r="D39" s="496">
        <v>5</v>
      </c>
      <c r="E39" s="6"/>
      <c r="F39" s="9" t="s">
        <v>84</v>
      </c>
      <c r="G39" s="6" t="s">
        <v>194</v>
      </c>
      <c r="H39" s="496">
        <v>22</v>
      </c>
      <c r="I39" s="6"/>
      <c r="J39" s="1">
        <v>581</v>
      </c>
      <c r="K39" s="2" t="s">
        <v>13</v>
      </c>
      <c r="L39" s="496">
        <v>12</v>
      </c>
      <c r="M39" s="6"/>
      <c r="N39" s="1">
        <v>779</v>
      </c>
      <c r="O39" s="2" t="s">
        <v>65</v>
      </c>
      <c r="P39" s="496">
        <v>18</v>
      </c>
      <c r="Q39" s="6"/>
      <c r="R39" s="1">
        <v>917</v>
      </c>
      <c r="S39" s="2" t="s">
        <v>490</v>
      </c>
      <c r="T39" s="496">
        <v>3</v>
      </c>
      <c r="U39" s="6"/>
      <c r="V39" s="1">
        <v>3051</v>
      </c>
      <c r="W39" s="2" t="s">
        <v>340</v>
      </c>
      <c r="X39" s="496">
        <v>12</v>
      </c>
      <c r="Y39" s="6"/>
      <c r="Z39" s="1">
        <v>3804</v>
      </c>
      <c r="AA39" s="2" t="s">
        <v>345</v>
      </c>
      <c r="AB39" s="496">
        <v>33</v>
      </c>
      <c r="AC39" s="6"/>
      <c r="AD39" s="9">
        <v>4030</v>
      </c>
      <c r="AE39" s="2" t="s">
        <v>170</v>
      </c>
      <c r="AF39" s="496">
        <v>24</v>
      </c>
    </row>
    <row r="40" spans="1:32">
      <c r="A40" s="6"/>
      <c r="B40" s="1">
        <v>33</v>
      </c>
      <c r="C40" s="15" t="s">
        <v>130</v>
      </c>
      <c r="D40" s="496">
        <v>3</v>
      </c>
      <c r="E40" s="6"/>
      <c r="F40" s="1">
        <v>322</v>
      </c>
      <c r="G40" s="2" t="s">
        <v>43</v>
      </c>
      <c r="H40" s="496">
        <v>7</v>
      </c>
      <c r="I40" s="6"/>
      <c r="J40" s="1">
        <v>597</v>
      </c>
      <c r="K40" s="2" t="s">
        <v>14</v>
      </c>
      <c r="L40" s="496">
        <v>8</v>
      </c>
      <c r="M40" s="6"/>
      <c r="N40" s="1">
        <v>780</v>
      </c>
      <c r="O40" s="2" t="s">
        <v>670</v>
      </c>
      <c r="P40" s="496">
        <v>14</v>
      </c>
      <c r="Q40" s="6"/>
      <c r="R40" s="1">
        <v>918</v>
      </c>
      <c r="S40" s="2" t="s">
        <v>337</v>
      </c>
      <c r="T40" s="496">
        <v>16</v>
      </c>
      <c r="U40" s="6"/>
      <c r="V40" s="1">
        <v>3052</v>
      </c>
      <c r="W40" s="2" t="s">
        <v>496</v>
      </c>
      <c r="X40" s="496">
        <v>12</v>
      </c>
      <c r="Y40" s="6"/>
      <c r="Z40" s="1">
        <v>3805</v>
      </c>
      <c r="AA40" s="2" t="s">
        <v>71</v>
      </c>
      <c r="AB40" s="496">
        <v>3</v>
      </c>
      <c r="AC40" s="6"/>
      <c r="AD40" s="9">
        <v>4040</v>
      </c>
      <c r="AE40" s="2" t="s">
        <v>171</v>
      </c>
      <c r="AF40" s="496">
        <v>24</v>
      </c>
    </row>
    <row r="41" spans="1:32">
      <c r="A41" s="6"/>
      <c r="B41" s="1">
        <v>34</v>
      </c>
      <c r="C41" s="2" t="s">
        <v>706</v>
      </c>
      <c r="D41" s="496">
        <v>3</v>
      </c>
      <c r="E41" s="6"/>
      <c r="F41" s="1">
        <v>326</v>
      </c>
      <c r="G41" s="2" t="s">
        <v>418</v>
      </c>
      <c r="H41" s="496">
        <v>2</v>
      </c>
      <c r="I41" s="6"/>
      <c r="J41" s="1">
        <v>598</v>
      </c>
      <c r="K41" s="2" t="s">
        <v>579</v>
      </c>
      <c r="L41" s="496">
        <v>8</v>
      </c>
      <c r="M41" s="6"/>
      <c r="N41" s="1">
        <v>782</v>
      </c>
      <c r="O41" s="2" t="s">
        <v>339</v>
      </c>
      <c r="P41" s="496">
        <v>14</v>
      </c>
      <c r="Q41" s="6"/>
      <c r="R41" s="1">
        <v>919</v>
      </c>
      <c r="S41" s="2" t="s">
        <v>29</v>
      </c>
      <c r="T41" s="496">
        <v>16</v>
      </c>
      <c r="U41" s="6"/>
      <c r="V41" s="1">
        <v>3053</v>
      </c>
      <c r="W41" s="2" t="s">
        <v>69</v>
      </c>
      <c r="X41" s="496">
        <v>12</v>
      </c>
      <c r="Y41" s="6"/>
      <c r="Z41" s="1">
        <v>3806</v>
      </c>
      <c r="AA41" s="2" t="s">
        <v>596</v>
      </c>
      <c r="AB41" s="496">
        <v>3</v>
      </c>
      <c r="AC41" s="6"/>
      <c r="AD41" s="9">
        <v>4045</v>
      </c>
      <c r="AE41" s="2" t="s">
        <v>172</v>
      </c>
      <c r="AF41" s="496">
        <v>24</v>
      </c>
    </row>
    <row r="42" spans="1:32">
      <c r="A42" s="6"/>
      <c r="B42" s="1">
        <v>35</v>
      </c>
      <c r="C42" s="2" t="s">
        <v>705</v>
      </c>
      <c r="D42" s="496">
        <v>3</v>
      </c>
      <c r="E42" s="6"/>
      <c r="F42" s="1">
        <v>327</v>
      </c>
      <c r="G42" s="2" t="s">
        <v>12</v>
      </c>
      <c r="H42" s="496">
        <v>4</v>
      </c>
      <c r="I42" s="6"/>
      <c r="J42" s="1">
        <v>600</v>
      </c>
      <c r="K42" s="2" t="s">
        <v>420</v>
      </c>
      <c r="L42" s="496">
        <v>3</v>
      </c>
      <c r="M42" s="6"/>
      <c r="N42" s="1">
        <v>783</v>
      </c>
      <c r="O42" s="2" t="s">
        <v>494</v>
      </c>
      <c r="P42" s="496">
        <v>14</v>
      </c>
      <c r="Q42" s="6"/>
      <c r="R42" s="1">
        <v>920</v>
      </c>
      <c r="S42" s="2" t="s">
        <v>495</v>
      </c>
      <c r="T42" s="496">
        <v>16</v>
      </c>
      <c r="U42" s="6"/>
      <c r="V42" s="1">
        <v>3064</v>
      </c>
      <c r="W42" s="2" t="s">
        <v>70</v>
      </c>
      <c r="X42" s="496">
        <v>17</v>
      </c>
      <c r="Y42" s="6"/>
      <c r="Z42" s="1">
        <v>3807</v>
      </c>
      <c r="AA42" s="2" t="s">
        <v>72</v>
      </c>
      <c r="AB42" s="496">
        <v>5</v>
      </c>
      <c r="AC42" s="6"/>
      <c r="AD42" s="9">
        <v>4050</v>
      </c>
      <c r="AE42" s="2" t="s">
        <v>173</v>
      </c>
      <c r="AF42" s="496">
        <v>24</v>
      </c>
    </row>
    <row r="43" spans="1:32">
      <c r="A43" s="6"/>
      <c r="B43" s="9">
        <v>48</v>
      </c>
      <c r="C43" s="6" t="s">
        <v>131</v>
      </c>
      <c r="D43" s="496">
        <v>21</v>
      </c>
      <c r="E43" s="6"/>
      <c r="F43" s="1">
        <v>333</v>
      </c>
      <c r="G43" s="2" t="s">
        <v>419</v>
      </c>
      <c r="H43" s="496">
        <v>5</v>
      </c>
      <c r="I43" s="6"/>
      <c r="J43" s="1">
        <v>601</v>
      </c>
      <c r="K43" s="2" t="s">
        <v>338</v>
      </c>
      <c r="L43" s="496">
        <v>3</v>
      </c>
      <c r="M43" s="6"/>
      <c r="N43" s="1">
        <v>791</v>
      </c>
      <c r="O43" s="2" t="s">
        <v>425</v>
      </c>
      <c r="P43" s="496">
        <v>5</v>
      </c>
      <c r="Q43" s="6"/>
      <c r="R43" s="1">
        <v>921</v>
      </c>
      <c r="S43" s="2" t="s">
        <v>30</v>
      </c>
      <c r="T43" s="496">
        <v>16</v>
      </c>
      <c r="U43" s="6"/>
      <c r="V43" s="1">
        <v>3072</v>
      </c>
      <c r="W43" s="2" t="s">
        <v>590</v>
      </c>
      <c r="X43" s="496">
        <v>20</v>
      </c>
      <c r="Y43" s="6"/>
      <c r="Z43" s="1">
        <v>3808</v>
      </c>
      <c r="AA43" s="2" t="s">
        <v>673</v>
      </c>
      <c r="AB43" s="496">
        <v>8</v>
      </c>
      <c r="AC43" s="6"/>
      <c r="AD43" s="9">
        <v>4060</v>
      </c>
      <c r="AE43" s="2" t="s">
        <v>174</v>
      </c>
      <c r="AF43" s="496">
        <v>24</v>
      </c>
    </row>
    <row r="44" spans="1:32">
      <c r="A44" s="6"/>
      <c r="B44" s="9">
        <v>51</v>
      </c>
      <c r="C44" s="6" t="s">
        <v>132</v>
      </c>
      <c r="D44" s="496">
        <v>21</v>
      </c>
      <c r="E44" s="7"/>
      <c r="F44" s="1">
        <v>334</v>
      </c>
      <c r="G44" s="2" t="s">
        <v>489</v>
      </c>
      <c r="H44" s="496">
        <v>7</v>
      </c>
      <c r="I44" s="6"/>
      <c r="J44" s="1">
        <v>602</v>
      </c>
      <c r="K44" s="2" t="s">
        <v>493</v>
      </c>
      <c r="L44" s="496">
        <v>3</v>
      </c>
      <c r="M44" s="6"/>
      <c r="N44" s="1">
        <v>792</v>
      </c>
      <c r="O44" s="2" t="s">
        <v>343</v>
      </c>
      <c r="P44" s="496">
        <v>5</v>
      </c>
      <c r="Q44" s="6"/>
      <c r="R44" s="1">
        <v>922</v>
      </c>
      <c r="S44" s="2" t="s">
        <v>587</v>
      </c>
      <c r="T44" s="496">
        <v>16</v>
      </c>
      <c r="U44" s="6"/>
      <c r="V44" s="1">
        <v>3078</v>
      </c>
      <c r="W44" s="2" t="s">
        <v>592</v>
      </c>
      <c r="X44" s="496">
        <v>15</v>
      </c>
      <c r="Y44" s="6"/>
      <c r="Z44" s="1">
        <v>3809</v>
      </c>
      <c r="AA44" s="2" t="s">
        <v>431</v>
      </c>
      <c r="AB44" s="496">
        <v>8</v>
      </c>
      <c r="AC44" s="6"/>
      <c r="AD44" s="9">
        <v>4065</v>
      </c>
      <c r="AE44" s="2" t="s">
        <v>175</v>
      </c>
      <c r="AF44" s="496">
        <v>24</v>
      </c>
    </row>
    <row r="45" spans="1:32">
      <c r="A45" s="6"/>
      <c r="B45" s="9">
        <v>52</v>
      </c>
      <c r="C45" s="6" t="s">
        <v>133</v>
      </c>
      <c r="D45" s="496">
        <v>21</v>
      </c>
      <c r="E45" s="7"/>
      <c r="F45" s="9" t="s">
        <v>85</v>
      </c>
      <c r="G45" s="6" t="s">
        <v>195</v>
      </c>
      <c r="H45" s="496">
        <v>22</v>
      </c>
      <c r="I45" s="6"/>
      <c r="J45" s="1">
        <v>603</v>
      </c>
      <c r="K45" s="2" t="s">
        <v>585</v>
      </c>
      <c r="L45" s="496">
        <v>3</v>
      </c>
      <c r="M45" s="6"/>
      <c r="N45" s="1">
        <v>793</v>
      </c>
      <c r="O45" s="2" t="s">
        <v>499</v>
      </c>
      <c r="P45" s="496">
        <v>5</v>
      </c>
      <c r="Q45" s="6"/>
      <c r="R45" s="1">
        <v>924</v>
      </c>
      <c r="S45" s="5" t="s">
        <v>427</v>
      </c>
      <c r="T45" s="496">
        <v>8</v>
      </c>
      <c r="U45" s="6"/>
      <c r="V45" s="1">
        <v>3325</v>
      </c>
      <c r="W45" s="2" t="s">
        <v>595</v>
      </c>
      <c r="X45" s="496">
        <v>7</v>
      </c>
      <c r="Y45" s="6"/>
      <c r="Z45" s="1">
        <v>3810</v>
      </c>
      <c r="AA45" s="2" t="s">
        <v>355</v>
      </c>
      <c r="AB45" s="496">
        <v>8</v>
      </c>
      <c r="AC45" s="6"/>
      <c r="AD45" s="9">
        <v>4070</v>
      </c>
      <c r="AE45" s="2" t="s">
        <v>176</v>
      </c>
      <c r="AF45" s="496">
        <v>24</v>
      </c>
    </row>
    <row r="46" spans="1:32">
      <c r="A46" s="6"/>
      <c r="B46" s="9">
        <v>53</v>
      </c>
      <c r="C46" s="6" t="s">
        <v>134</v>
      </c>
      <c r="D46" s="496">
        <v>21</v>
      </c>
      <c r="E46" s="7"/>
      <c r="F46" s="1">
        <v>335</v>
      </c>
      <c r="G46" s="2" t="s">
        <v>4</v>
      </c>
      <c r="H46" s="496">
        <v>2</v>
      </c>
      <c r="I46" s="6"/>
      <c r="J46" s="1">
        <v>604</v>
      </c>
      <c r="K46" s="2" t="s">
        <v>586</v>
      </c>
      <c r="L46" s="496">
        <v>3</v>
      </c>
      <c r="M46" s="6"/>
      <c r="N46" s="1">
        <v>794</v>
      </c>
      <c r="O46" s="2" t="s">
        <v>591</v>
      </c>
      <c r="P46" s="496">
        <v>5</v>
      </c>
      <c r="Q46" s="6"/>
      <c r="R46" s="1">
        <v>926</v>
      </c>
      <c r="S46" s="2" t="s">
        <v>500</v>
      </c>
      <c r="T46" s="496">
        <v>8</v>
      </c>
      <c r="U46" s="6"/>
      <c r="V46" s="1">
        <v>3326</v>
      </c>
      <c r="W46" s="2" t="s">
        <v>599</v>
      </c>
      <c r="X46" s="496">
        <v>2</v>
      </c>
      <c r="Y46" s="6"/>
      <c r="Z46" s="1">
        <v>3811</v>
      </c>
      <c r="AA46" s="2" t="s">
        <v>606</v>
      </c>
      <c r="AB46" s="496">
        <v>8</v>
      </c>
      <c r="AC46" s="6"/>
      <c r="AD46" s="9">
        <v>4075</v>
      </c>
      <c r="AE46" s="2" t="s">
        <v>177</v>
      </c>
      <c r="AF46" s="496">
        <v>24</v>
      </c>
    </row>
    <row r="47" spans="1:32">
      <c r="A47" s="6"/>
      <c r="B47" s="9">
        <v>67</v>
      </c>
      <c r="C47" s="6" t="s">
        <v>135</v>
      </c>
      <c r="D47" s="496">
        <v>21</v>
      </c>
      <c r="E47" s="7"/>
      <c r="F47" s="1">
        <v>336</v>
      </c>
      <c r="G47" s="2" t="s">
        <v>54</v>
      </c>
      <c r="H47" s="496">
        <v>7</v>
      </c>
      <c r="I47" s="6"/>
      <c r="J47" s="1">
        <v>605</v>
      </c>
      <c r="K47" s="2" t="s">
        <v>589</v>
      </c>
      <c r="L47" s="496">
        <v>3</v>
      </c>
      <c r="M47" s="6"/>
      <c r="N47" s="1">
        <v>796</v>
      </c>
      <c r="O47" s="2" t="s">
        <v>347</v>
      </c>
      <c r="P47" s="496">
        <v>6</v>
      </c>
      <c r="Q47" s="6"/>
      <c r="R47" s="1">
        <v>927</v>
      </c>
      <c r="S47" s="2" t="s">
        <v>594</v>
      </c>
      <c r="T47" s="496">
        <v>8</v>
      </c>
      <c r="U47" s="6"/>
      <c r="V47" s="1">
        <v>3328</v>
      </c>
      <c r="W47" s="2" t="s">
        <v>352</v>
      </c>
      <c r="X47" s="496">
        <v>1</v>
      </c>
      <c r="Y47" s="6"/>
      <c r="Z47" s="1">
        <v>3812</v>
      </c>
      <c r="AA47" s="2" t="s">
        <v>434</v>
      </c>
      <c r="AB47" s="496">
        <v>9</v>
      </c>
      <c r="AC47" s="6"/>
      <c r="AD47" s="9">
        <v>4077</v>
      </c>
      <c r="AE47" s="2" t="s">
        <v>178</v>
      </c>
      <c r="AF47" s="496">
        <v>24</v>
      </c>
    </row>
    <row r="48" spans="1:32">
      <c r="A48" s="6"/>
      <c r="B48" s="9">
        <v>69</v>
      </c>
      <c r="C48" s="6" t="s">
        <v>136</v>
      </c>
      <c r="D48" s="496">
        <v>21</v>
      </c>
      <c r="E48" s="7"/>
      <c r="F48" s="1">
        <v>340</v>
      </c>
      <c r="G48" s="2" t="s">
        <v>492</v>
      </c>
      <c r="H48" s="496">
        <v>5</v>
      </c>
      <c r="I48" s="6"/>
      <c r="J48" s="1">
        <v>606</v>
      </c>
      <c r="K48" s="2" t="s">
        <v>453</v>
      </c>
      <c r="L48" s="496">
        <v>15</v>
      </c>
      <c r="M48" s="6"/>
      <c r="N48" s="1">
        <v>797</v>
      </c>
      <c r="O48" s="2" t="s">
        <v>24</v>
      </c>
      <c r="P48" s="496">
        <v>6</v>
      </c>
      <c r="Q48" s="6"/>
      <c r="R48" s="1">
        <v>928</v>
      </c>
      <c r="S48" s="2" t="s">
        <v>598</v>
      </c>
      <c r="T48" s="496">
        <v>8</v>
      </c>
      <c r="U48" s="6"/>
      <c r="V48" s="1">
        <v>3340</v>
      </c>
      <c r="W48" s="2" t="s">
        <v>504</v>
      </c>
      <c r="X48" s="496">
        <v>15</v>
      </c>
      <c r="Y48" s="6"/>
      <c r="Z48" s="1">
        <v>3813</v>
      </c>
      <c r="AA48" s="2" t="s">
        <v>608</v>
      </c>
      <c r="AB48" s="496">
        <v>9</v>
      </c>
      <c r="AC48" s="6"/>
      <c r="AD48" s="9">
        <v>4080</v>
      </c>
      <c r="AE48" s="2" t="s">
        <v>179</v>
      </c>
      <c r="AF48" s="496">
        <v>24</v>
      </c>
    </row>
    <row r="49" spans="1:32">
      <c r="A49" s="6"/>
      <c r="B49" s="9">
        <v>90</v>
      </c>
      <c r="C49" s="6" t="s">
        <v>137</v>
      </c>
      <c r="D49" s="496">
        <v>21</v>
      </c>
      <c r="E49" s="7"/>
      <c r="F49" s="1">
        <v>341</v>
      </c>
      <c r="G49" s="2" t="s">
        <v>583</v>
      </c>
      <c r="H49" s="496">
        <v>5</v>
      </c>
      <c r="I49" s="6"/>
      <c r="J49" s="1">
        <v>608</v>
      </c>
      <c r="K49" s="2" t="s">
        <v>454</v>
      </c>
      <c r="L49" s="496">
        <v>15</v>
      </c>
      <c r="M49" s="6"/>
      <c r="N49" s="1">
        <v>798</v>
      </c>
      <c r="O49" s="2" t="s">
        <v>350</v>
      </c>
      <c r="P49" s="496">
        <v>6</v>
      </c>
      <c r="Q49" s="6"/>
      <c r="R49" s="1">
        <v>930</v>
      </c>
      <c r="S49" s="2" t="s">
        <v>351</v>
      </c>
      <c r="T49" s="496">
        <v>7</v>
      </c>
      <c r="U49" s="6"/>
      <c r="V49" s="1">
        <v>3341</v>
      </c>
      <c r="W49" s="2" t="s">
        <v>37</v>
      </c>
      <c r="X49" s="496">
        <v>15</v>
      </c>
      <c r="Y49" s="6"/>
      <c r="Z49" s="1">
        <v>3814</v>
      </c>
      <c r="AA49" s="2" t="s">
        <v>36</v>
      </c>
      <c r="AB49" s="496">
        <v>9</v>
      </c>
      <c r="AC49" s="6"/>
      <c r="AD49" s="9">
        <v>4090</v>
      </c>
      <c r="AE49" s="2" t="s">
        <v>180</v>
      </c>
      <c r="AF49" s="496">
        <v>24</v>
      </c>
    </row>
    <row r="50" spans="1:32">
      <c r="A50" s="6"/>
      <c r="B50" s="9">
        <v>92</v>
      </c>
      <c r="C50" s="6" t="s">
        <v>138</v>
      </c>
      <c r="D50" s="496">
        <v>21</v>
      </c>
      <c r="E50" s="7"/>
      <c r="F50" s="1">
        <v>347</v>
      </c>
      <c r="G50" s="2" t="s">
        <v>424</v>
      </c>
      <c r="H50" s="496">
        <v>1</v>
      </c>
      <c r="I50" s="6"/>
      <c r="J50" s="1">
        <v>610</v>
      </c>
      <c r="K50" s="2" t="s">
        <v>348</v>
      </c>
      <c r="L50" s="496">
        <v>13</v>
      </c>
      <c r="M50" s="6"/>
      <c r="N50" s="1">
        <v>799</v>
      </c>
      <c r="O50" s="2" t="s">
        <v>502</v>
      </c>
      <c r="P50" s="496">
        <v>6</v>
      </c>
      <c r="Q50" s="6"/>
      <c r="R50" s="1">
        <v>931</v>
      </c>
      <c r="S50" s="2" t="s">
        <v>503</v>
      </c>
      <c r="T50" s="496">
        <v>7</v>
      </c>
      <c r="U50" s="6"/>
      <c r="V50" s="1">
        <v>3345</v>
      </c>
      <c r="W50" s="2" t="s">
        <v>357</v>
      </c>
      <c r="X50" s="496">
        <v>10</v>
      </c>
      <c r="Y50" s="6"/>
      <c r="Z50" s="1">
        <v>3815</v>
      </c>
      <c r="AA50" s="2" t="s">
        <v>361</v>
      </c>
      <c r="AB50" s="496">
        <v>9</v>
      </c>
      <c r="AC50" s="6"/>
      <c r="AD50" s="9">
        <v>4100</v>
      </c>
      <c r="AE50" s="2" t="s">
        <v>181</v>
      </c>
      <c r="AF50" s="496">
        <v>24</v>
      </c>
    </row>
    <row r="51" spans="1:32">
      <c r="A51" s="6"/>
      <c r="B51" s="9">
        <v>93</v>
      </c>
      <c r="C51" s="6" t="s">
        <v>139</v>
      </c>
      <c r="D51" s="496">
        <v>21</v>
      </c>
      <c r="E51" s="7"/>
      <c r="F51" s="1">
        <v>349</v>
      </c>
      <c r="G51" s="2" t="s">
        <v>342</v>
      </c>
      <c r="H51" s="496">
        <v>1</v>
      </c>
      <c r="I51" s="6"/>
      <c r="J51" s="1">
        <v>611</v>
      </c>
      <c r="K51" s="2" t="s">
        <v>62</v>
      </c>
      <c r="L51" s="496">
        <v>13</v>
      </c>
      <c r="M51" s="6"/>
      <c r="N51" s="1">
        <v>800</v>
      </c>
      <c r="O51" s="2" t="s">
        <v>699</v>
      </c>
      <c r="P51" s="496">
        <v>6</v>
      </c>
      <c r="Q51" s="6"/>
      <c r="R51" s="1">
        <v>932</v>
      </c>
      <c r="S51" s="2" t="s">
        <v>604</v>
      </c>
      <c r="T51" s="496">
        <v>7</v>
      </c>
      <c r="U51" s="6"/>
      <c r="V51" s="1">
        <v>3346</v>
      </c>
      <c r="W51" s="2" t="s">
        <v>38</v>
      </c>
      <c r="X51" s="496">
        <v>10</v>
      </c>
      <c r="Y51" s="6"/>
      <c r="Z51" s="1">
        <v>3816</v>
      </c>
      <c r="AA51" s="2" t="s">
        <v>74</v>
      </c>
      <c r="AB51" s="496">
        <v>9</v>
      </c>
      <c r="AC51" s="6"/>
      <c r="AD51" s="9">
        <v>4110</v>
      </c>
      <c r="AE51" s="2" t="s">
        <v>182</v>
      </c>
      <c r="AF51" s="496">
        <v>24</v>
      </c>
    </row>
    <row r="52" spans="1:32">
      <c r="A52" s="6"/>
      <c r="B52" s="9">
        <v>94</v>
      </c>
      <c r="C52" s="6" t="s">
        <v>140</v>
      </c>
      <c r="D52" s="496">
        <v>21</v>
      </c>
      <c r="E52" s="7"/>
      <c r="F52" s="1">
        <v>350</v>
      </c>
      <c r="G52" s="2" t="s">
        <v>498</v>
      </c>
      <c r="H52" s="496">
        <v>1</v>
      </c>
      <c r="I52" s="6"/>
      <c r="J52" s="1">
        <v>612</v>
      </c>
      <c r="K52" s="2" t="s">
        <v>600</v>
      </c>
      <c r="L52" s="496">
        <v>13</v>
      </c>
      <c r="M52" s="6"/>
      <c r="N52" s="1">
        <v>801</v>
      </c>
      <c r="O52" s="2" t="s">
        <v>356</v>
      </c>
      <c r="P52" s="496">
        <v>18</v>
      </c>
      <c r="Q52" s="6"/>
      <c r="R52" s="1">
        <v>934</v>
      </c>
      <c r="S52" s="2" t="s">
        <v>67</v>
      </c>
      <c r="T52" s="496">
        <v>11</v>
      </c>
      <c r="U52" s="6"/>
      <c r="V52" s="1">
        <v>3347</v>
      </c>
      <c r="W52" s="2" t="s">
        <v>506</v>
      </c>
      <c r="X52" s="496">
        <v>10</v>
      </c>
      <c r="Y52" s="6"/>
      <c r="Z52" s="1">
        <v>3817</v>
      </c>
      <c r="AA52" s="2" t="s">
        <v>615</v>
      </c>
      <c r="AB52" s="496">
        <v>9</v>
      </c>
      <c r="AC52" s="6"/>
      <c r="AD52" s="9">
        <v>4120</v>
      </c>
      <c r="AE52" s="2" t="s">
        <v>183</v>
      </c>
      <c r="AF52" s="496">
        <v>24</v>
      </c>
    </row>
    <row r="53" spans="1:32">
      <c r="A53" s="6"/>
      <c r="B53" s="9">
        <v>99</v>
      </c>
      <c r="C53" s="6" t="s">
        <v>141</v>
      </c>
      <c r="D53" s="496">
        <v>21</v>
      </c>
      <c r="E53" s="7"/>
      <c r="F53" s="1">
        <v>351</v>
      </c>
      <c r="G53" s="2" t="s">
        <v>5</v>
      </c>
      <c r="H53" s="496">
        <v>1</v>
      </c>
      <c r="I53" s="6"/>
      <c r="J53" s="1">
        <v>613</v>
      </c>
      <c r="K53" s="2" t="s">
        <v>603</v>
      </c>
      <c r="L53" s="496">
        <v>13</v>
      </c>
      <c r="M53" s="6"/>
      <c r="N53" s="1">
        <v>803</v>
      </c>
      <c r="O53" s="2" t="s">
        <v>688</v>
      </c>
      <c r="P53" s="496">
        <v>7</v>
      </c>
      <c r="Q53" s="6"/>
      <c r="R53" s="1">
        <v>935</v>
      </c>
      <c r="S53" s="2" t="s">
        <v>358</v>
      </c>
      <c r="T53" s="496">
        <v>11</v>
      </c>
      <c r="U53" s="6"/>
      <c r="V53" s="1">
        <v>3348</v>
      </c>
      <c r="W53" s="2" t="s">
        <v>609</v>
      </c>
      <c r="X53" s="496">
        <v>10</v>
      </c>
      <c r="Y53" s="6"/>
      <c r="Z53" s="1">
        <v>3818</v>
      </c>
      <c r="AA53" s="2" t="s">
        <v>677</v>
      </c>
      <c r="AB53" s="496">
        <v>10</v>
      </c>
      <c r="AC53" s="6"/>
      <c r="AD53" s="9">
        <v>4124</v>
      </c>
      <c r="AE53" s="2" t="s">
        <v>150</v>
      </c>
      <c r="AF53" s="496">
        <v>24</v>
      </c>
    </row>
    <row r="54" spans="1:32">
      <c r="A54" s="6"/>
      <c r="B54" s="9">
        <v>105</v>
      </c>
      <c r="C54" s="6" t="s">
        <v>142</v>
      </c>
      <c r="D54" s="496">
        <v>21</v>
      </c>
      <c r="E54" s="7"/>
      <c r="F54" s="1">
        <v>352</v>
      </c>
      <c r="G54" s="2" t="s">
        <v>593</v>
      </c>
      <c r="H54" s="496">
        <v>1</v>
      </c>
      <c r="I54" s="6"/>
      <c r="J54" s="1">
        <v>632</v>
      </c>
      <c r="K54" s="2" t="s">
        <v>674</v>
      </c>
      <c r="L54" s="496">
        <v>17</v>
      </c>
      <c r="M54" s="6"/>
      <c r="N54" s="1">
        <v>807</v>
      </c>
      <c r="O54" s="2" t="s">
        <v>25</v>
      </c>
      <c r="P54" s="496">
        <v>8</v>
      </c>
      <c r="Q54" s="6"/>
      <c r="R54" s="1">
        <v>936</v>
      </c>
      <c r="S54" s="2" t="s">
        <v>435</v>
      </c>
      <c r="T54" s="496">
        <v>11</v>
      </c>
      <c r="U54" s="6"/>
      <c r="V54" s="1">
        <v>3350</v>
      </c>
      <c r="W54" s="2" t="s">
        <v>676</v>
      </c>
      <c r="X54" s="496">
        <v>2</v>
      </c>
      <c r="Y54" s="6"/>
      <c r="Z54" s="1">
        <v>3819</v>
      </c>
      <c r="AA54" s="2" t="s">
        <v>617</v>
      </c>
      <c r="AB54" s="496">
        <v>12</v>
      </c>
      <c r="AC54" s="6"/>
      <c r="AD54" s="9">
        <v>4126</v>
      </c>
      <c r="AE54" s="2" t="s">
        <v>151</v>
      </c>
      <c r="AF54" s="496">
        <v>24</v>
      </c>
    </row>
    <row r="55" spans="1:32">
      <c r="A55" s="6"/>
      <c r="B55" s="9">
        <v>106</v>
      </c>
      <c r="C55" s="6" t="s">
        <v>143</v>
      </c>
      <c r="D55" s="496">
        <v>21</v>
      </c>
      <c r="E55" s="7"/>
      <c r="F55" s="1">
        <v>353</v>
      </c>
      <c r="G55" s="2" t="s">
        <v>58</v>
      </c>
      <c r="H55" s="496">
        <v>1</v>
      </c>
      <c r="I55" s="6"/>
      <c r="J55" s="1">
        <v>640</v>
      </c>
      <c r="K55" s="2" t="s">
        <v>433</v>
      </c>
      <c r="L55" s="496">
        <v>19</v>
      </c>
      <c r="M55" s="6"/>
      <c r="N55" s="1">
        <v>809</v>
      </c>
      <c r="O55" s="2" t="s">
        <v>64</v>
      </c>
      <c r="P55" s="496">
        <v>6</v>
      </c>
      <c r="Q55" s="6"/>
      <c r="R55" s="1">
        <v>937</v>
      </c>
      <c r="S55" s="2" t="s">
        <v>508</v>
      </c>
      <c r="T55" s="496">
        <v>11</v>
      </c>
      <c r="U55" s="6"/>
      <c r="V55" s="1">
        <v>3354</v>
      </c>
      <c r="W55" s="2" t="s">
        <v>613</v>
      </c>
      <c r="X55" s="496">
        <v>2</v>
      </c>
      <c r="Y55" s="6"/>
      <c r="Z55" s="1">
        <v>3820</v>
      </c>
      <c r="AA55" s="2" t="s">
        <v>372</v>
      </c>
      <c r="AB55" s="496">
        <v>14</v>
      </c>
      <c r="AC55" s="6"/>
      <c r="AD55" s="9">
        <v>4128</v>
      </c>
      <c r="AE55" s="2" t="s">
        <v>152</v>
      </c>
      <c r="AF55" s="496">
        <v>24</v>
      </c>
    </row>
    <row r="56" spans="1:32">
      <c r="A56" s="6"/>
      <c r="B56" s="9">
        <v>107</v>
      </c>
      <c r="C56" s="6" t="s">
        <v>144</v>
      </c>
      <c r="D56" s="496">
        <v>21</v>
      </c>
      <c r="E56" s="7"/>
      <c r="F56" s="1">
        <v>355</v>
      </c>
      <c r="G56" s="2" t="s">
        <v>349</v>
      </c>
      <c r="H56" s="496">
        <v>17</v>
      </c>
      <c r="I56" s="6"/>
      <c r="J56" s="1">
        <v>642</v>
      </c>
      <c r="K56" s="2" t="s">
        <v>359</v>
      </c>
      <c r="L56" s="496">
        <v>19</v>
      </c>
      <c r="M56" s="6"/>
      <c r="N56" s="1">
        <v>813</v>
      </c>
      <c r="O56" s="2" t="s">
        <v>612</v>
      </c>
      <c r="P56" s="496">
        <v>6</v>
      </c>
      <c r="Q56" s="6"/>
      <c r="R56" s="1">
        <v>938</v>
      </c>
      <c r="S56" s="2" t="s">
        <v>675</v>
      </c>
      <c r="T56" s="496">
        <v>18</v>
      </c>
      <c r="U56" s="6"/>
      <c r="V56" s="1">
        <v>3362</v>
      </c>
      <c r="W56" s="2" t="s">
        <v>366</v>
      </c>
      <c r="X56" s="496">
        <v>11</v>
      </c>
      <c r="Y56" s="6"/>
      <c r="Z56" s="1">
        <v>3821</v>
      </c>
      <c r="AA56" s="2" t="s">
        <v>75</v>
      </c>
      <c r="AB56" s="496">
        <v>14</v>
      </c>
      <c r="AC56" s="6"/>
      <c r="AD56" s="9">
        <v>4130</v>
      </c>
      <c r="AE56" s="2" t="s">
        <v>153</v>
      </c>
      <c r="AF56" s="526">
        <v>25</v>
      </c>
    </row>
    <row r="57" spans="1:32">
      <c r="A57" s="6"/>
      <c r="B57" s="9">
        <v>111</v>
      </c>
      <c r="C57" s="6" t="s">
        <v>145</v>
      </c>
      <c r="D57" s="496">
        <v>21</v>
      </c>
      <c r="E57" s="7"/>
      <c r="F57" s="1">
        <v>356</v>
      </c>
      <c r="G57" s="2" t="s">
        <v>501</v>
      </c>
      <c r="H57" s="496">
        <v>17</v>
      </c>
      <c r="I57" s="6"/>
      <c r="J57" s="1">
        <v>644</v>
      </c>
      <c r="K57" s="2" t="s">
        <v>507</v>
      </c>
      <c r="L57" s="496">
        <v>19</v>
      </c>
      <c r="M57" s="6"/>
      <c r="N57" s="1">
        <v>814</v>
      </c>
      <c r="O57" s="2" t="s">
        <v>365</v>
      </c>
      <c r="P57" s="496">
        <v>1</v>
      </c>
      <c r="Q57" s="6"/>
      <c r="R57" s="1">
        <v>939</v>
      </c>
      <c r="S57" s="2" t="s">
        <v>437</v>
      </c>
      <c r="T57" s="496">
        <v>7</v>
      </c>
      <c r="U57" s="6"/>
      <c r="V57" s="1">
        <v>3363</v>
      </c>
      <c r="W57" s="2" t="s">
        <v>512</v>
      </c>
      <c r="X57" s="496">
        <v>11</v>
      </c>
      <c r="Y57" s="6"/>
      <c r="Z57" s="9" t="s">
        <v>99</v>
      </c>
      <c r="AA57" s="6" t="s">
        <v>212</v>
      </c>
      <c r="AB57" s="496">
        <v>23</v>
      </c>
      <c r="AC57" s="6"/>
      <c r="AD57" s="9">
        <v>4140</v>
      </c>
      <c r="AE57" s="2" t="s">
        <v>154</v>
      </c>
      <c r="AF57" s="526">
        <v>25</v>
      </c>
    </row>
    <row r="58" spans="1:32">
      <c r="A58" s="6"/>
      <c r="B58" s="9">
        <v>115</v>
      </c>
      <c r="C58" s="6" t="s">
        <v>146</v>
      </c>
      <c r="D58" s="496">
        <v>21</v>
      </c>
      <c r="E58" s="7"/>
      <c r="F58" s="1">
        <v>367</v>
      </c>
      <c r="G58" s="2" t="s">
        <v>354</v>
      </c>
      <c r="H58" s="496">
        <v>10</v>
      </c>
      <c r="I58" s="6"/>
      <c r="J58" s="1">
        <v>645</v>
      </c>
      <c r="K58" s="2" t="s">
        <v>436</v>
      </c>
      <c r="L58" s="496">
        <v>20</v>
      </c>
      <c r="M58" s="6"/>
      <c r="N58" s="1">
        <v>815</v>
      </c>
      <c r="O58" s="2" t="s">
        <v>511</v>
      </c>
      <c r="P58" s="496">
        <v>1</v>
      </c>
      <c r="Q58" s="6"/>
      <c r="R58" s="9" t="s">
        <v>116</v>
      </c>
      <c r="S58" s="6" t="s">
        <v>117</v>
      </c>
      <c r="T58" s="496">
        <v>22</v>
      </c>
      <c r="U58" s="6"/>
      <c r="V58" s="1">
        <v>3364</v>
      </c>
      <c r="W58" s="2" t="s">
        <v>39</v>
      </c>
      <c r="X58" s="496">
        <v>11</v>
      </c>
      <c r="Y58" s="6"/>
      <c r="Z58" s="1">
        <v>3822</v>
      </c>
      <c r="AA58" s="2" t="s">
        <v>625</v>
      </c>
      <c r="AB58" s="496">
        <v>14</v>
      </c>
      <c r="AC58" s="6"/>
      <c r="AD58" s="9">
        <v>4145</v>
      </c>
      <c r="AE58" s="2" t="s">
        <v>155</v>
      </c>
      <c r="AF58" s="526">
        <v>25</v>
      </c>
    </row>
    <row r="59" spans="1:32">
      <c r="A59" s="6"/>
      <c r="B59" s="9">
        <v>121</v>
      </c>
      <c r="C59" s="2" t="s">
        <v>748</v>
      </c>
      <c r="D59" s="496">
        <v>21</v>
      </c>
      <c r="E59" s="7"/>
      <c r="F59" s="1">
        <v>368</v>
      </c>
      <c r="G59" s="2" t="s">
        <v>605</v>
      </c>
      <c r="H59" s="496">
        <v>10</v>
      </c>
      <c r="I59" s="6"/>
      <c r="J59" s="1">
        <v>646</v>
      </c>
      <c r="K59" s="2" t="s">
        <v>362</v>
      </c>
      <c r="L59" s="496">
        <v>20</v>
      </c>
      <c r="M59" s="6"/>
      <c r="N59" s="9" t="s">
        <v>93</v>
      </c>
      <c r="O59" s="6" t="s">
        <v>204</v>
      </c>
      <c r="P59" s="496">
        <v>22</v>
      </c>
      <c r="Q59" s="6"/>
      <c r="R59" s="1">
        <v>943</v>
      </c>
      <c r="S59" s="2" t="s">
        <v>510</v>
      </c>
      <c r="T59" s="496">
        <v>9</v>
      </c>
      <c r="U59" s="6"/>
      <c r="V59" s="1">
        <v>3371</v>
      </c>
      <c r="W59" s="2" t="s">
        <v>40</v>
      </c>
      <c r="X59" s="496">
        <v>18</v>
      </c>
      <c r="Y59" s="6"/>
      <c r="Z59" s="1">
        <v>3823</v>
      </c>
      <c r="AA59" s="2" t="s">
        <v>700</v>
      </c>
      <c r="AB59" s="496">
        <v>14</v>
      </c>
      <c r="AC59" s="6"/>
      <c r="AD59" s="9">
        <v>4150</v>
      </c>
      <c r="AE59" s="2" t="s">
        <v>156</v>
      </c>
      <c r="AF59" s="526">
        <v>25</v>
      </c>
    </row>
    <row r="60" spans="1:32">
      <c r="A60" s="6"/>
      <c r="B60" s="9">
        <v>125</v>
      </c>
      <c r="C60" s="6" t="s">
        <v>148</v>
      </c>
      <c r="D60" s="496">
        <v>21</v>
      </c>
      <c r="E60" s="7"/>
      <c r="F60" s="1">
        <v>369</v>
      </c>
      <c r="G60" s="2" t="s">
        <v>607</v>
      </c>
      <c r="H60" s="496">
        <v>10</v>
      </c>
      <c r="I60" s="6"/>
      <c r="J60" s="1">
        <v>647</v>
      </c>
      <c r="K60" s="2" t="s">
        <v>509</v>
      </c>
      <c r="L60" s="496">
        <v>20</v>
      </c>
      <c r="M60" s="6"/>
      <c r="N60" s="1">
        <v>816</v>
      </c>
      <c r="O60" s="2" t="s">
        <v>26</v>
      </c>
      <c r="P60" s="496">
        <v>1</v>
      </c>
      <c r="Q60" s="6"/>
      <c r="R60" s="1">
        <v>945</v>
      </c>
      <c r="S60" s="2" t="s">
        <v>68</v>
      </c>
      <c r="T60" s="496">
        <v>16</v>
      </c>
      <c r="U60" s="6"/>
      <c r="V60" s="1">
        <v>3607</v>
      </c>
      <c r="W60" s="2" t="s">
        <v>621</v>
      </c>
      <c r="X60" s="496">
        <v>3</v>
      </c>
      <c r="Y60" s="6"/>
      <c r="Z60" s="1">
        <v>3824</v>
      </c>
      <c r="AA60" s="2" t="s">
        <v>629</v>
      </c>
      <c r="AB60" s="496">
        <v>15</v>
      </c>
      <c r="AC60" s="6"/>
      <c r="AD60" s="9">
        <v>4160</v>
      </c>
      <c r="AE60" s="2" t="s">
        <v>157</v>
      </c>
      <c r="AF60" s="526">
        <v>25</v>
      </c>
    </row>
    <row r="61" spans="1:32">
      <c r="A61" s="6"/>
      <c r="B61" s="9" t="s">
        <v>81</v>
      </c>
      <c r="C61" s="6" t="s">
        <v>185</v>
      </c>
      <c r="D61" s="496">
        <v>22</v>
      </c>
      <c r="E61" s="7"/>
      <c r="F61" s="1">
        <v>370</v>
      </c>
      <c r="G61" s="2" t="s">
        <v>505</v>
      </c>
      <c r="H61" s="496">
        <v>12</v>
      </c>
      <c r="I61" s="6"/>
      <c r="J61" s="1">
        <v>648</v>
      </c>
      <c r="K61" s="2" t="s">
        <v>616</v>
      </c>
      <c r="L61" s="496">
        <v>20</v>
      </c>
      <c r="M61" s="6"/>
      <c r="N61" s="1">
        <v>817</v>
      </c>
      <c r="O61" s="2" t="s">
        <v>439</v>
      </c>
      <c r="P61" s="496">
        <v>1</v>
      </c>
      <c r="Q61" s="6"/>
      <c r="R61" s="1">
        <v>946</v>
      </c>
      <c r="S61" s="2" t="s">
        <v>513</v>
      </c>
      <c r="T61" s="496">
        <v>15</v>
      </c>
      <c r="U61" s="6"/>
      <c r="V61" s="1">
        <v>3608</v>
      </c>
      <c r="W61" s="2" t="s">
        <v>624</v>
      </c>
      <c r="X61" s="496">
        <v>3</v>
      </c>
      <c r="Y61" s="6"/>
      <c r="Z61" s="1">
        <v>3825</v>
      </c>
      <c r="AA61" s="2" t="s">
        <v>701</v>
      </c>
      <c r="AB61" s="496">
        <v>16</v>
      </c>
      <c r="AC61" s="6"/>
      <c r="AD61" s="9">
        <v>4170</v>
      </c>
      <c r="AE61" s="2" t="s">
        <v>158</v>
      </c>
      <c r="AF61" s="526">
        <v>25</v>
      </c>
    </row>
    <row r="62" spans="1:32">
      <c r="A62" s="6"/>
      <c r="B62" s="9" t="s">
        <v>82</v>
      </c>
      <c r="C62" s="6" t="s">
        <v>186</v>
      </c>
      <c r="D62" s="496">
        <v>22</v>
      </c>
      <c r="E62" s="6"/>
      <c r="F62" s="1">
        <v>371</v>
      </c>
      <c r="G62" s="2" t="s">
        <v>6</v>
      </c>
      <c r="H62" s="496">
        <v>12</v>
      </c>
      <c r="I62" s="6"/>
      <c r="J62" s="1">
        <v>666</v>
      </c>
      <c r="K62" s="2" t="s">
        <v>456</v>
      </c>
      <c r="L62" s="496">
        <v>1</v>
      </c>
      <c r="M62" s="6"/>
      <c r="N62" s="1">
        <v>818</v>
      </c>
      <c r="O62" s="2" t="s">
        <v>27</v>
      </c>
      <c r="P62" s="496">
        <v>2</v>
      </c>
      <c r="Q62" s="6"/>
      <c r="R62" s="1">
        <v>947</v>
      </c>
      <c r="S62" s="2" t="s">
        <v>31</v>
      </c>
      <c r="T62" s="496">
        <v>15</v>
      </c>
      <c r="U62" s="6"/>
      <c r="V62" s="1">
        <v>3609</v>
      </c>
      <c r="W62" s="2" t="s">
        <v>679</v>
      </c>
      <c r="X62" s="496">
        <v>3</v>
      </c>
      <c r="Y62" s="6"/>
      <c r="Z62" s="1">
        <v>3826</v>
      </c>
      <c r="AA62" s="2" t="s">
        <v>76</v>
      </c>
      <c r="AB62" s="496">
        <v>14</v>
      </c>
      <c r="AC62" s="6"/>
      <c r="AD62" s="9">
        <v>4180</v>
      </c>
      <c r="AE62" s="2" t="s">
        <v>159</v>
      </c>
      <c r="AF62" s="526">
        <v>25</v>
      </c>
    </row>
    <row r="63" spans="1:32">
      <c r="A63" s="6"/>
      <c r="B63" s="1">
        <v>150</v>
      </c>
      <c r="C63" s="2" t="s">
        <v>456</v>
      </c>
      <c r="D63" s="496">
        <v>2</v>
      </c>
      <c r="E63" s="6"/>
      <c r="F63" s="1">
        <v>372</v>
      </c>
      <c r="G63" s="2" t="s">
        <v>611</v>
      </c>
      <c r="H63" s="496">
        <v>12</v>
      </c>
      <c r="I63" s="6"/>
      <c r="J63" s="1">
        <v>676</v>
      </c>
      <c r="K63" s="2" t="s">
        <v>618</v>
      </c>
      <c r="L63" s="496">
        <v>14</v>
      </c>
      <c r="M63" s="6"/>
      <c r="N63" s="9" t="s">
        <v>109</v>
      </c>
      <c r="O63" s="6" t="s">
        <v>205</v>
      </c>
      <c r="P63" s="496">
        <v>23</v>
      </c>
      <c r="Q63" s="6"/>
      <c r="R63" s="1">
        <v>948</v>
      </c>
      <c r="S63" s="2" t="s">
        <v>620</v>
      </c>
      <c r="T63" s="496">
        <v>17</v>
      </c>
      <c r="U63" s="6"/>
      <c r="V63" s="1">
        <v>3685</v>
      </c>
      <c r="W63" s="2" t="s">
        <v>428</v>
      </c>
      <c r="X63" s="496">
        <v>3</v>
      </c>
      <c r="Y63" s="6"/>
      <c r="Z63" s="1">
        <v>3827</v>
      </c>
      <c r="AA63" s="2" t="s">
        <v>703</v>
      </c>
      <c r="AB63" s="496">
        <v>14</v>
      </c>
      <c r="AC63" s="6"/>
      <c r="AD63" s="9">
        <v>4190</v>
      </c>
      <c r="AE63" s="2" t="s">
        <v>160</v>
      </c>
      <c r="AF63" s="526">
        <v>25</v>
      </c>
    </row>
    <row r="64" spans="1:32">
      <c r="A64" s="6"/>
      <c r="B64" s="1">
        <v>151</v>
      </c>
      <c r="C64" s="2" t="s">
        <v>50</v>
      </c>
      <c r="D64" s="496">
        <v>2</v>
      </c>
      <c r="E64" s="6"/>
      <c r="F64" s="1">
        <v>400</v>
      </c>
      <c r="G64" s="2" t="s">
        <v>363</v>
      </c>
      <c r="H64" s="496">
        <v>16</v>
      </c>
      <c r="I64" s="6"/>
      <c r="J64" s="1">
        <v>677</v>
      </c>
      <c r="K64" s="2" t="s">
        <v>619</v>
      </c>
      <c r="L64" s="496">
        <v>13</v>
      </c>
      <c r="M64" s="6"/>
      <c r="N64" s="1">
        <v>819</v>
      </c>
      <c r="O64" s="2" t="s">
        <v>622</v>
      </c>
      <c r="P64" s="496">
        <v>2</v>
      </c>
      <c r="Q64" s="6"/>
      <c r="R64" s="1">
        <v>950</v>
      </c>
      <c r="S64" s="2" t="s">
        <v>623</v>
      </c>
      <c r="T64" s="496">
        <v>17</v>
      </c>
      <c r="U64" s="6"/>
      <c r="V64" s="9" t="s">
        <v>103</v>
      </c>
      <c r="W64" s="6" t="s">
        <v>210</v>
      </c>
      <c r="X64" s="496">
        <v>22</v>
      </c>
      <c r="Y64" s="6"/>
      <c r="Z64" s="1">
        <v>3828</v>
      </c>
      <c r="AA64" s="2" t="s">
        <v>77</v>
      </c>
      <c r="AB64" s="496">
        <v>13</v>
      </c>
      <c r="AC64" s="6"/>
      <c r="AD64" s="9">
        <v>4200</v>
      </c>
      <c r="AE64" s="2" t="s">
        <v>161</v>
      </c>
      <c r="AF64" s="526">
        <v>25</v>
      </c>
    </row>
    <row r="65" spans="1:32">
      <c r="A65" s="6"/>
      <c r="B65" s="1">
        <v>152</v>
      </c>
      <c r="C65" s="2" t="s">
        <v>369</v>
      </c>
      <c r="D65" s="496">
        <v>16</v>
      </c>
      <c r="E65" s="6"/>
      <c r="F65" s="1">
        <v>402</v>
      </c>
      <c r="G65" s="2" t="s">
        <v>614</v>
      </c>
      <c r="H65" s="496">
        <v>16</v>
      </c>
      <c r="I65" s="6"/>
      <c r="J65" s="9" t="s">
        <v>98</v>
      </c>
      <c r="K65" s="6" t="s">
        <v>198</v>
      </c>
      <c r="L65" s="496">
        <v>23</v>
      </c>
      <c r="M65" s="6"/>
      <c r="N65" s="1">
        <v>820</v>
      </c>
      <c r="O65" s="2" t="s">
        <v>441</v>
      </c>
      <c r="P65" s="496">
        <v>6</v>
      </c>
      <c r="Q65" s="6"/>
      <c r="R65" s="1">
        <v>951</v>
      </c>
      <c r="S65" s="2" t="s">
        <v>627</v>
      </c>
      <c r="T65" s="496">
        <v>16</v>
      </c>
      <c r="U65" s="6"/>
      <c r="V65" s="1">
        <v>3687</v>
      </c>
      <c r="W65" s="2" t="s">
        <v>41</v>
      </c>
      <c r="X65" s="496">
        <v>3</v>
      </c>
      <c r="Y65" s="6"/>
      <c r="Z65" s="1">
        <v>3829</v>
      </c>
      <c r="AA65" s="2" t="s">
        <v>442</v>
      </c>
      <c r="AB65" s="496">
        <v>14</v>
      </c>
      <c r="AC65" s="6"/>
      <c r="AD65" s="9">
        <v>4210</v>
      </c>
      <c r="AE65" s="2" t="s">
        <v>162</v>
      </c>
      <c r="AF65" s="526">
        <v>25</v>
      </c>
    </row>
    <row r="66" spans="1:32">
      <c r="A66" s="6"/>
      <c r="B66" s="1">
        <v>153</v>
      </c>
      <c r="C66" s="2" t="s">
        <v>52</v>
      </c>
      <c r="D66" s="496">
        <v>4</v>
      </c>
      <c r="E66" s="6"/>
      <c r="F66" s="1">
        <v>407</v>
      </c>
      <c r="G66" s="2" t="s">
        <v>368</v>
      </c>
      <c r="H66" s="496">
        <v>17</v>
      </c>
      <c r="I66" s="6"/>
      <c r="J66" s="1">
        <v>680</v>
      </c>
      <c r="K66" s="2" t="s">
        <v>375</v>
      </c>
      <c r="L66" s="496">
        <v>14</v>
      </c>
      <c r="M66" s="6"/>
      <c r="N66" s="1">
        <v>822</v>
      </c>
      <c r="O66" s="2" t="s">
        <v>628</v>
      </c>
      <c r="P66" s="496">
        <v>19</v>
      </c>
      <c r="Q66" s="6"/>
      <c r="R66" s="1">
        <v>954</v>
      </c>
      <c r="S66" s="2" t="s">
        <v>32</v>
      </c>
      <c r="T66" s="496">
        <v>10</v>
      </c>
      <c r="U66" s="6"/>
      <c r="V66" s="1">
        <v>3688</v>
      </c>
      <c r="W66" s="5" t="s">
        <v>516</v>
      </c>
      <c r="X66" s="496">
        <v>3</v>
      </c>
      <c r="Y66" s="6"/>
      <c r="Z66" s="1">
        <v>3830</v>
      </c>
      <c r="AA66" s="2" t="s">
        <v>78</v>
      </c>
      <c r="AB66" s="496">
        <v>17</v>
      </c>
      <c r="AC66" s="6"/>
      <c r="AD66" s="9">
        <v>4215</v>
      </c>
      <c r="AE66" s="2" t="s">
        <v>163</v>
      </c>
      <c r="AF66" s="526">
        <v>25</v>
      </c>
    </row>
    <row r="67" spans="1:32">
      <c r="A67" s="6"/>
      <c r="B67" s="1">
        <v>154</v>
      </c>
      <c r="C67" s="2" t="s">
        <v>440</v>
      </c>
      <c r="D67" s="496">
        <v>4</v>
      </c>
      <c r="E67" s="6"/>
      <c r="F67" s="1">
        <v>413</v>
      </c>
      <c r="G67" s="2" t="s">
        <v>370</v>
      </c>
      <c r="H67" s="496">
        <v>20</v>
      </c>
      <c r="I67" s="6"/>
      <c r="J67" s="1">
        <v>699</v>
      </c>
      <c r="K67" s="2" t="s">
        <v>55</v>
      </c>
      <c r="L67" s="496">
        <v>11</v>
      </c>
      <c r="M67" s="6"/>
      <c r="N67" s="1">
        <v>823</v>
      </c>
      <c r="O67" s="2" t="s">
        <v>377</v>
      </c>
      <c r="P67" s="496">
        <v>7</v>
      </c>
      <c r="Q67" s="6"/>
      <c r="R67" s="1">
        <v>955</v>
      </c>
      <c r="S67" s="2" t="s">
        <v>632</v>
      </c>
      <c r="T67" s="496">
        <v>10</v>
      </c>
      <c r="U67" s="6"/>
      <c r="V67" s="1">
        <v>3689</v>
      </c>
      <c r="W67" s="2" t="s">
        <v>635</v>
      </c>
      <c r="X67" s="496">
        <v>3</v>
      </c>
      <c r="Y67" s="6"/>
      <c r="Z67" s="1">
        <v>3831</v>
      </c>
      <c r="AA67" s="2" t="s">
        <v>387</v>
      </c>
      <c r="AB67" s="496">
        <v>1</v>
      </c>
      <c r="AC67" s="6"/>
      <c r="AD67" s="9">
        <v>4220</v>
      </c>
      <c r="AE67" s="2" t="s">
        <v>164</v>
      </c>
      <c r="AF67" s="526">
        <v>25</v>
      </c>
    </row>
    <row r="68" spans="1:32">
      <c r="A68" s="6"/>
      <c r="B68" s="1">
        <v>155</v>
      </c>
      <c r="C68" s="2" t="s">
        <v>53</v>
      </c>
      <c r="D68" s="496">
        <v>5</v>
      </c>
      <c r="E68" s="6"/>
      <c r="F68" s="1">
        <v>414</v>
      </c>
      <c r="G68" s="2" t="s">
        <v>371</v>
      </c>
      <c r="H68" s="496">
        <v>20</v>
      </c>
      <c r="I68" s="6"/>
      <c r="J68" s="9" t="s">
        <v>86</v>
      </c>
      <c r="K68" s="6" t="s">
        <v>199</v>
      </c>
      <c r="L68" s="496">
        <v>22</v>
      </c>
      <c r="M68" s="6"/>
      <c r="N68" s="1">
        <v>824</v>
      </c>
      <c r="O68" s="2" t="s">
        <v>437</v>
      </c>
      <c r="P68" s="496">
        <v>6</v>
      </c>
      <c r="Q68" s="6"/>
      <c r="R68" s="1">
        <v>956</v>
      </c>
      <c r="S68" s="2" t="s">
        <v>33</v>
      </c>
      <c r="T68" s="496">
        <v>2</v>
      </c>
      <c r="U68" s="6"/>
      <c r="V68" s="1">
        <v>3705</v>
      </c>
      <c r="W68" s="2" t="s">
        <v>381</v>
      </c>
      <c r="X68" s="496">
        <v>2</v>
      </c>
      <c r="Y68" s="6"/>
      <c r="Z68" s="1">
        <v>3832</v>
      </c>
      <c r="AA68" s="2" t="s">
        <v>524</v>
      </c>
      <c r="AB68" s="496">
        <v>1</v>
      </c>
      <c r="AC68" s="6"/>
      <c r="AD68" s="9">
        <v>4230</v>
      </c>
      <c r="AE68" s="2" t="s">
        <v>165</v>
      </c>
      <c r="AF68" s="526">
        <v>25</v>
      </c>
    </row>
    <row r="69" spans="1:32">
      <c r="A69" s="6"/>
      <c r="B69" s="9" t="s">
        <v>83</v>
      </c>
      <c r="C69" s="6" t="s">
        <v>187</v>
      </c>
      <c r="D69" s="496">
        <v>22</v>
      </c>
      <c r="E69" s="6"/>
      <c r="F69" s="1">
        <v>415</v>
      </c>
      <c r="G69" s="2" t="s">
        <v>60</v>
      </c>
      <c r="H69" s="496">
        <v>20</v>
      </c>
      <c r="I69" s="6"/>
      <c r="J69" s="1">
        <v>700</v>
      </c>
      <c r="K69" s="2" t="s">
        <v>457</v>
      </c>
      <c r="L69" s="496">
        <v>11</v>
      </c>
      <c r="M69" s="6"/>
      <c r="N69" s="1">
        <v>825</v>
      </c>
      <c r="O69" s="2" t="s">
        <v>377</v>
      </c>
      <c r="P69" s="496">
        <v>6</v>
      </c>
      <c r="Q69" s="6"/>
      <c r="R69" s="1">
        <v>957</v>
      </c>
      <c r="S69" s="2" t="s">
        <v>702</v>
      </c>
      <c r="T69" s="496">
        <v>2</v>
      </c>
      <c r="U69" s="6"/>
      <c r="V69" s="1">
        <v>3706</v>
      </c>
      <c r="W69" s="2" t="s">
        <v>519</v>
      </c>
      <c r="X69" s="496">
        <v>2</v>
      </c>
      <c r="Y69" s="6"/>
      <c r="Z69" s="1">
        <v>3833</v>
      </c>
      <c r="AA69" s="2" t="s">
        <v>643</v>
      </c>
      <c r="AB69" s="496">
        <v>1</v>
      </c>
      <c r="AC69" s="6"/>
      <c r="AD69" s="9">
        <v>4235</v>
      </c>
      <c r="AE69" s="2" t="s">
        <v>166</v>
      </c>
      <c r="AF69" s="526">
        <v>25</v>
      </c>
    </row>
    <row r="70" spans="1:32">
      <c r="A70" s="6"/>
      <c r="B70" s="1">
        <v>156</v>
      </c>
      <c r="C70" s="2" t="s">
        <v>469</v>
      </c>
      <c r="D70" s="496">
        <v>5</v>
      </c>
      <c r="E70" s="6"/>
      <c r="F70" s="9" t="s">
        <v>105</v>
      </c>
      <c r="G70" s="6" t="s">
        <v>196</v>
      </c>
      <c r="H70" s="496">
        <v>23</v>
      </c>
      <c r="I70" s="6"/>
      <c r="J70" s="1">
        <v>701</v>
      </c>
      <c r="K70" s="2" t="s">
        <v>584</v>
      </c>
      <c r="L70" s="496">
        <v>11</v>
      </c>
      <c r="M70" s="6"/>
      <c r="N70" s="9" t="s">
        <v>94</v>
      </c>
      <c r="O70" s="6" t="s">
        <v>206</v>
      </c>
      <c r="P70" s="496">
        <v>22</v>
      </c>
      <c r="Q70" s="6"/>
      <c r="R70" s="1">
        <v>958</v>
      </c>
      <c r="S70" s="2" t="s">
        <v>380</v>
      </c>
      <c r="T70" s="496">
        <v>9</v>
      </c>
      <c r="U70" s="6"/>
      <c r="V70" s="1">
        <v>3708</v>
      </c>
      <c r="W70" s="2" t="s">
        <v>638</v>
      </c>
      <c r="X70" s="496">
        <v>2</v>
      </c>
      <c r="Y70" s="6"/>
      <c r="Z70" s="1">
        <v>3834</v>
      </c>
      <c r="AA70" s="2" t="s">
        <v>390</v>
      </c>
      <c r="AB70" s="496">
        <v>4</v>
      </c>
      <c r="AC70" s="6"/>
      <c r="AD70" s="9">
        <v>4240</v>
      </c>
      <c r="AE70" s="2" t="s">
        <v>167</v>
      </c>
      <c r="AF70" s="526">
        <v>25</v>
      </c>
    </row>
    <row r="71" spans="1:32" ht="17" thickBot="1">
      <c r="A71" s="6"/>
      <c r="B71" s="1">
        <v>157</v>
      </c>
      <c r="C71" s="2" t="s">
        <v>612</v>
      </c>
      <c r="D71" s="496">
        <v>5</v>
      </c>
      <c r="E71" s="6"/>
      <c r="F71" s="1">
        <v>420</v>
      </c>
      <c r="G71" s="2" t="s">
        <v>374</v>
      </c>
      <c r="H71" s="496">
        <v>13</v>
      </c>
      <c r="I71" s="6"/>
      <c r="J71" s="1">
        <v>702</v>
      </c>
      <c r="K71" s="2" t="s">
        <v>15</v>
      </c>
      <c r="L71" s="496">
        <v>11</v>
      </c>
      <c r="M71" s="6"/>
      <c r="N71" s="3">
        <v>826</v>
      </c>
      <c r="O71" s="4" t="s">
        <v>469</v>
      </c>
      <c r="P71" s="498">
        <v>6</v>
      </c>
      <c r="Q71" s="6"/>
      <c r="R71" s="1">
        <v>959</v>
      </c>
      <c r="S71" s="2" t="s">
        <v>518</v>
      </c>
      <c r="T71" s="496">
        <v>9</v>
      </c>
      <c r="U71" s="6"/>
      <c r="V71" s="1">
        <v>3712</v>
      </c>
      <c r="W71" s="5" t="s">
        <v>521</v>
      </c>
      <c r="X71" s="496">
        <v>1</v>
      </c>
      <c r="Y71" s="6"/>
      <c r="Z71" s="1">
        <v>3835</v>
      </c>
      <c r="AA71" s="2" t="s">
        <v>528</v>
      </c>
      <c r="AB71" s="496">
        <v>4</v>
      </c>
      <c r="AC71" s="6"/>
      <c r="AD71" s="9">
        <v>5282</v>
      </c>
      <c r="AE71" s="2" t="s">
        <v>217</v>
      </c>
      <c r="AF71" s="526">
        <v>26</v>
      </c>
    </row>
    <row r="72" spans="1:32" ht="17" thickBot="1">
      <c r="A72" s="6"/>
      <c r="B72" s="1">
        <v>158</v>
      </c>
      <c r="C72" s="2" t="s">
        <v>377</v>
      </c>
      <c r="D72" s="496">
        <v>5</v>
      </c>
      <c r="E72" s="6"/>
      <c r="F72" s="1">
        <v>422</v>
      </c>
      <c r="G72" s="2" t="s">
        <v>626</v>
      </c>
      <c r="H72" s="496">
        <v>13</v>
      </c>
      <c r="I72" s="6"/>
      <c r="J72" s="1">
        <v>703</v>
      </c>
      <c r="K72" s="2" t="s">
        <v>16</v>
      </c>
      <c r="L72" s="496">
        <v>11</v>
      </c>
      <c r="M72" s="6"/>
      <c r="N72" s="7"/>
      <c r="O72" s="2"/>
      <c r="P72" s="517" t="s">
        <v>290</v>
      </c>
      <c r="Q72" s="6"/>
      <c r="R72" s="1">
        <v>961</v>
      </c>
      <c r="S72" s="2" t="s">
        <v>384</v>
      </c>
      <c r="T72" s="496">
        <v>2</v>
      </c>
      <c r="U72" s="6"/>
      <c r="V72" s="1">
        <v>3713</v>
      </c>
      <c r="W72" s="2" t="s">
        <v>639</v>
      </c>
      <c r="X72" s="496">
        <v>1</v>
      </c>
      <c r="Y72" s="6"/>
      <c r="Z72" s="1">
        <v>3836</v>
      </c>
      <c r="AA72" s="2" t="s">
        <v>651</v>
      </c>
      <c r="AB72" s="496">
        <v>4</v>
      </c>
      <c r="AC72" s="6"/>
      <c r="AD72" s="10">
        <v>5283</v>
      </c>
      <c r="AE72" s="4" t="s">
        <v>218</v>
      </c>
      <c r="AF72" s="527">
        <v>26</v>
      </c>
    </row>
    <row r="73" spans="1:32">
      <c r="A73" s="6"/>
      <c r="B73" s="1">
        <v>159</v>
      </c>
      <c r="C73" s="2" t="s">
        <v>633</v>
      </c>
      <c r="D73" s="496">
        <v>7</v>
      </c>
      <c r="E73" s="6"/>
      <c r="F73" s="1">
        <v>433</v>
      </c>
      <c r="G73" s="2" t="s">
        <v>515</v>
      </c>
      <c r="H73" s="496">
        <v>18</v>
      </c>
      <c r="I73" s="6"/>
      <c r="J73" s="9" t="s">
        <v>91</v>
      </c>
      <c r="K73" s="6" t="s">
        <v>200</v>
      </c>
      <c r="L73" s="496">
        <v>22</v>
      </c>
      <c r="M73" s="6"/>
      <c r="N73" s="7"/>
      <c r="O73" s="2"/>
      <c r="P73" s="7"/>
      <c r="Q73" s="6"/>
      <c r="R73" s="1">
        <v>962</v>
      </c>
      <c r="S73" s="2" t="s">
        <v>520</v>
      </c>
      <c r="T73" s="496">
        <v>2</v>
      </c>
      <c r="U73" s="6"/>
      <c r="V73" s="1">
        <v>3716</v>
      </c>
      <c r="W73" s="2" t="s">
        <v>642</v>
      </c>
      <c r="X73" s="496">
        <v>2</v>
      </c>
      <c r="Y73" s="6"/>
      <c r="Z73" s="1">
        <v>3837</v>
      </c>
      <c r="AA73" s="2" t="s">
        <v>684</v>
      </c>
      <c r="AB73" s="496">
        <v>4</v>
      </c>
      <c r="AC73" s="6"/>
      <c r="AD73" s="12"/>
      <c r="AE73" s="6"/>
      <c r="AF73" s="12"/>
    </row>
    <row r="74" spans="1:32" ht="17" thickBot="1">
      <c r="A74" s="6"/>
      <c r="B74" s="1">
        <v>160</v>
      </c>
      <c r="C74" s="2" t="s">
        <v>517</v>
      </c>
      <c r="D74" s="496">
        <v>7</v>
      </c>
      <c r="E74" s="6"/>
      <c r="F74" s="1">
        <v>434</v>
      </c>
      <c r="G74" s="2" t="s">
        <v>631</v>
      </c>
      <c r="H74" s="496">
        <v>18</v>
      </c>
      <c r="I74" s="6"/>
      <c r="J74" s="3">
        <v>704</v>
      </c>
      <c r="K74" s="4" t="s">
        <v>458</v>
      </c>
      <c r="L74" s="498">
        <v>11</v>
      </c>
      <c r="M74" s="6"/>
      <c r="N74" s="7"/>
      <c r="O74" s="2"/>
      <c r="P74" s="7"/>
      <c r="Q74" s="6"/>
      <c r="R74" s="1">
        <v>963</v>
      </c>
      <c r="S74" s="2" t="s">
        <v>682</v>
      </c>
      <c r="T74" s="496">
        <v>2</v>
      </c>
      <c r="U74" s="6"/>
      <c r="V74" s="3">
        <v>3721</v>
      </c>
      <c r="W74" s="4" t="s">
        <v>389</v>
      </c>
      <c r="X74" s="498">
        <v>16</v>
      </c>
      <c r="Y74" s="6"/>
      <c r="Z74" s="10" t="s">
        <v>87</v>
      </c>
      <c r="AA74" s="16" t="s">
        <v>213</v>
      </c>
      <c r="AB74" s="498">
        <v>22</v>
      </c>
      <c r="AC74" s="6"/>
      <c r="AD74" s="12"/>
      <c r="AE74" s="6"/>
      <c r="AF74" s="1068" t="s">
        <v>964</v>
      </c>
    </row>
    <row r="75" spans="1:32" ht="17" thickBot="1">
      <c r="A75" s="6"/>
      <c r="B75" s="1">
        <v>161</v>
      </c>
      <c r="C75" s="2" t="s">
        <v>379</v>
      </c>
      <c r="D75" s="496">
        <v>7</v>
      </c>
      <c r="E75" s="6"/>
      <c r="F75" s="3">
        <v>435</v>
      </c>
      <c r="G75" s="4" t="s">
        <v>634</v>
      </c>
      <c r="H75" s="498">
        <v>18</v>
      </c>
      <c r="I75" s="6"/>
      <c r="J75" s="7"/>
      <c r="K75" s="2"/>
      <c r="L75" s="7"/>
      <c r="M75" s="6"/>
      <c r="N75" s="7"/>
      <c r="O75" s="2"/>
      <c r="P75" s="7"/>
      <c r="Q75" s="6"/>
      <c r="R75" s="3">
        <v>964</v>
      </c>
      <c r="S75" s="4" t="s">
        <v>641</v>
      </c>
      <c r="T75" s="498">
        <v>9</v>
      </c>
      <c r="U75" s="6"/>
      <c r="V75" s="7"/>
      <c r="W75" s="2"/>
      <c r="X75" s="7"/>
      <c r="Y75" s="6"/>
      <c r="Z75" s="7"/>
      <c r="AA75" s="2"/>
      <c r="AB75" s="7"/>
      <c r="AC75" s="6"/>
      <c r="AD75" s="12"/>
      <c r="AE75" s="6"/>
      <c r="AF75" s="12"/>
    </row>
    <row r="76" spans="1:32" ht="17" thickBot="1">
      <c r="B76" s="3">
        <v>162</v>
      </c>
      <c r="C76" s="4" t="s">
        <v>595</v>
      </c>
      <c r="D76" s="498">
        <v>6</v>
      </c>
      <c r="F76" s="7"/>
      <c r="G76" s="2"/>
      <c r="H76" s="7"/>
      <c r="J76" s="7"/>
      <c r="K76" s="2"/>
      <c r="L76" s="7"/>
      <c r="N76" s="7"/>
      <c r="O76" s="2"/>
      <c r="P76" s="7"/>
      <c r="R76" s="7"/>
      <c r="S76" s="2"/>
      <c r="T76" s="7"/>
      <c r="V76" s="7"/>
      <c r="W76" s="2"/>
      <c r="X76" s="7"/>
      <c r="Z76" s="7"/>
      <c r="AA76" s="2"/>
      <c r="AB76" s="7"/>
      <c r="AD76" s="12"/>
      <c r="AE76" s="523"/>
      <c r="AF76" s="12"/>
    </row>
    <row r="77" spans="1:32">
      <c r="B77" s="6" t="s">
        <v>963</v>
      </c>
      <c r="C77" s="2"/>
      <c r="D77" s="7"/>
      <c r="F77" s="7"/>
      <c r="G77" s="2"/>
      <c r="H77" s="7"/>
      <c r="J77" s="7"/>
      <c r="K77" s="2"/>
      <c r="L77" s="7"/>
      <c r="N77" s="7"/>
      <c r="O77" s="2"/>
      <c r="P77" s="7"/>
      <c r="R77" s="7"/>
      <c r="S77" s="2"/>
      <c r="T77" s="7"/>
      <c r="V77" s="7"/>
      <c r="W77" s="2"/>
      <c r="X77" s="7"/>
      <c r="Z77" s="7"/>
      <c r="AA77" s="2"/>
      <c r="AB77" s="7"/>
      <c r="AD77" s="12"/>
      <c r="AE77" s="6"/>
      <c r="AF77" s="12"/>
    </row>
  </sheetData>
  <sheetProtection algorithmName="SHA-512" hashValue="iXdDzGcTZPgOKXqjRY90DUoXJ2AjHWVy7/oynqKCU5RaQLFWYJ7locM+RE7PonVzh9nTRBiUh4612wHWhhJWLg==" saltValue="+vxiwbb7UyDA+5/W4yDfbw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EABC-0A09-794A-91D5-C61D6322A3DF}">
  <sheetPr>
    <tabColor rgb="FF9BBB59"/>
  </sheetPr>
  <dimension ref="B1:BG79"/>
  <sheetViews>
    <sheetView zoomScaleNormal="100" workbookViewId="0">
      <selection activeCell="D20" sqref="D20"/>
    </sheetView>
  </sheetViews>
  <sheetFormatPr baseColWidth="10" defaultColWidth="10.83203125" defaultRowHeight="16"/>
  <cols>
    <col min="1" max="1" width="3.33203125" style="1094" customWidth="1"/>
    <col min="2" max="3" width="10.83203125" style="1094"/>
    <col min="4" max="4" width="27" style="1094" customWidth="1"/>
    <col min="5" max="5" width="14.6640625" style="1094" customWidth="1"/>
    <col min="6" max="6" width="3.33203125" style="1094" customWidth="1"/>
    <col min="7" max="8" width="10.83203125" style="1094"/>
    <col min="9" max="9" width="24.33203125" style="1094" customWidth="1"/>
    <col min="10" max="10" width="14.6640625" style="1094" customWidth="1"/>
    <col min="11" max="11" width="4" style="1094" customWidth="1"/>
    <col min="12" max="13" width="10.83203125" style="1094"/>
    <col min="14" max="14" width="24.33203125" style="1094" customWidth="1"/>
    <col min="15" max="15" width="14.6640625" style="1094" customWidth="1"/>
    <col min="16" max="16" width="4" style="1094" customWidth="1"/>
    <col min="17" max="18" width="10.83203125" style="1094"/>
    <col min="19" max="19" width="24.33203125" style="1094" customWidth="1"/>
    <col min="20" max="20" width="14.6640625" style="1094" customWidth="1"/>
    <col min="21" max="21" width="4" style="1094" customWidth="1"/>
    <col min="22" max="23" width="10.83203125" style="1094"/>
    <col min="24" max="24" width="24.33203125" style="1094" customWidth="1"/>
    <col min="25" max="25" width="14.6640625" style="1094" customWidth="1"/>
    <col min="26" max="26" width="4" style="1094" customWidth="1"/>
    <col min="27" max="28" width="10.83203125" style="1094"/>
    <col min="29" max="29" width="24.33203125" style="1094" customWidth="1"/>
    <col min="30" max="30" width="14.6640625" style="1094" customWidth="1"/>
    <col min="31" max="31" width="4" style="1094" customWidth="1"/>
    <col min="32" max="33" width="10.83203125" style="1094"/>
    <col min="34" max="34" width="24.33203125" style="1094" customWidth="1"/>
    <col min="35" max="35" width="14.6640625" style="1094" customWidth="1"/>
    <col min="36" max="36" width="4" style="1094" customWidth="1"/>
    <col min="37" max="37" width="10.83203125" style="1094"/>
    <col min="38" max="38" width="24.33203125" style="1094" customWidth="1"/>
    <col min="39" max="39" width="14.6640625" style="1094" customWidth="1"/>
    <col min="40" max="40" width="4" style="1094" customWidth="1"/>
    <col min="41" max="42" width="10.83203125" style="1094"/>
    <col min="43" max="43" width="24.33203125" style="1094" customWidth="1"/>
    <col min="44" max="44" width="14.6640625" style="1094" customWidth="1"/>
    <col min="45" max="45" width="4" style="1094" customWidth="1"/>
    <col min="46" max="47" width="10.83203125" style="1094"/>
    <col min="48" max="48" width="24.33203125" style="1094" customWidth="1"/>
    <col min="49" max="49" width="14.6640625" style="1094" customWidth="1"/>
    <col min="50" max="50" width="4" style="1094" customWidth="1"/>
    <col min="51" max="52" width="10.83203125" style="1094"/>
    <col min="53" max="53" width="24.33203125" style="1094" customWidth="1"/>
    <col min="54" max="54" width="14.6640625" style="1094" customWidth="1"/>
    <col min="55" max="55" width="3.83203125" style="1094" customWidth="1"/>
    <col min="56" max="57" width="10.83203125" style="1094"/>
    <col min="58" max="58" width="24.33203125" style="1094" customWidth="1"/>
    <col min="59" max="59" width="14.6640625" style="1094" customWidth="1"/>
    <col min="60" max="16384" width="10.83203125" style="1094"/>
  </cols>
  <sheetData>
    <row r="1" spans="2:59" ht="17" thickBot="1"/>
    <row r="2" spans="2:59" ht="17" thickBot="1">
      <c r="B2" s="2075" t="s">
        <v>1800</v>
      </c>
      <c r="C2" s="2076"/>
      <c r="D2" s="2076"/>
      <c r="E2" s="2077"/>
      <c r="G2" s="2075" t="s">
        <v>1315</v>
      </c>
      <c r="H2" s="2076"/>
      <c r="I2" s="2076"/>
      <c r="J2" s="2077"/>
      <c r="L2" s="2075" t="s">
        <v>1746</v>
      </c>
      <c r="M2" s="2076"/>
      <c r="N2" s="2076"/>
      <c r="O2" s="2077"/>
      <c r="Q2" s="2075" t="s">
        <v>1315</v>
      </c>
      <c r="R2" s="2076"/>
      <c r="S2" s="2076"/>
      <c r="T2" s="2077"/>
      <c r="V2" s="2075" t="s">
        <v>1472</v>
      </c>
      <c r="W2" s="2076"/>
      <c r="X2" s="2076"/>
      <c r="Y2" s="2077"/>
      <c r="AA2" s="2075" t="s">
        <v>1318</v>
      </c>
      <c r="AB2" s="2076"/>
      <c r="AC2" s="2076"/>
      <c r="AD2" s="2077"/>
      <c r="AF2" s="2075" t="s">
        <v>1315</v>
      </c>
      <c r="AG2" s="2076"/>
      <c r="AH2" s="2076"/>
      <c r="AI2" s="2077"/>
      <c r="AK2" s="2075" t="s">
        <v>1317</v>
      </c>
      <c r="AL2" s="2076"/>
      <c r="AM2" s="2077"/>
      <c r="AO2" s="2075" t="s">
        <v>1465</v>
      </c>
      <c r="AP2" s="2076"/>
      <c r="AQ2" s="2076"/>
      <c r="AR2" s="2077"/>
      <c r="AT2" s="2075" t="s">
        <v>1462</v>
      </c>
      <c r="AU2" s="2076"/>
      <c r="AV2" s="2076"/>
      <c r="AW2" s="2077"/>
      <c r="AY2" s="2075" t="s">
        <v>1466</v>
      </c>
      <c r="AZ2" s="2076"/>
      <c r="BA2" s="2076"/>
      <c r="BB2" s="2077"/>
      <c r="BC2" s="1733"/>
      <c r="BD2" s="2108" t="s">
        <v>1615</v>
      </c>
      <c r="BE2" s="2109"/>
      <c r="BF2" s="2109"/>
      <c r="BG2" s="2110"/>
    </row>
    <row r="3" spans="2:59" ht="16" customHeight="1" thickBot="1">
      <c r="B3" s="1761" t="s">
        <v>61</v>
      </c>
      <c r="C3" s="1083" t="s">
        <v>1</v>
      </c>
      <c r="D3" s="1762" t="s">
        <v>0</v>
      </c>
      <c r="E3" s="1763" t="s">
        <v>1314</v>
      </c>
      <c r="G3" s="1761" t="s">
        <v>61</v>
      </c>
      <c r="H3" s="1083" t="s">
        <v>1</v>
      </c>
      <c r="I3" s="1762" t="s">
        <v>0</v>
      </c>
      <c r="J3" s="1763" t="s">
        <v>1314</v>
      </c>
      <c r="L3" s="1761" t="s">
        <v>61</v>
      </c>
      <c r="M3" s="1083" t="s">
        <v>1</v>
      </c>
      <c r="N3" s="1762" t="s">
        <v>0</v>
      </c>
      <c r="O3" s="1763" t="s">
        <v>1314</v>
      </c>
      <c r="Q3" s="1761" t="s">
        <v>61</v>
      </c>
      <c r="R3" s="1083" t="s">
        <v>1</v>
      </c>
      <c r="S3" s="1762" t="s">
        <v>0</v>
      </c>
      <c r="T3" s="1763" t="s">
        <v>1314</v>
      </c>
      <c r="V3" s="1761" t="s">
        <v>61</v>
      </c>
      <c r="W3" s="1083" t="s">
        <v>1</v>
      </c>
      <c r="X3" s="1762" t="s">
        <v>0</v>
      </c>
      <c r="Y3" s="1763" t="s">
        <v>1314</v>
      </c>
      <c r="AA3" s="1761" t="s">
        <v>61</v>
      </c>
      <c r="AB3" s="1083" t="s">
        <v>1</v>
      </c>
      <c r="AC3" s="1762" t="s">
        <v>0</v>
      </c>
      <c r="AD3" s="1763" t="s">
        <v>1314</v>
      </c>
      <c r="AF3" s="1761" t="s">
        <v>61</v>
      </c>
      <c r="AG3" s="1083" t="s">
        <v>1</v>
      </c>
      <c r="AH3" s="1762" t="s">
        <v>0</v>
      </c>
      <c r="AI3" s="1763" t="s">
        <v>1314</v>
      </c>
      <c r="AK3" s="1761" t="s">
        <v>61</v>
      </c>
      <c r="AL3" s="1762" t="s">
        <v>0</v>
      </c>
      <c r="AM3" s="1763" t="s">
        <v>1314</v>
      </c>
      <c r="AO3" s="1761" t="s">
        <v>61</v>
      </c>
      <c r="AP3" s="1083" t="s">
        <v>1</v>
      </c>
      <c r="AQ3" s="1762" t="s">
        <v>0</v>
      </c>
      <c r="AR3" s="1763" t="s">
        <v>1314</v>
      </c>
      <c r="AT3" s="1761" t="s">
        <v>61</v>
      </c>
      <c r="AU3" s="1083" t="s">
        <v>1</v>
      </c>
      <c r="AV3" s="1762" t="s">
        <v>0</v>
      </c>
      <c r="AW3" s="1763" t="s">
        <v>1314</v>
      </c>
      <c r="AY3" s="1761" t="s">
        <v>61</v>
      </c>
      <c r="AZ3" s="1083" t="s">
        <v>1</v>
      </c>
      <c r="BA3" s="1762" t="s">
        <v>0</v>
      </c>
      <c r="BB3" s="1763" t="s">
        <v>1314</v>
      </c>
      <c r="BC3" s="1734"/>
      <c r="BD3" s="1764" t="s">
        <v>61</v>
      </c>
      <c r="BE3" s="1083" t="s">
        <v>1</v>
      </c>
      <c r="BF3" s="1765" t="s">
        <v>0</v>
      </c>
      <c r="BG3" s="1766" t="s">
        <v>1314</v>
      </c>
    </row>
    <row r="4" spans="2:59" ht="16" customHeight="1" thickBot="1">
      <c r="B4" s="1767">
        <v>64</v>
      </c>
      <c r="C4" s="1773"/>
      <c r="D4" s="1768" t="s">
        <v>1801</v>
      </c>
      <c r="E4" s="1769">
        <v>4180</v>
      </c>
      <c r="G4" s="1767">
        <v>48</v>
      </c>
      <c r="H4" s="1773"/>
      <c r="I4" s="1768" t="s">
        <v>131</v>
      </c>
      <c r="J4" s="1769" t="s">
        <v>1320</v>
      </c>
      <c r="L4" s="1767">
        <v>504</v>
      </c>
      <c r="M4" s="1811"/>
      <c r="N4" s="1770" t="s">
        <v>9</v>
      </c>
      <c r="O4" s="1769">
        <v>3813</v>
      </c>
      <c r="Q4" s="1767">
        <v>5269</v>
      </c>
      <c r="R4" s="525"/>
      <c r="S4" s="1770" t="s">
        <v>1324</v>
      </c>
      <c r="T4" s="1769" t="s">
        <v>86</v>
      </c>
      <c r="V4" s="1771" t="s">
        <v>1501</v>
      </c>
      <c r="W4" s="1803"/>
      <c r="X4" s="1768" t="s">
        <v>1503</v>
      </c>
      <c r="Y4" s="1769" t="s">
        <v>1001</v>
      </c>
      <c r="AA4" s="1767">
        <v>3773</v>
      </c>
      <c r="AB4" s="1806"/>
      <c r="AC4" s="1770" t="s">
        <v>1339</v>
      </c>
      <c r="AD4" s="1769">
        <v>407</v>
      </c>
      <c r="AF4" s="1767">
        <v>4000</v>
      </c>
      <c r="AG4" s="1773"/>
      <c r="AH4" s="1772" t="s">
        <v>1354</v>
      </c>
      <c r="AI4" s="1769" t="s">
        <v>1320</v>
      </c>
      <c r="AK4" s="1767" t="s">
        <v>1003</v>
      </c>
      <c r="AL4" s="1773" t="s">
        <v>1604</v>
      </c>
      <c r="AM4" s="1769" t="s">
        <v>1320</v>
      </c>
      <c r="AO4" s="1767">
        <v>30300</v>
      </c>
      <c r="AP4" s="509"/>
      <c r="AQ4" s="1770" t="s">
        <v>1535</v>
      </c>
      <c r="AR4" s="1769" t="s">
        <v>1320</v>
      </c>
      <c r="AT4" s="1767">
        <v>724</v>
      </c>
      <c r="AU4" s="1804"/>
      <c r="AV4" s="1773" t="s">
        <v>1473</v>
      </c>
      <c r="AW4" s="1769" t="s">
        <v>1320</v>
      </c>
      <c r="AY4" s="1774">
        <v>127</v>
      </c>
      <c r="AZ4" s="1775"/>
      <c r="BA4" s="1775" t="s">
        <v>1467</v>
      </c>
      <c r="BB4" s="1776" t="s">
        <v>1320</v>
      </c>
      <c r="BC4" s="1719"/>
      <c r="BD4" s="1777">
        <v>516</v>
      </c>
      <c r="BE4" s="1809"/>
      <c r="BF4" s="1778" t="s">
        <v>1612</v>
      </c>
      <c r="BG4" s="1779">
        <v>796</v>
      </c>
    </row>
    <row r="5" spans="2:59" ht="16" customHeight="1" thickBot="1">
      <c r="B5" s="1780">
        <v>222</v>
      </c>
      <c r="C5" s="488"/>
      <c r="D5" s="1725" t="s">
        <v>1745</v>
      </c>
      <c r="E5" s="1781">
        <v>221</v>
      </c>
      <c r="G5" s="1780">
        <v>49</v>
      </c>
      <c r="H5" s="1719"/>
      <c r="I5" s="1725" t="s">
        <v>1751</v>
      </c>
      <c r="J5" s="1781" t="s">
        <v>1320</v>
      </c>
      <c r="L5" s="1782">
        <v>731</v>
      </c>
      <c r="M5" s="1812"/>
      <c r="N5" s="1725" t="s">
        <v>20</v>
      </c>
      <c r="O5" s="1783">
        <v>732</v>
      </c>
      <c r="Q5" s="1782">
        <v>5270</v>
      </c>
      <c r="R5" s="61"/>
      <c r="S5" s="1725" t="s">
        <v>1325</v>
      </c>
      <c r="T5" s="1783" t="s">
        <v>93</v>
      </c>
      <c r="V5" s="1782" t="s">
        <v>1515</v>
      </c>
      <c r="W5" s="51"/>
      <c r="X5" s="1725" t="s">
        <v>1504</v>
      </c>
      <c r="Y5" s="1781">
        <v>321</v>
      </c>
      <c r="AA5" s="1780">
        <v>3880</v>
      </c>
      <c r="AB5" s="489"/>
      <c r="AC5" s="1725" t="s">
        <v>1340</v>
      </c>
      <c r="AD5" s="1781">
        <v>3722</v>
      </c>
      <c r="AF5" s="1780">
        <v>4017</v>
      </c>
      <c r="AG5" s="1719"/>
      <c r="AH5" s="1721" t="s">
        <v>1355</v>
      </c>
      <c r="AI5" s="1781" t="s">
        <v>1320</v>
      </c>
      <c r="AK5" s="1780" t="s">
        <v>1004</v>
      </c>
      <c r="AL5" s="1719" t="s">
        <v>918</v>
      </c>
      <c r="AM5" s="1781" t="s">
        <v>1320</v>
      </c>
      <c r="AO5" s="1780">
        <v>30301</v>
      </c>
      <c r="AP5" s="47"/>
      <c r="AQ5" s="1718" t="s">
        <v>1536</v>
      </c>
      <c r="AR5" s="1781" t="s">
        <v>1320</v>
      </c>
      <c r="AT5" s="1784">
        <v>974</v>
      </c>
      <c r="AU5" s="1805"/>
      <c r="AV5" s="1785" t="s">
        <v>1474</v>
      </c>
      <c r="AW5" s="1786" t="s">
        <v>1320</v>
      </c>
      <c r="AY5" s="1719"/>
      <c r="AZ5" s="1719"/>
      <c r="BA5" s="1718"/>
      <c r="BB5" s="1719"/>
      <c r="BC5" s="1719"/>
      <c r="BD5" s="1787">
        <v>614</v>
      </c>
      <c r="BE5" s="1808"/>
      <c r="BF5" s="1788" t="s">
        <v>1613</v>
      </c>
      <c r="BG5" s="1789">
        <v>613</v>
      </c>
    </row>
    <row r="6" spans="2:59" ht="16" customHeight="1" thickBot="1">
      <c r="B6" s="1780">
        <v>303</v>
      </c>
      <c r="C6" s="1834"/>
      <c r="D6" s="1725" t="s">
        <v>1794</v>
      </c>
      <c r="E6" s="1781">
        <v>304</v>
      </c>
      <c r="G6" s="1780">
        <v>51</v>
      </c>
      <c r="H6" s="1719"/>
      <c r="I6" s="1725" t="s">
        <v>132</v>
      </c>
      <c r="J6" s="1781" t="s">
        <v>1320</v>
      </c>
      <c r="L6" s="1782">
        <v>776</v>
      </c>
      <c r="M6" s="1813"/>
      <c r="N6" s="1725" t="s">
        <v>1803</v>
      </c>
      <c r="O6" s="1783">
        <v>3326</v>
      </c>
      <c r="Q6" s="1782">
        <v>5272</v>
      </c>
      <c r="R6" s="1724"/>
      <c r="S6" s="1725" t="s">
        <v>1326</v>
      </c>
      <c r="T6" s="1783" t="s">
        <v>113</v>
      </c>
      <c r="V6" s="1782" t="s">
        <v>1502</v>
      </c>
      <c r="W6" s="390"/>
      <c r="X6" s="1725" t="s">
        <v>1505</v>
      </c>
      <c r="Y6" s="1781">
        <v>340</v>
      </c>
      <c r="AA6" s="1780">
        <v>3881</v>
      </c>
      <c r="AB6" s="480"/>
      <c r="AC6" s="1725" t="s">
        <v>39</v>
      </c>
      <c r="AD6" s="1781">
        <v>3364</v>
      </c>
      <c r="AF6" s="1780">
        <v>4022</v>
      </c>
      <c r="AG6" s="1719"/>
      <c r="AH6" s="1721" t="s">
        <v>1356</v>
      </c>
      <c r="AI6" s="1781" t="s">
        <v>1320</v>
      </c>
      <c r="AK6" s="1780" t="s">
        <v>1005</v>
      </c>
      <c r="AL6" s="1719" t="s">
        <v>929</v>
      </c>
      <c r="AM6" s="1781" t="s">
        <v>1320</v>
      </c>
      <c r="AO6" s="1780">
        <v>30307</v>
      </c>
      <c r="AP6" s="376"/>
      <c r="AQ6" s="1718" t="s">
        <v>1537</v>
      </c>
      <c r="AR6" s="1781" t="s">
        <v>796</v>
      </c>
      <c r="AT6" s="1719"/>
      <c r="AU6" s="1719"/>
      <c r="AV6" s="1718"/>
      <c r="AW6" s="1719"/>
      <c r="AY6" s="2072" t="s">
        <v>1316</v>
      </c>
      <c r="AZ6" s="2073"/>
      <c r="BA6" s="2073"/>
      <c r="BB6" s="2074"/>
      <c r="BC6" s="1719"/>
      <c r="BD6" s="1790">
        <v>771</v>
      </c>
      <c r="BE6" s="1810"/>
      <c r="BF6" s="1791" t="s">
        <v>1614</v>
      </c>
      <c r="BG6" s="1792">
        <v>744</v>
      </c>
    </row>
    <row r="7" spans="2:59" ht="16" customHeight="1" thickBot="1">
      <c r="B7" s="1780">
        <v>401</v>
      </c>
      <c r="C7" s="1822"/>
      <c r="D7" s="1725" t="s">
        <v>1726</v>
      </c>
      <c r="E7" s="1781">
        <v>402</v>
      </c>
      <c r="G7" s="1780">
        <v>52</v>
      </c>
      <c r="H7" s="1719"/>
      <c r="I7" s="1725" t="s">
        <v>133</v>
      </c>
      <c r="J7" s="1781" t="s">
        <v>1320</v>
      </c>
      <c r="L7" s="1782">
        <v>781</v>
      </c>
      <c r="M7" s="1814"/>
      <c r="N7" s="1725" t="s">
        <v>1336</v>
      </c>
      <c r="O7" s="1783">
        <v>782</v>
      </c>
      <c r="Q7" s="1782">
        <v>5279</v>
      </c>
      <c r="R7" s="47"/>
      <c r="S7" s="1725" t="s">
        <v>30</v>
      </c>
      <c r="T7" s="1783" t="s">
        <v>96</v>
      </c>
      <c r="V7" s="1782" t="s">
        <v>1516</v>
      </c>
      <c r="W7" s="338"/>
      <c r="X7" s="1725" t="s">
        <v>1506</v>
      </c>
      <c r="Y7" s="1781">
        <v>603</v>
      </c>
      <c r="AA7" s="1780">
        <v>3882</v>
      </c>
      <c r="AB7" s="309"/>
      <c r="AC7" s="1725" t="s">
        <v>1338</v>
      </c>
      <c r="AD7" s="1781">
        <v>801</v>
      </c>
      <c r="AF7" s="1780">
        <v>4042</v>
      </c>
      <c r="AG7" s="1719"/>
      <c r="AH7" s="1721" t="s">
        <v>1357</v>
      </c>
      <c r="AI7" s="1781" t="s">
        <v>1320</v>
      </c>
      <c r="AK7" s="1780" t="s">
        <v>1006</v>
      </c>
      <c r="AL7" s="1719" t="s">
        <v>938</v>
      </c>
      <c r="AM7" s="1781" t="s">
        <v>1320</v>
      </c>
      <c r="AO7" s="1780">
        <v>30310</v>
      </c>
      <c r="AP7" s="539"/>
      <c r="AQ7" s="1718" t="s">
        <v>1538</v>
      </c>
      <c r="AR7" s="1781" t="s">
        <v>797</v>
      </c>
      <c r="AT7" s="2132" t="s">
        <v>1316</v>
      </c>
      <c r="AU7" s="2133"/>
      <c r="AV7" s="2133"/>
      <c r="AW7" s="2134"/>
      <c r="AY7" s="2099" t="s">
        <v>1468</v>
      </c>
      <c r="AZ7" s="2100"/>
      <c r="BA7" s="2127"/>
      <c r="BB7" s="2128"/>
      <c r="BC7" s="1719"/>
      <c r="BD7" s="1731"/>
      <c r="BE7" s="1731"/>
      <c r="BF7" s="1732"/>
      <c r="BG7" s="1731"/>
    </row>
    <row r="8" spans="2:59" ht="16" customHeight="1" thickBot="1">
      <c r="B8" s="1780">
        <v>473</v>
      </c>
      <c r="C8" s="1835"/>
      <c r="D8" s="1725" t="s">
        <v>1753</v>
      </c>
      <c r="E8" s="1781">
        <v>472</v>
      </c>
      <c r="G8" s="1780">
        <v>53</v>
      </c>
      <c r="H8" s="1719"/>
      <c r="I8" s="1725" t="s">
        <v>1479</v>
      </c>
      <c r="J8" s="1781" t="s">
        <v>1320</v>
      </c>
      <c r="L8" s="1782">
        <v>806</v>
      </c>
      <c r="M8" s="1816"/>
      <c r="N8" s="1725" t="s">
        <v>1337</v>
      </c>
      <c r="O8" s="1783">
        <v>3760</v>
      </c>
      <c r="Q8" s="1782">
        <v>5282</v>
      </c>
      <c r="R8" s="533"/>
      <c r="S8" s="1725" t="s">
        <v>1327</v>
      </c>
      <c r="T8" s="1783" t="s">
        <v>99</v>
      </c>
      <c r="V8" s="1782" t="s">
        <v>1517</v>
      </c>
      <c r="W8" s="57"/>
      <c r="X8" s="1725" t="s">
        <v>1507</v>
      </c>
      <c r="Y8" s="1781">
        <v>703</v>
      </c>
      <c r="AA8" s="1780">
        <v>3883</v>
      </c>
      <c r="AB8" s="365"/>
      <c r="AC8" s="1725" t="s">
        <v>1341</v>
      </c>
      <c r="AD8" s="1781">
        <v>722</v>
      </c>
      <c r="AF8" s="1780">
        <v>4047</v>
      </c>
      <c r="AG8" s="1719"/>
      <c r="AH8" s="1721" t="s">
        <v>1358</v>
      </c>
      <c r="AI8" s="1781" t="s">
        <v>1320</v>
      </c>
      <c r="AK8" s="1780" t="s">
        <v>1007</v>
      </c>
      <c r="AL8" s="1719" t="s">
        <v>934</v>
      </c>
      <c r="AM8" s="1781" t="s">
        <v>1320</v>
      </c>
      <c r="AO8" s="1780">
        <v>30326</v>
      </c>
      <c r="AP8" s="385"/>
      <c r="AQ8" s="1718" t="s">
        <v>1539</v>
      </c>
      <c r="AR8" s="1781" t="s">
        <v>803</v>
      </c>
      <c r="AT8" s="2099" t="s">
        <v>1470</v>
      </c>
      <c r="AU8" s="2100"/>
      <c r="AV8" s="2127"/>
      <c r="AW8" s="2128"/>
      <c r="AY8" s="2129"/>
      <c r="AZ8" s="2130"/>
      <c r="BA8" s="2130"/>
      <c r="BB8" s="2131"/>
      <c r="BC8" s="1719"/>
      <c r="BD8" s="2111" t="s">
        <v>1316</v>
      </c>
      <c r="BE8" s="2112"/>
      <c r="BF8" s="2112"/>
      <c r="BG8" s="2113"/>
    </row>
    <row r="9" spans="2:59" ht="16" customHeight="1">
      <c r="B9" s="1780">
        <v>474</v>
      </c>
      <c r="C9" s="1831"/>
      <c r="D9" s="1725" t="s">
        <v>1797</v>
      </c>
      <c r="E9" s="1781">
        <v>823</v>
      </c>
      <c r="G9" s="1780">
        <v>57</v>
      </c>
      <c r="H9" s="1719"/>
      <c r="I9" s="1725" t="s">
        <v>1480</v>
      </c>
      <c r="J9" s="1781" t="s">
        <v>1320</v>
      </c>
      <c r="L9" s="1782">
        <v>868</v>
      </c>
      <c r="M9" s="1817"/>
      <c r="N9" s="1725" t="s">
        <v>1338</v>
      </c>
      <c r="O9" s="1783">
        <v>801</v>
      </c>
      <c r="Q9" s="1782">
        <v>5283</v>
      </c>
      <c r="R9" s="45"/>
      <c r="S9" s="1725" t="s">
        <v>1328</v>
      </c>
      <c r="T9" s="1783" t="s">
        <v>95</v>
      </c>
      <c r="V9" s="1782" t="s">
        <v>1518</v>
      </c>
      <c r="W9" s="367"/>
      <c r="X9" s="1725" t="s">
        <v>1508</v>
      </c>
      <c r="Y9" s="1781">
        <v>726</v>
      </c>
      <c r="AA9" s="1780">
        <v>3884</v>
      </c>
      <c r="AB9" s="321"/>
      <c r="AC9" s="1725" t="s">
        <v>1342</v>
      </c>
      <c r="AD9" s="1781">
        <v>4</v>
      </c>
      <c r="AF9" s="1780">
        <v>4066</v>
      </c>
      <c r="AG9" s="1719"/>
      <c r="AH9" s="1721" t="s">
        <v>1359</v>
      </c>
      <c r="AI9" s="1781" t="s">
        <v>1320</v>
      </c>
      <c r="AK9" s="1780" t="s">
        <v>1008</v>
      </c>
      <c r="AL9" s="1719" t="s">
        <v>917</v>
      </c>
      <c r="AM9" s="1781" t="s">
        <v>1320</v>
      </c>
      <c r="AO9" s="1780">
        <v>30336</v>
      </c>
      <c r="AP9" s="542"/>
      <c r="AQ9" s="1718" t="s">
        <v>1540</v>
      </c>
      <c r="AR9" s="1781" t="s">
        <v>1024</v>
      </c>
      <c r="AT9" s="2129"/>
      <c r="AU9" s="2130"/>
      <c r="AV9" s="2130"/>
      <c r="AW9" s="2131"/>
      <c r="AY9" s="2129"/>
      <c r="AZ9" s="2130"/>
      <c r="BA9" s="2130"/>
      <c r="BB9" s="2131"/>
      <c r="BC9" s="1719"/>
      <c r="BD9" s="2114" t="s">
        <v>1616</v>
      </c>
      <c r="BE9" s="2115"/>
      <c r="BF9" s="2116"/>
      <c r="BG9" s="2117"/>
    </row>
    <row r="10" spans="2:59" ht="16" customHeight="1" thickBot="1">
      <c r="B10" s="1780">
        <v>475</v>
      </c>
      <c r="C10" s="1830"/>
      <c r="D10" s="1725" t="s">
        <v>1755</v>
      </c>
      <c r="E10" s="1781">
        <v>820</v>
      </c>
      <c r="G10" s="1780">
        <v>61</v>
      </c>
      <c r="H10" s="1719"/>
      <c r="I10" s="1725" t="s">
        <v>1481</v>
      </c>
      <c r="J10" s="1781" t="s">
        <v>1320</v>
      </c>
      <c r="L10" s="1793">
        <v>971</v>
      </c>
      <c r="M10" s="1815"/>
      <c r="N10" s="1794" t="s">
        <v>34</v>
      </c>
      <c r="O10" s="1795">
        <v>740</v>
      </c>
      <c r="Q10" s="1782">
        <v>5284</v>
      </c>
      <c r="R10" s="535"/>
      <c r="S10" s="1725" t="s">
        <v>1329</v>
      </c>
      <c r="T10" s="1783" t="s">
        <v>100</v>
      </c>
      <c r="V10" s="1782" t="s">
        <v>1519</v>
      </c>
      <c r="W10" s="513"/>
      <c r="X10" s="1725" t="s">
        <v>1509</v>
      </c>
      <c r="Y10" s="1781">
        <v>738</v>
      </c>
      <c r="AA10" s="1780">
        <v>3885</v>
      </c>
      <c r="AB10" s="379"/>
      <c r="AC10" s="1725" t="s">
        <v>1343</v>
      </c>
      <c r="AD10" s="1781">
        <v>312</v>
      </c>
      <c r="AF10" s="1780">
        <v>4068</v>
      </c>
      <c r="AG10" s="1719"/>
      <c r="AH10" s="1721" t="s">
        <v>1360</v>
      </c>
      <c r="AI10" s="1781" t="s">
        <v>1320</v>
      </c>
      <c r="AK10" s="1780" t="s">
        <v>1009</v>
      </c>
      <c r="AL10" s="1719" t="s">
        <v>933</v>
      </c>
      <c r="AM10" s="1781" t="s">
        <v>1320</v>
      </c>
      <c r="AO10" s="1780">
        <v>30351</v>
      </c>
      <c r="AP10" s="395"/>
      <c r="AQ10" s="1718" t="s">
        <v>1541</v>
      </c>
      <c r="AR10" s="1781" t="s">
        <v>804</v>
      </c>
      <c r="AT10" s="2129"/>
      <c r="AU10" s="2130"/>
      <c r="AV10" s="2130"/>
      <c r="AW10" s="2131"/>
      <c r="AY10" s="2129"/>
      <c r="AZ10" s="2130"/>
      <c r="BA10" s="2130"/>
      <c r="BB10" s="2131"/>
      <c r="BC10" s="1719"/>
      <c r="BD10" s="2118"/>
      <c r="BE10" s="2119"/>
      <c r="BF10" s="2119"/>
      <c r="BG10" s="2120"/>
    </row>
    <row r="11" spans="2:59" ht="16" customHeight="1" thickBot="1">
      <c r="B11" s="1780">
        <v>476</v>
      </c>
      <c r="C11" s="1829"/>
      <c r="D11" s="1725" t="s">
        <v>1754</v>
      </c>
      <c r="E11" s="1781">
        <v>336</v>
      </c>
      <c r="G11" s="1780">
        <v>62</v>
      </c>
      <c r="H11" s="1719"/>
      <c r="I11" s="1725" t="s">
        <v>1482</v>
      </c>
      <c r="J11" s="1781" t="s">
        <v>1320</v>
      </c>
      <c r="Q11" s="1782">
        <v>5287</v>
      </c>
      <c r="R11" s="50"/>
      <c r="S11" s="1725" t="s">
        <v>1219</v>
      </c>
      <c r="T11" s="1783" t="s">
        <v>97</v>
      </c>
      <c r="V11" s="1782" t="s">
        <v>1520</v>
      </c>
      <c r="W11" s="256"/>
      <c r="X11" s="1725" t="s">
        <v>1510</v>
      </c>
      <c r="Y11" s="1781">
        <v>741</v>
      </c>
      <c r="AA11" s="1780">
        <v>3886</v>
      </c>
      <c r="AB11" s="67"/>
      <c r="AC11" s="1725" t="s">
        <v>1344</v>
      </c>
      <c r="AD11" s="1781">
        <v>35</v>
      </c>
      <c r="AF11" s="1780">
        <v>4069</v>
      </c>
      <c r="AG11" s="1719"/>
      <c r="AH11" s="1721" t="s">
        <v>1361</v>
      </c>
      <c r="AI11" s="1781" t="s">
        <v>1320</v>
      </c>
      <c r="AK11" s="1780" t="s">
        <v>1010</v>
      </c>
      <c r="AL11" s="1719" t="s">
        <v>930</v>
      </c>
      <c r="AM11" s="1781" t="s">
        <v>1320</v>
      </c>
      <c r="AO11" s="1780">
        <v>30352</v>
      </c>
      <c r="AP11" s="396"/>
      <c r="AQ11" s="1718" t="s">
        <v>1542</v>
      </c>
      <c r="AR11" s="1781" t="s">
        <v>805</v>
      </c>
      <c r="AT11" s="2129"/>
      <c r="AU11" s="2130"/>
      <c r="AV11" s="2130"/>
      <c r="AW11" s="2131"/>
      <c r="AY11" s="2129"/>
      <c r="AZ11" s="2130"/>
      <c r="BA11" s="2130"/>
      <c r="BB11" s="2131"/>
      <c r="BC11" s="1719"/>
      <c r="BD11" s="2118"/>
      <c r="BE11" s="2119"/>
      <c r="BF11" s="2119"/>
      <c r="BG11" s="2120"/>
    </row>
    <row r="12" spans="2:59" ht="16" customHeight="1" thickBot="1">
      <c r="B12" s="1780">
        <v>477</v>
      </c>
      <c r="C12" s="1828"/>
      <c r="D12" s="1725" t="s">
        <v>1756</v>
      </c>
      <c r="E12" s="1781">
        <v>791</v>
      </c>
      <c r="G12" s="1780">
        <v>67</v>
      </c>
      <c r="H12" s="1719"/>
      <c r="I12" s="1725" t="s">
        <v>135</v>
      </c>
      <c r="J12" s="1781" t="s">
        <v>1320</v>
      </c>
      <c r="L12" s="2132" t="s">
        <v>1316</v>
      </c>
      <c r="M12" s="2133"/>
      <c r="N12" s="2133"/>
      <c r="O12" s="2134"/>
      <c r="Q12" s="1782">
        <v>5288</v>
      </c>
      <c r="R12" s="49"/>
      <c r="S12" s="1725" t="s">
        <v>1330</v>
      </c>
      <c r="T12" s="1783" t="s">
        <v>89</v>
      </c>
      <c r="V12" s="1782" t="s">
        <v>1521</v>
      </c>
      <c r="W12" s="260"/>
      <c r="X12" s="1725" t="s">
        <v>1511</v>
      </c>
      <c r="Y12" s="1781">
        <v>745</v>
      </c>
      <c r="AA12" s="1780">
        <v>3887</v>
      </c>
      <c r="AB12" s="485"/>
      <c r="AC12" s="1725" t="s">
        <v>1345</v>
      </c>
      <c r="AD12" s="1781">
        <v>3837</v>
      </c>
      <c r="AF12" s="1780">
        <v>4072</v>
      </c>
      <c r="AG12" s="1719"/>
      <c r="AH12" s="1721" t="s">
        <v>1362</v>
      </c>
      <c r="AI12" s="1781" t="s">
        <v>1320</v>
      </c>
      <c r="AK12" s="1780" t="s">
        <v>1011</v>
      </c>
      <c r="AL12" s="1719" t="s">
        <v>935</v>
      </c>
      <c r="AM12" s="1781" t="s">
        <v>1320</v>
      </c>
      <c r="AO12" s="1780">
        <v>30434</v>
      </c>
      <c r="AP12" s="47"/>
      <c r="AQ12" s="1718" t="s">
        <v>1543</v>
      </c>
      <c r="AR12" s="1781" t="s">
        <v>1026</v>
      </c>
      <c r="AT12" s="2129"/>
      <c r="AU12" s="2130"/>
      <c r="AV12" s="2130"/>
      <c r="AW12" s="2131"/>
      <c r="AY12" s="2124" t="s">
        <v>1477</v>
      </c>
      <c r="AZ12" s="2125"/>
      <c r="BA12" s="2125"/>
      <c r="BB12" s="2126"/>
      <c r="BC12" s="1719"/>
      <c r="BD12" s="2118"/>
      <c r="BE12" s="2119"/>
      <c r="BF12" s="2119"/>
      <c r="BG12" s="2120"/>
    </row>
    <row r="13" spans="2:59" ht="16" customHeight="1" thickBot="1">
      <c r="B13" s="1780">
        <v>478</v>
      </c>
      <c r="C13" s="1826"/>
      <c r="D13" s="1725" t="s">
        <v>1798</v>
      </c>
      <c r="E13" s="1781">
        <v>792</v>
      </c>
      <c r="G13" s="1780">
        <v>69</v>
      </c>
      <c r="H13" s="1719"/>
      <c r="I13" s="1725" t="s">
        <v>136</v>
      </c>
      <c r="J13" s="1781" t="s">
        <v>1320</v>
      </c>
      <c r="L13" s="2099" t="s">
        <v>1334</v>
      </c>
      <c r="M13" s="2100"/>
      <c r="N13" s="2127"/>
      <c r="O13" s="2128"/>
      <c r="Q13" s="1782">
        <v>5289</v>
      </c>
      <c r="R13" s="530"/>
      <c r="S13" s="1725" t="s">
        <v>1331</v>
      </c>
      <c r="T13" s="1783" t="s">
        <v>87</v>
      </c>
      <c r="V13" s="1782" t="s">
        <v>1522</v>
      </c>
      <c r="W13" s="285"/>
      <c r="X13" s="1725" t="s">
        <v>1512</v>
      </c>
      <c r="Y13" s="1781">
        <v>801</v>
      </c>
      <c r="AA13" s="1780">
        <v>3888</v>
      </c>
      <c r="AB13" s="190"/>
      <c r="AC13" s="1725" t="s">
        <v>1346</v>
      </c>
      <c r="AD13" s="1781">
        <v>3041</v>
      </c>
      <c r="AF13" s="1780">
        <v>4073</v>
      </c>
      <c r="AG13" s="1719"/>
      <c r="AH13" s="1721" t="s">
        <v>1363</v>
      </c>
      <c r="AI13" s="1781" t="s">
        <v>1320</v>
      </c>
      <c r="AK13" s="1780" t="s">
        <v>1012</v>
      </c>
      <c r="AL13" s="1719" t="s">
        <v>936</v>
      </c>
      <c r="AM13" s="1781" t="s">
        <v>1320</v>
      </c>
      <c r="AO13" s="1780">
        <v>30435</v>
      </c>
      <c r="AP13" s="415"/>
      <c r="AQ13" s="1718" t="s">
        <v>1544</v>
      </c>
      <c r="AR13" s="1781" t="s">
        <v>1320</v>
      </c>
      <c r="AT13" s="2138" t="s">
        <v>1469</v>
      </c>
      <c r="AU13" s="2139"/>
      <c r="AV13" s="2139"/>
      <c r="AW13" s="2140"/>
      <c r="BC13" s="1719"/>
      <c r="BD13" s="2121"/>
      <c r="BE13" s="2122"/>
      <c r="BF13" s="2122"/>
      <c r="BG13" s="2123"/>
    </row>
    <row r="14" spans="2:59" ht="16" customHeight="1" thickBot="1">
      <c r="B14" s="1780">
        <v>479</v>
      </c>
      <c r="C14" s="1827"/>
      <c r="D14" s="1725" t="s">
        <v>1757</v>
      </c>
      <c r="E14" s="1781">
        <v>156</v>
      </c>
      <c r="G14" s="1780">
        <v>75</v>
      </c>
      <c r="H14" s="1719"/>
      <c r="I14" s="1725" t="s">
        <v>1483</v>
      </c>
      <c r="J14" s="1781" t="s">
        <v>1320</v>
      </c>
      <c r="L14" s="2129"/>
      <c r="M14" s="2130"/>
      <c r="N14" s="2130"/>
      <c r="O14" s="2131"/>
      <c r="Q14" s="1793">
        <v>5290</v>
      </c>
      <c r="R14" s="1836"/>
      <c r="S14" s="1794" t="s">
        <v>1332</v>
      </c>
      <c r="T14" s="1795" t="s">
        <v>88</v>
      </c>
      <c r="V14" s="1782" t="s">
        <v>1523</v>
      </c>
      <c r="W14" s="253"/>
      <c r="X14" s="1725" t="s">
        <v>1513</v>
      </c>
      <c r="Y14" s="1781">
        <v>977</v>
      </c>
      <c r="AA14" s="1780">
        <v>3889</v>
      </c>
      <c r="AB14" s="418"/>
      <c r="AC14" s="1725" t="s">
        <v>1347</v>
      </c>
      <c r="AD14" s="1781">
        <v>445</v>
      </c>
      <c r="AF14" s="1780">
        <v>4095</v>
      </c>
      <c r="AG14" s="1719"/>
      <c r="AH14" s="1721" t="s">
        <v>1364</v>
      </c>
      <c r="AI14" s="1781" t="s">
        <v>1320</v>
      </c>
      <c r="AK14" s="1780" t="s">
        <v>1013</v>
      </c>
      <c r="AL14" s="1719" t="s">
        <v>937</v>
      </c>
      <c r="AM14" s="1781" t="s">
        <v>1320</v>
      </c>
      <c r="AO14" s="1780">
        <v>30469</v>
      </c>
      <c r="AP14" s="544"/>
      <c r="AQ14" s="1718" t="s">
        <v>1545</v>
      </c>
      <c r="AR14" s="1781" t="s">
        <v>1027</v>
      </c>
      <c r="AT14" s="2124" t="s">
        <v>1610</v>
      </c>
      <c r="AU14" s="2125"/>
      <c r="AV14" s="2125"/>
      <c r="AW14" s="2126"/>
      <c r="BC14" s="1719"/>
      <c r="BD14" s="1730"/>
      <c r="BE14" s="1730"/>
      <c r="BF14" s="1730"/>
      <c r="BG14" s="1730"/>
    </row>
    <row r="15" spans="2:59" ht="16" customHeight="1" thickBot="1">
      <c r="B15" s="1780">
        <v>396</v>
      </c>
      <c r="C15" s="1820"/>
      <c r="D15" s="1725" t="s">
        <v>1889</v>
      </c>
      <c r="E15" s="1781">
        <v>554</v>
      </c>
      <c r="G15" s="1780">
        <v>90</v>
      </c>
      <c r="H15" s="1719"/>
      <c r="I15" s="1725" t="s">
        <v>137</v>
      </c>
      <c r="J15" s="1781" t="s">
        <v>1320</v>
      </c>
      <c r="L15" s="2129"/>
      <c r="M15" s="2130"/>
      <c r="N15" s="2130"/>
      <c r="O15" s="2131"/>
      <c r="V15" s="1793" t="s">
        <v>1524</v>
      </c>
      <c r="W15" s="1129"/>
      <c r="X15" s="1794" t="s">
        <v>1514</v>
      </c>
      <c r="Y15" s="1786">
        <v>3823</v>
      </c>
      <c r="AA15" s="1780">
        <v>3890</v>
      </c>
      <c r="AB15" s="74"/>
      <c r="AC15" s="1725" t="s">
        <v>1348</v>
      </c>
      <c r="AD15" s="1781">
        <v>3846</v>
      </c>
      <c r="AF15" s="1780">
        <v>4122</v>
      </c>
      <c r="AG15" s="1719"/>
      <c r="AH15" s="1721" t="s">
        <v>1365</v>
      </c>
      <c r="AI15" s="1781" t="s">
        <v>1320</v>
      </c>
      <c r="AK15" s="1780" t="s">
        <v>1014</v>
      </c>
      <c r="AL15" s="1719" t="s">
        <v>1605</v>
      </c>
      <c r="AM15" s="1781" t="s">
        <v>1320</v>
      </c>
      <c r="AO15" s="1780">
        <v>30501</v>
      </c>
      <c r="AP15" s="545"/>
      <c r="AQ15" s="1718" t="s">
        <v>1546</v>
      </c>
      <c r="AR15" s="1781" t="s">
        <v>1028</v>
      </c>
      <c r="AY15" s="1728"/>
      <c r="AZ15" s="1728"/>
      <c r="BA15" s="1728"/>
      <c r="BB15" s="1728"/>
      <c r="BC15" s="1719"/>
    </row>
    <row r="16" spans="2:59" ht="16" customHeight="1" thickBot="1">
      <c r="B16" s="1780">
        <v>397</v>
      </c>
      <c r="C16" s="1821"/>
      <c r="D16" s="1725" t="s">
        <v>1890</v>
      </c>
      <c r="E16" s="1781">
        <v>153</v>
      </c>
      <c r="G16" s="1780">
        <v>91</v>
      </c>
      <c r="H16" s="1719"/>
      <c r="I16" s="1725" t="s">
        <v>1484</v>
      </c>
      <c r="J16" s="1781" t="s">
        <v>1320</v>
      </c>
      <c r="L16" s="2129"/>
      <c r="M16" s="2130"/>
      <c r="N16" s="2130"/>
      <c r="O16" s="2131"/>
      <c r="Q16" s="2132" t="s">
        <v>1316</v>
      </c>
      <c r="R16" s="2133"/>
      <c r="S16" s="2133"/>
      <c r="T16" s="2134"/>
      <c r="V16" s="1728"/>
      <c r="W16" s="1728"/>
      <c r="X16" s="1728"/>
      <c r="Y16" s="1728"/>
      <c r="AA16" s="1780">
        <v>3891</v>
      </c>
      <c r="AB16" s="134"/>
      <c r="AC16" s="1725" t="s">
        <v>1349</v>
      </c>
      <c r="AD16" s="1781">
        <v>3844</v>
      </c>
      <c r="AF16" s="1780">
        <v>4129</v>
      </c>
      <c r="AG16" s="1719"/>
      <c r="AH16" s="1721" t="s">
        <v>1366</v>
      </c>
      <c r="AI16" s="1781" t="s">
        <v>1320</v>
      </c>
      <c r="AK16" s="1780" t="s">
        <v>1215</v>
      </c>
      <c r="AL16" s="1719" t="s">
        <v>1606</v>
      </c>
      <c r="AM16" s="1781" t="s">
        <v>1320</v>
      </c>
      <c r="AO16" s="1780">
        <v>30503</v>
      </c>
      <c r="AP16" s="430"/>
      <c r="AQ16" s="1718" t="s">
        <v>1547</v>
      </c>
      <c r="AR16" s="1781" t="s">
        <v>1320</v>
      </c>
      <c r="AT16" s="1728"/>
      <c r="AU16" s="1728"/>
      <c r="AV16" s="1728"/>
      <c r="AW16" s="1728"/>
      <c r="AY16" s="1728"/>
      <c r="AZ16" s="1728"/>
      <c r="BA16" s="1728"/>
      <c r="BB16" s="1728"/>
      <c r="BC16" s="1719"/>
    </row>
    <row r="17" spans="2:55" ht="16" customHeight="1" thickBot="1">
      <c r="B17" s="1780">
        <v>591</v>
      </c>
      <c r="C17" s="1824"/>
      <c r="D17" s="1725" t="s">
        <v>1795</v>
      </c>
      <c r="E17" s="1781">
        <v>3808</v>
      </c>
      <c r="G17" s="1780">
        <v>92</v>
      </c>
      <c r="H17" s="1719"/>
      <c r="I17" s="1725" t="s">
        <v>138</v>
      </c>
      <c r="J17" s="1781" t="s">
        <v>1320</v>
      </c>
      <c r="L17" s="2135"/>
      <c r="M17" s="2136"/>
      <c r="N17" s="2136"/>
      <c r="O17" s="2137"/>
      <c r="Q17" s="2099" t="s">
        <v>1333</v>
      </c>
      <c r="R17" s="2100"/>
      <c r="S17" s="2127"/>
      <c r="T17" s="2128"/>
      <c r="V17" s="2072" t="s">
        <v>1316</v>
      </c>
      <c r="W17" s="2073"/>
      <c r="X17" s="2073"/>
      <c r="Y17" s="2074"/>
      <c r="AA17" s="1780">
        <v>3892</v>
      </c>
      <c r="AB17" s="255"/>
      <c r="AC17" s="1725" t="s">
        <v>1350</v>
      </c>
      <c r="AD17" s="1781">
        <v>970</v>
      </c>
      <c r="AF17" s="1780">
        <v>4135</v>
      </c>
      <c r="AG17" s="1719"/>
      <c r="AH17" s="1721" t="s">
        <v>1367</v>
      </c>
      <c r="AI17" s="1781" t="s">
        <v>1320</v>
      </c>
      <c r="AK17" s="1780" t="s">
        <v>1216</v>
      </c>
      <c r="AL17" s="1719" t="s">
        <v>193</v>
      </c>
      <c r="AM17" s="1781" t="s">
        <v>1320</v>
      </c>
      <c r="AO17" s="1780">
        <v>30504</v>
      </c>
      <c r="AP17" s="431"/>
      <c r="AQ17" s="1718" t="s">
        <v>1548</v>
      </c>
      <c r="AR17" s="1781" t="s">
        <v>811</v>
      </c>
      <c r="AT17" s="1719"/>
      <c r="AU17" s="1719"/>
      <c r="AV17" s="1719"/>
      <c r="AW17" s="1719"/>
      <c r="AY17" s="1729"/>
      <c r="AZ17" s="1729"/>
      <c r="BA17" s="1729"/>
      <c r="BB17" s="1729"/>
      <c r="BC17" s="1719"/>
    </row>
    <row r="18" spans="2:55" ht="16" customHeight="1">
      <c r="B18" s="1780">
        <v>592</v>
      </c>
      <c r="C18" s="1825"/>
      <c r="D18" s="1725" t="s">
        <v>1804</v>
      </c>
      <c r="E18" s="526">
        <v>3815</v>
      </c>
      <c r="G18" s="1780">
        <v>93</v>
      </c>
      <c r="H18" s="1719"/>
      <c r="I18" s="1725" t="s">
        <v>1485</v>
      </c>
      <c r="J18" s="1781" t="s">
        <v>1320</v>
      </c>
      <c r="L18" s="1109"/>
      <c r="M18" s="1109"/>
      <c r="N18" s="1109"/>
      <c r="O18" s="1109"/>
      <c r="Q18" s="2129"/>
      <c r="R18" s="2130"/>
      <c r="S18" s="2130"/>
      <c r="T18" s="2131"/>
      <c r="V18" s="2099" t="s">
        <v>1471</v>
      </c>
      <c r="W18" s="2100"/>
      <c r="X18" s="2127"/>
      <c r="Y18" s="2128"/>
      <c r="AA18" s="1780">
        <v>3893</v>
      </c>
      <c r="AB18" s="322"/>
      <c r="AC18" s="1725" t="s">
        <v>1351</v>
      </c>
      <c r="AD18" s="1781">
        <v>543</v>
      </c>
      <c r="AF18" s="1780">
        <v>4205</v>
      </c>
      <c r="AG18" s="1719"/>
      <c r="AH18" s="1721" t="s">
        <v>1368</v>
      </c>
      <c r="AI18" s="1781" t="s">
        <v>1320</v>
      </c>
      <c r="AK18" s="1780" t="s">
        <v>99</v>
      </c>
      <c r="AL18" s="1719" t="s">
        <v>1607</v>
      </c>
      <c r="AM18" s="1781" t="s">
        <v>1320</v>
      </c>
      <c r="AO18" s="1780">
        <v>30543</v>
      </c>
      <c r="AP18" s="322"/>
      <c r="AQ18" s="1718" t="s">
        <v>1549</v>
      </c>
      <c r="AR18" s="1781" t="s">
        <v>1320</v>
      </c>
      <c r="AT18" s="1719"/>
      <c r="AU18" s="1719"/>
      <c r="AV18" s="1719"/>
      <c r="AW18" s="1719"/>
      <c r="AY18" s="1719"/>
      <c r="AZ18" s="1719"/>
      <c r="BA18" s="1719"/>
      <c r="BB18" s="1719"/>
      <c r="BC18" s="1719"/>
    </row>
    <row r="19" spans="2:55" ht="16" customHeight="1">
      <c r="B19" s="1780">
        <v>896</v>
      </c>
      <c r="C19" s="1832"/>
      <c r="D19" s="1725" t="s">
        <v>682</v>
      </c>
      <c r="E19" s="1781">
        <v>963</v>
      </c>
      <c r="G19" s="1780">
        <v>94</v>
      </c>
      <c r="H19" s="1719"/>
      <c r="I19" s="1725" t="s">
        <v>140</v>
      </c>
      <c r="J19" s="1781" t="s">
        <v>1320</v>
      </c>
      <c r="Q19" s="2129"/>
      <c r="R19" s="2130"/>
      <c r="S19" s="2130"/>
      <c r="T19" s="2131"/>
      <c r="V19" s="2129"/>
      <c r="W19" s="2130"/>
      <c r="X19" s="2130"/>
      <c r="Y19" s="2131"/>
      <c r="AA19" s="1780">
        <v>3894</v>
      </c>
      <c r="AB19" s="204"/>
      <c r="AC19" s="1725" t="s">
        <v>1352</v>
      </c>
      <c r="AD19" s="1781">
        <v>907</v>
      </c>
      <c r="AF19" s="1780">
        <v>4211</v>
      </c>
      <c r="AG19" s="1719"/>
      <c r="AH19" s="1721" t="s">
        <v>1369</v>
      </c>
      <c r="AI19" s="1781" t="s">
        <v>1320</v>
      </c>
      <c r="AK19" s="1780" t="s">
        <v>1217</v>
      </c>
      <c r="AL19" s="1719" t="s">
        <v>1608</v>
      </c>
      <c r="AM19" s="1781" t="s">
        <v>1320</v>
      </c>
      <c r="AO19" s="1780">
        <v>30550</v>
      </c>
      <c r="AP19" s="323"/>
      <c r="AQ19" s="1718" t="s">
        <v>1550</v>
      </c>
      <c r="AR19" s="1781" t="s">
        <v>814</v>
      </c>
      <c r="AT19" s="1719"/>
      <c r="AU19" s="1719"/>
      <c r="AV19" s="1719"/>
      <c r="AW19" s="1719"/>
      <c r="AY19" s="1719"/>
      <c r="AZ19" s="1719"/>
      <c r="BA19" s="1719"/>
      <c r="BB19" s="1719"/>
      <c r="BC19" s="1719"/>
    </row>
    <row r="20" spans="2:55" ht="16" customHeight="1" thickBot="1">
      <c r="B20" s="1780">
        <v>929</v>
      </c>
      <c r="C20" s="1833"/>
      <c r="D20" s="1725" t="s">
        <v>1796</v>
      </c>
      <c r="E20" s="1781">
        <v>3750</v>
      </c>
      <c r="G20" s="1780">
        <v>95</v>
      </c>
      <c r="H20" s="1719"/>
      <c r="I20" s="1725" t="s">
        <v>1486</v>
      </c>
      <c r="J20" s="1781" t="s">
        <v>1320</v>
      </c>
      <c r="Q20" s="2129"/>
      <c r="R20" s="2130"/>
      <c r="S20" s="2130"/>
      <c r="T20" s="2131"/>
      <c r="V20" s="2129"/>
      <c r="W20" s="2130"/>
      <c r="X20" s="2130"/>
      <c r="Y20" s="2131"/>
      <c r="AA20" s="1784">
        <v>3895</v>
      </c>
      <c r="AB20" s="1807"/>
      <c r="AC20" s="1794" t="s">
        <v>1353</v>
      </c>
      <c r="AD20" s="1786">
        <v>648</v>
      </c>
      <c r="AF20" s="1780">
        <v>4212</v>
      </c>
      <c r="AG20" s="1719"/>
      <c r="AH20" s="1721" t="s">
        <v>1370</v>
      </c>
      <c r="AI20" s="1781" t="s">
        <v>1320</v>
      </c>
      <c r="AK20" s="1784" t="s">
        <v>1218</v>
      </c>
      <c r="AL20" s="1785" t="s">
        <v>1609</v>
      </c>
      <c r="AM20" s="1786" t="s">
        <v>1320</v>
      </c>
      <c r="AO20" s="1780">
        <v>30552</v>
      </c>
      <c r="AP20" s="324"/>
      <c r="AQ20" s="1718" t="s">
        <v>1551</v>
      </c>
      <c r="AR20" s="1781" t="s">
        <v>815</v>
      </c>
      <c r="AT20" s="1719"/>
      <c r="AU20" s="1719"/>
      <c r="AV20" s="1719"/>
      <c r="AW20" s="1719"/>
      <c r="AY20" s="1719"/>
      <c r="AZ20" s="1719"/>
      <c r="BA20" s="1719"/>
      <c r="BB20" s="1719"/>
      <c r="BC20" s="1719"/>
    </row>
    <row r="21" spans="2:55" ht="16" customHeight="1" thickBot="1">
      <c r="B21" s="1780">
        <v>3352</v>
      </c>
      <c r="C21" s="1823"/>
      <c r="D21" s="1725" t="s">
        <v>1805</v>
      </c>
      <c r="E21" s="1781">
        <v>3705</v>
      </c>
      <c r="G21" s="1780">
        <v>99</v>
      </c>
      <c r="H21" s="1719"/>
      <c r="I21" s="1725" t="s">
        <v>141</v>
      </c>
      <c r="J21" s="1781" t="s">
        <v>1320</v>
      </c>
      <c r="Q21" s="2135"/>
      <c r="R21" s="2136"/>
      <c r="S21" s="2136"/>
      <c r="T21" s="2137"/>
      <c r="V21" s="2129"/>
      <c r="W21" s="2130"/>
      <c r="X21" s="2130"/>
      <c r="Y21" s="2131"/>
      <c r="AA21" s="1724"/>
      <c r="AB21" s="1724"/>
      <c r="AC21" s="1725"/>
      <c r="AD21" s="1724"/>
      <c r="AF21" s="1780">
        <v>4214</v>
      </c>
      <c r="AG21" s="1719"/>
      <c r="AH21" s="1721" t="s">
        <v>1371</v>
      </c>
      <c r="AI21" s="1781" t="s">
        <v>1320</v>
      </c>
      <c r="AK21" s="1719"/>
      <c r="AL21" s="1718"/>
      <c r="AM21" s="1719"/>
      <c r="AO21" s="1780">
        <v>30553</v>
      </c>
      <c r="AP21" s="546"/>
      <c r="AQ21" s="1718" t="s">
        <v>1552</v>
      </c>
      <c r="AR21" s="1781" t="s">
        <v>1029</v>
      </c>
      <c r="AT21" s="1719"/>
      <c r="AU21" s="1719"/>
      <c r="AV21" s="1719"/>
      <c r="AW21" s="1719"/>
      <c r="AY21" s="1719"/>
      <c r="AZ21" s="1719"/>
      <c r="BA21" s="1718"/>
      <c r="BB21" s="1719"/>
      <c r="BC21" s="1719"/>
    </row>
    <row r="22" spans="2:55" ht="16" customHeight="1" thickBot="1">
      <c r="B22" s="1780">
        <v>3367</v>
      </c>
      <c r="C22" s="1819"/>
      <c r="D22" s="1725" t="s">
        <v>365</v>
      </c>
      <c r="E22" s="1781">
        <v>814</v>
      </c>
      <c r="G22" s="1780">
        <v>101</v>
      </c>
      <c r="H22" s="1719"/>
      <c r="I22" s="1725" t="s">
        <v>1487</v>
      </c>
      <c r="J22" s="1781" t="s">
        <v>1320</v>
      </c>
      <c r="Q22" s="1109"/>
      <c r="R22" s="1109"/>
      <c r="S22" s="1109"/>
      <c r="T22" s="1109"/>
      <c r="V22" s="2129"/>
      <c r="W22" s="2130"/>
      <c r="X22" s="2130"/>
      <c r="Y22" s="2131"/>
      <c r="AA22" s="2072" t="s">
        <v>1316</v>
      </c>
      <c r="AB22" s="2073"/>
      <c r="AC22" s="2073"/>
      <c r="AD22" s="2074"/>
      <c r="AF22" s="1780">
        <v>4237</v>
      </c>
      <c r="AG22" s="1719"/>
      <c r="AH22" s="1721" t="s">
        <v>1372</v>
      </c>
      <c r="AI22" s="1781" t="s">
        <v>1320</v>
      </c>
      <c r="AK22" s="2072" t="s">
        <v>1316</v>
      </c>
      <c r="AL22" s="2073"/>
      <c r="AM22" s="2074"/>
      <c r="AO22" s="1780">
        <v>30554</v>
      </c>
      <c r="AP22" s="326"/>
      <c r="AQ22" s="1718" t="s">
        <v>1553</v>
      </c>
      <c r="AR22" s="1781" t="s">
        <v>1320</v>
      </c>
      <c r="AT22" s="1088"/>
      <c r="AU22" s="1088"/>
      <c r="AV22" s="1719"/>
      <c r="AW22" s="1088"/>
      <c r="AY22" s="1088"/>
      <c r="AZ22" s="1088"/>
      <c r="BA22" s="1088"/>
      <c r="BB22" s="1088"/>
      <c r="BC22" s="1748"/>
    </row>
    <row r="23" spans="2:55" ht="16" customHeight="1" thickBot="1">
      <c r="B23" s="1784">
        <v>3684</v>
      </c>
      <c r="C23" s="1818"/>
      <c r="D23" s="1794" t="s">
        <v>1476</v>
      </c>
      <c r="E23" s="1786">
        <v>902</v>
      </c>
      <c r="G23" s="1780">
        <v>102</v>
      </c>
      <c r="H23" s="1719"/>
      <c r="I23" s="1725" t="s">
        <v>1488</v>
      </c>
      <c r="J23" s="1781" t="s">
        <v>1320</v>
      </c>
      <c r="L23" s="1088"/>
      <c r="M23" s="1088"/>
      <c r="N23" s="1088"/>
      <c r="O23" s="1088"/>
      <c r="V23" s="2124" t="s">
        <v>1611</v>
      </c>
      <c r="W23" s="2125"/>
      <c r="X23" s="2125"/>
      <c r="Y23" s="2126"/>
      <c r="AA23" s="2099" t="s">
        <v>1322</v>
      </c>
      <c r="AB23" s="2100"/>
      <c r="AC23" s="2127"/>
      <c r="AD23" s="2128"/>
      <c r="AF23" s="1780">
        <v>4245</v>
      </c>
      <c r="AG23" s="1719"/>
      <c r="AH23" s="1721" t="s">
        <v>1373</v>
      </c>
      <c r="AI23" s="1781" t="s">
        <v>1320</v>
      </c>
      <c r="AK23" s="2099" t="s">
        <v>1323</v>
      </c>
      <c r="AL23" s="2127"/>
      <c r="AM23" s="2128"/>
      <c r="AO23" s="1780">
        <v>30580</v>
      </c>
      <c r="AP23" s="331"/>
      <c r="AQ23" s="1718" t="s">
        <v>1554</v>
      </c>
      <c r="AR23" s="1781" t="s">
        <v>1320</v>
      </c>
      <c r="AT23" s="1735"/>
      <c r="AU23" s="1735"/>
      <c r="AV23" s="1719"/>
      <c r="AW23" s="1728"/>
      <c r="AY23" s="1735"/>
      <c r="AZ23" s="1735"/>
      <c r="BA23" s="1728"/>
      <c r="BB23" s="1728"/>
      <c r="BC23" s="1736"/>
    </row>
    <row r="24" spans="2:55" ht="16" customHeight="1" thickBot="1">
      <c r="G24" s="1780">
        <v>103</v>
      </c>
      <c r="H24" s="1719"/>
      <c r="I24" s="1725" t="s">
        <v>1489</v>
      </c>
      <c r="J24" s="1781" t="s">
        <v>1320</v>
      </c>
      <c r="L24" s="1735"/>
      <c r="M24" s="1735"/>
      <c r="N24" s="1728"/>
      <c r="O24" s="1728"/>
      <c r="V24" s="1728"/>
      <c r="W24" s="1728"/>
      <c r="X24" s="1719"/>
      <c r="Y24" s="1728"/>
      <c r="AA24" s="2129"/>
      <c r="AB24" s="2130"/>
      <c r="AC24" s="2130"/>
      <c r="AD24" s="2131"/>
      <c r="AF24" s="1780">
        <v>4250</v>
      </c>
      <c r="AG24" s="1719"/>
      <c r="AH24" s="1721" t="s">
        <v>1374</v>
      </c>
      <c r="AI24" s="1781" t="s">
        <v>1320</v>
      </c>
      <c r="AK24" s="2129"/>
      <c r="AL24" s="2130"/>
      <c r="AM24" s="2131"/>
      <c r="AO24" s="1780">
        <v>30601</v>
      </c>
      <c r="AP24" s="336"/>
      <c r="AQ24" s="1718" t="s">
        <v>1555</v>
      </c>
      <c r="AR24" s="1781" t="s">
        <v>816</v>
      </c>
      <c r="AT24" s="1728"/>
      <c r="AU24" s="1728"/>
      <c r="AV24" s="1719"/>
      <c r="AW24" s="1728"/>
      <c r="AY24" s="1728"/>
      <c r="AZ24" s="1728"/>
      <c r="BA24" s="1728"/>
      <c r="BB24" s="1728"/>
      <c r="BC24" s="1736"/>
    </row>
    <row r="25" spans="2:55" ht="17" thickBot="1">
      <c r="B25" s="2072" t="s">
        <v>1316</v>
      </c>
      <c r="C25" s="2073"/>
      <c r="D25" s="2073"/>
      <c r="E25" s="2074"/>
      <c r="G25" s="1780">
        <v>104</v>
      </c>
      <c r="H25" s="1719"/>
      <c r="I25" s="1725" t="s">
        <v>1490</v>
      </c>
      <c r="J25" s="1781" t="s">
        <v>1320</v>
      </c>
      <c r="L25" s="1728"/>
      <c r="M25" s="1728"/>
      <c r="N25" s="1728"/>
      <c r="O25" s="1728"/>
      <c r="V25" s="1728"/>
      <c r="W25" s="1728"/>
      <c r="X25" s="1719"/>
      <c r="Y25" s="1728"/>
      <c r="AA25" s="2129"/>
      <c r="AB25" s="2130"/>
      <c r="AC25" s="2130"/>
      <c r="AD25" s="2131"/>
      <c r="AF25" s="1780">
        <v>4255</v>
      </c>
      <c r="AG25" s="1719"/>
      <c r="AH25" s="1721" t="s">
        <v>1375</v>
      </c>
      <c r="AI25" s="1781" t="s">
        <v>1320</v>
      </c>
      <c r="AK25" s="2129"/>
      <c r="AL25" s="2130"/>
      <c r="AM25" s="2131"/>
      <c r="AO25" s="1780">
        <v>30602</v>
      </c>
      <c r="AP25" s="337"/>
      <c r="AQ25" s="1718" t="s">
        <v>1556</v>
      </c>
      <c r="AR25" s="1781" t="s">
        <v>817</v>
      </c>
      <c r="AT25" s="1728"/>
      <c r="AU25" s="1728"/>
      <c r="AV25" s="1719"/>
      <c r="AW25" s="1728"/>
      <c r="AY25" s="1728"/>
      <c r="AZ25" s="1728"/>
      <c r="BA25" s="1728"/>
      <c r="BB25" s="1728"/>
      <c r="BC25" s="1736"/>
    </row>
    <row r="26" spans="2:55" ht="17" customHeight="1">
      <c r="B26" s="2099" t="s">
        <v>1478</v>
      </c>
      <c r="C26" s="2100"/>
      <c r="D26" s="2100"/>
      <c r="E26" s="2101"/>
      <c r="G26" s="1780">
        <v>105</v>
      </c>
      <c r="H26" s="1719"/>
      <c r="I26" s="1725" t="s">
        <v>1491</v>
      </c>
      <c r="J26" s="1781" t="s">
        <v>1320</v>
      </c>
      <c r="L26" s="1728"/>
      <c r="M26" s="1728"/>
      <c r="N26" s="1728"/>
      <c r="O26" s="1728"/>
      <c r="V26" s="1088"/>
      <c r="W26" s="1088"/>
      <c r="X26" s="1088"/>
      <c r="Y26" s="1088"/>
      <c r="AA26" s="2129"/>
      <c r="AB26" s="2130"/>
      <c r="AC26" s="2130"/>
      <c r="AD26" s="2131"/>
      <c r="AF26" s="1780">
        <v>4260</v>
      </c>
      <c r="AG26" s="1719"/>
      <c r="AH26" s="1721" t="s">
        <v>1376</v>
      </c>
      <c r="AI26" s="1781" t="s">
        <v>1320</v>
      </c>
      <c r="AK26" s="2129"/>
      <c r="AL26" s="2130"/>
      <c r="AM26" s="2131"/>
      <c r="AO26" s="1780">
        <v>30606</v>
      </c>
      <c r="AP26" s="341"/>
      <c r="AQ26" s="1718" t="s">
        <v>1557</v>
      </c>
      <c r="AR26" s="1781" t="s">
        <v>818</v>
      </c>
      <c r="AT26" s="1728"/>
      <c r="AU26" s="1728"/>
      <c r="AV26" s="1719"/>
      <c r="AW26" s="1728"/>
      <c r="AY26" s="1728"/>
      <c r="AZ26" s="1728"/>
      <c r="BA26" s="1728"/>
      <c r="BB26" s="1728"/>
      <c r="BC26" s="1736"/>
    </row>
    <row r="27" spans="2:55" ht="17" thickBot="1">
      <c r="B27" s="2102"/>
      <c r="C27" s="2103"/>
      <c r="D27" s="2103"/>
      <c r="E27" s="2104"/>
      <c r="G27" s="1780">
        <v>106</v>
      </c>
      <c r="H27" s="1719"/>
      <c r="I27" s="1725" t="s">
        <v>143</v>
      </c>
      <c r="J27" s="1781" t="s">
        <v>1320</v>
      </c>
      <c r="L27" s="1728"/>
      <c r="M27" s="1728"/>
      <c r="N27" s="1728"/>
      <c r="O27" s="1728"/>
      <c r="V27" s="1735"/>
      <c r="W27" s="1735"/>
      <c r="X27" s="1728"/>
      <c r="Y27" s="1728"/>
      <c r="AA27" s="2129"/>
      <c r="AB27" s="2130"/>
      <c r="AC27" s="2130"/>
      <c r="AD27" s="2131"/>
      <c r="AF27" s="1784">
        <v>4265</v>
      </c>
      <c r="AG27" s="1785"/>
      <c r="AH27" s="1796" t="s">
        <v>1377</v>
      </c>
      <c r="AI27" s="1786" t="s">
        <v>1320</v>
      </c>
      <c r="AK27" s="2129"/>
      <c r="AL27" s="2130"/>
      <c r="AM27" s="2131"/>
      <c r="AO27" s="1780">
        <v>30666</v>
      </c>
      <c r="AP27" s="547"/>
      <c r="AQ27" s="1718" t="s">
        <v>1558</v>
      </c>
      <c r="AR27" s="1781" t="s">
        <v>1030</v>
      </c>
      <c r="AT27" s="1728"/>
      <c r="AU27" s="1728"/>
      <c r="AV27" s="1719"/>
      <c r="AW27" s="1728"/>
      <c r="AY27" s="1728"/>
      <c r="AZ27" s="1728"/>
      <c r="BA27" s="1728"/>
      <c r="BB27" s="1728"/>
      <c r="BC27" s="1736"/>
    </row>
    <row r="28" spans="2:55" ht="17" thickBot="1">
      <c r="B28" s="2102"/>
      <c r="C28" s="2103"/>
      <c r="D28" s="2103"/>
      <c r="E28" s="2104"/>
      <c r="G28" s="1780">
        <v>107</v>
      </c>
      <c r="H28" s="1719"/>
      <c r="I28" s="1725" t="s">
        <v>144</v>
      </c>
      <c r="J28" s="1781" t="s">
        <v>1320</v>
      </c>
      <c r="L28" s="1724"/>
      <c r="M28" s="1724"/>
      <c r="N28" s="1725"/>
      <c r="O28" s="1724"/>
      <c r="V28" s="1728"/>
      <c r="W28" s="1728"/>
      <c r="X28" s="1728"/>
      <c r="Y28" s="1728"/>
      <c r="AA28" s="2141" t="s">
        <v>1319</v>
      </c>
      <c r="AB28" s="2142"/>
      <c r="AC28" s="2142"/>
      <c r="AD28" s="2143"/>
      <c r="AK28" s="2124" t="s">
        <v>1321</v>
      </c>
      <c r="AL28" s="2125"/>
      <c r="AM28" s="2126"/>
      <c r="AO28" s="1780">
        <v>30676</v>
      </c>
      <c r="AP28" s="548"/>
      <c r="AQ28" s="1718" t="s">
        <v>1559</v>
      </c>
      <c r="AR28" s="1781" t="s">
        <v>1031</v>
      </c>
      <c r="AT28" s="1737"/>
      <c r="AU28" s="1737"/>
      <c r="AV28" s="1719"/>
      <c r="AW28" s="1737"/>
      <c r="AY28" s="1737"/>
      <c r="AZ28" s="1737"/>
      <c r="BA28" s="1737"/>
      <c r="BB28" s="1737"/>
      <c r="BC28" s="1738"/>
    </row>
    <row r="29" spans="2:55" ht="17" thickBot="1">
      <c r="B29" s="2102"/>
      <c r="C29" s="2103"/>
      <c r="D29" s="2103"/>
      <c r="E29" s="2104"/>
      <c r="G29" s="1780">
        <v>108</v>
      </c>
      <c r="H29" s="1719"/>
      <c r="I29" s="1725" t="s">
        <v>1492</v>
      </c>
      <c r="J29" s="1781" t="s">
        <v>1320</v>
      </c>
      <c r="V29" s="1728"/>
      <c r="W29" s="1728"/>
      <c r="X29" s="1728"/>
      <c r="Y29" s="1728"/>
      <c r="AF29" s="2072" t="s">
        <v>1316</v>
      </c>
      <c r="AG29" s="2073"/>
      <c r="AH29" s="2073"/>
      <c r="AI29" s="2074"/>
      <c r="AO29" s="1780">
        <v>30702</v>
      </c>
      <c r="AP29" s="360"/>
      <c r="AQ29" s="1718" t="s">
        <v>1560</v>
      </c>
      <c r="AR29" s="1781" t="s">
        <v>1032</v>
      </c>
      <c r="AV29" s="1719"/>
    </row>
    <row r="30" spans="2:55" ht="17" thickBot="1">
      <c r="B30" s="2105"/>
      <c r="C30" s="2106"/>
      <c r="D30" s="2106"/>
      <c r="E30" s="2107"/>
      <c r="G30" s="1780">
        <v>111</v>
      </c>
      <c r="H30" s="1719"/>
      <c r="I30" s="1725" t="s">
        <v>145</v>
      </c>
      <c r="J30" s="1781" t="s">
        <v>1320</v>
      </c>
      <c r="V30" s="1728"/>
      <c r="W30" s="1728"/>
      <c r="X30" s="1728"/>
      <c r="Y30" s="1728"/>
      <c r="AF30" s="2099" t="s">
        <v>1335</v>
      </c>
      <c r="AG30" s="2100"/>
      <c r="AH30" s="2127"/>
      <c r="AI30" s="2128"/>
      <c r="AO30" s="1780">
        <v>30712</v>
      </c>
      <c r="AP30" s="362"/>
      <c r="AQ30" s="1718" t="s">
        <v>1561</v>
      </c>
      <c r="AR30" s="1781" t="s">
        <v>1033</v>
      </c>
      <c r="AV30" s="1719"/>
    </row>
    <row r="31" spans="2:55">
      <c r="G31" s="1780">
        <v>112</v>
      </c>
      <c r="H31" s="1719"/>
      <c r="I31" s="1725" t="s">
        <v>1493</v>
      </c>
      <c r="J31" s="1781" t="s">
        <v>1320</v>
      </c>
      <c r="V31" s="1728"/>
      <c r="W31" s="1728"/>
      <c r="X31" s="1728"/>
      <c r="Y31" s="1728"/>
      <c r="AA31" s="1728"/>
      <c r="AB31" s="1728"/>
      <c r="AC31" s="1728"/>
      <c r="AD31" s="1728"/>
      <c r="AF31" s="2129"/>
      <c r="AG31" s="2130"/>
      <c r="AH31" s="2130"/>
      <c r="AI31" s="2131"/>
      <c r="AK31" s="1728"/>
      <c r="AL31" s="1728"/>
      <c r="AM31" s="1728"/>
      <c r="AO31" s="1780">
        <v>30726</v>
      </c>
      <c r="AP31" s="367"/>
      <c r="AQ31" s="1718" t="s">
        <v>1562</v>
      </c>
      <c r="AR31" s="1781" t="s">
        <v>1034</v>
      </c>
      <c r="AT31" s="1728"/>
      <c r="AU31" s="1728"/>
      <c r="AV31" s="1719"/>
      <c r="AW31" s="1728"/>
      <c r="AY31" s="1728"/>
      <c r="AZ31" s="1728"/>
      <c r="BA31" s="1728"/>
      <c r="BB31" s="1728"/>
      <c r="BC31" s="1728"/>
    </row>
    <row r="32" spans="2:55">
      <c r="G32" s="1780">
        <v>113</v>
      </c>
      <c r="H32" s="1719"/>
      <c r="I32" s="1725" t="s">
        <v>1494</v>
      </c>
      <c r="J32" s="1781" t="s">
        <v>1320</v>
      </c>
      <c r="V32" s="1737"/>
      <c r="W32" s="1737"/>
      <c r="X32" s="1737"/>
      <c r="Y32" s="1737"/>
      <c r="AA32" s="1728"/>
      <c r="AB32" s="1728"/>
      <c r="AC32" s="1728"/>
      <c r="AD32" s="1728"/>
      <c r="AF32" s="2129"/>
      <c r="AG32" s="2130"/>
      <c r="AH32" s="2130"/>
      <c r="AI32" s="2131"/>
      <c r="AK32" s="1728"/>
      <c r="AL32" s="1728"/>
      <c r="AM32" s="1728"/>
      <c r="AO32" s="1780">
        <v>30742</v>
      </c>
      <c r="AP32" s="257"/>
      <c r="AQ32" s="1718" t="s">
        <v>1563</v>
      </c>
      <c r="AR32" s="1781" t="s">
        <v>1320</v>
      </c>
      <c r="AT32" s="1728"/>
      <c r="AU32" s="1728"/>
      <c r="AV32" s="1719"/>
      <c r="AW32" s="1728"/>
      <c r="AY32" s="1728"/>
      <c r="AZ32" s="1728"/>
      <c r="BA32" s="1728"/>
      <c r="BB32" s="1728"/>
      <c r="BC32" s="1728"/>
    </row>
    <row r="33" spans="7:55">
      <c r="G33" s="1780">
        <v>114</v>
      </c>
      <c r="H33" s="1719"/>
      <c r="I33" s="1725" t="s">
        <v>1495</v>
      </c>
      <c r="J33" s="1781" t="s">
        <v>1320</v>
      </c>
      <c r="AA33" s="1729"/>
      <c r="AB33" s="1729"/>
      <c r="AC33" s="1729"/>
      <c r="AD33" s="1729"/>
      <c r="AF33" s="2129"/>
      <c r="AG33" s="2130"/>
      <c r="AH33" s="2130"/>
      <c r="AI33" s="2131"/>
      <c r="AK33" s="1729"/>
      <c r="AL33" s="1729"/>
      <c r="AM33" s="1729"/>
      <c r="AO33" s="1780">
        <v>30744</v>
      </c>
      <c r="AP33" s="259"/>
      <c r="AQ33" s="1718" t="s">
        <v>1564</v>
      </c>
      <c r="AR33" s="1781" t="s">
        <v>1037</v>
      </c>
      <c r="AT33" s="1729"/>
      <c r="AU33" s="1729"/>
      <c r="AV33" s="1719"/>
      <c r="AW33" s="1729"/>
      <c r="AY33" s="1729"/>
      <c r="AZ33" s="1729"/>
      <c r="BA33" s="1729"/>
      <c r="BB33" s="1729"/>
      <c r="BC33" s="1729"/>
    </row>
    <row r="34" spans="7:55" ht="17" thickBot="1">
      <c r="G34" s="1780">
        <v>115</v>
      </c>
      <c r="H34" s="1719"/>
      <c r="I34" s="1725" t="s">
        <v>146</v>
      </c>
      <c r="J34" s="1781" t="s">
        <v>1320</v>
      </c>
      <c r="L34" s="1719"/>
      <c r="M34" s="1719"/>
      <c r="N34" s="1725"/>
      <c r="AF34" s="2135"/>
      <c r="AG34" s="2136"/>
      <c r="AH34" s="2136"/>
      <c r="AI34" s="2137"/>
      <c r="AO34" s="1780">
        <v>30797</v>
      </c>
      <c r="AP34" s="281"/>
      <c r="AQ34" s="1718" t="s">
        <v>1565</v>
      </c>
      <c r="AR34" s="1781" t="s">
        <v>1041</v>
      </c>
      <c r="AV34" s="1719"/>
    </row>
    <row r="35" spans="7:55">
      <c r="G35" s="1780">
        <v>116</v>
      </c>
      <c r="H35" s="1719"/>
      <c r="I35" s="1725" t="s">
        <v>1496</v>
      </c>
      <c r="J35" s="1781" t="s">
        <v>1320</v>
      </c>
      <c r="L35" s="1719"/>
      <c r="M35" s="1719"/>
      <c r="N35" s="1725"/>
      <c r="V35" s="1728"/>
      <c r="W35" s="1728"/>
      <c r="X35" s="1728"/>
      <c r="Y35" s="1728"/>
      <c r="AF35" s="1109"/>
      <c r="AG35" s="1109"/>
      <c r="AH35" s="1109"/>
      <c r="AI35" s="1109"/>
      <c r="AO35" s="1780">
        <v>30798</v>
      </c>
      <c r="AP35" s="282"/>
      <c r="AQ35" s="1718" t="s">
        <v>1566</v>
      </c>
      <c r="AR35" s="1781" t="s">
        <v>821</v>
      </c>
      <c r="AV35" s="1719"/>
    </row>
    <row r="36" spans="7:55">
      <c r="G36" s="1780">
        <v>121</v>
      </c>
      <c r="H36" s="1719"/>
      <c r="I36" s="1725" t="s">
        <v>147</v>
      </c>
      <c r="J36" s="1781" t="s">
        <v>1320</v>
      </c>
      <c r="L36" s="1719"/>
      <c r="M36" s="1719"/>
      <c r="N36" s="1725"/>
      <c r="V36" s="1719"/>
      <c r="W36" s="1719"/>
      <c r="X36" s="1719"/>
      <c r="Y36" s="1719"/>
      <c r="AO36" s="1780">
        <v>30799</v>
      </c>
      <c r="AP36" s="283"/>
      <c r="AQ36" s="1718" t="s">
        <v>1567</v>
      </c>
      <c r="AR36" s="1781" t="s">
        <v>822</v>
      </c>
      <c r="AV36" s="1719"/>
    </row>
    <row r="37" spans="7:55">
      <c r="G37" s="1780">
        <v>122</v>
      </c>
      <c r="H37" s="1719"/>
      <c r="I37" s="1725" t="s">
        <v>1497</v>
      </c>
      <c r="J37" s="1781" t="s">
        <v>1320</v>
      </c>
      <c r="L37" s="1719"/>
      <c r="M37" s="1719"/>
      <c r="N37" s="1725"/>
      <c r="X37" s="1719"/>
      <c r="AO37" s="1780">
        <v>30813</v>
      </c>
      <c r="AP37" s="290"/>
      <c r="AQ37" s="1718" t="s">
        <v>1568</v>
      </c>
      <c r="AR37" s="1781" t="s">
        <v>1320</v>
      </c>
      <c r="AV37" s="1719"/>
    </row>
    <row r="38" spans="7:55">
      <c r="G38" s="1780">
        <v>123</v>
      </c>
      <c r="H38" s="1719"/>
      <c r="I38" s="1725" t="s">
        <v>1498</v>
      </c>
      <c r="J38" s="1781" t="s">
        <v>1320</v>
      </c>
      <c r="L38" s="1719"/>
      <c r="M38" s="1719"/>
      <c r="N38" s="1725"/>
      <c r="X38" s="1719"/>
      <c r="AO38" s="1780">
        <v>30814</v>
      </c>
      <c r="AP38" s="291"/>
      <c r="AQ38" s="1718" t="s">
        <v>1569</v>
      </c>
      <c r="AR38" s="1781" t="s">
        <v>1320</v>
      </c>
      <c r="AV38" s="1719"/>
    </row>
    <row r="39" spans="7:55">
      <c r="G39" s="1780">
        <v>124</v>
      </c>
      <c r="H39" s="1719"/>
      <c r="I39" s="1725" t="s">
        <v>1499</v>
      </c>
      <c r="J39" s="1781" t="s">
        <v>1320</v>
      </c>
      <c r="L39" s="1719"/>
      <c r="M39" s="1719"/>
      <c r="N39" s="1725"/>
      <c r="X39" s="1719"/>
      <c r="AO39" s="1780">
        <v>30818</v>
      </c>
      <c r="AP39" s="62"/>
      <c r="AQ39" s="1718" t="s">
        <v>1570</v>
      </c>
      <c r="AR39" s="1781" t="s">
        <v>824</v>
      </c>
      <c r="AV39" s="1719"/>
    </row>
    <row r="40" spans="7:55">
      <c r="G40" s="1780">
        <v>125</v>
      </c>
      <c r="H40" s="1719"/>
      <c r="I40" s="1725" t="s">
        <v>148</v>
      </c>
      <c r="J40" s="1781" t="s">
        <v>1320</v>
      </c>
      <c r="L40" s="1719"/>
      <c r="M40" s="1719"/>
      <c r="N40" s="1725"/>
      <c r="V40" s="1719"/>
      <c r="W40" s="1719"/>
      <c r="X40" s="1719"/>
      <c r="Y40" s="1719"/>
      <c r="AK40" s="1719"/>
      <c r="AL40" s="1719"/>
      <c r="AM40" s="1719"/>
      <c r="AO40" s="1780">
        <v>30820</v>
      </c>
      <c r="AP40" s="295"/>
      <c r="AQ40" s="1718" t="s">
        <v>1571</v>
      </c>
      <c r="AR40" s="1781" t="s">
        <v>825</v>
      </c>
      <c r="AT40" s="1719"/>
      <c r="AU40" s="1719"/>
      <c r="AV40" s="1719"/>
      <c r="AW40" s="1719"/>
      <c r="AY40" s="1719"/>
      <c r="AZ40" s="1719"/>
      <c r="BA40" s="1719"/>
      <c r="BB40" s="1719"/>
      <c r="BC40" s="1719"/>
    </row>
    <row r="41" spans="7:55" ht="17" thickBot="1">
      <c r="G41" s="1784">
        <v>126</v>
      </c>
      <c r="H41" s="1785"/>
      <c r="I41" s="1794" t="s">
        <v>1500</v>
      </c>
      <c r="J41" s="1786" t="s">
        <v>1320</v>
      </c>
      <c r="L41" s="1719"/>
      <c r="M41" s="1719"/>
      <c r="N41" s="1725"/>
      <c r="V41" s="1719"/>
      <c r="W41" s="1719"/>
      <c r="X41" s="1719"/>
      <c r="Y41" s="1719"/>
      <c r="AK41" s="1719"/>
      <c r="AL41" s="1719"/>
      <c r="AM41" s="1719"/>
      <c r="AO41" s="1780">
        <v>30824</v>
      </c>
      <c r="AP41" s="298"/>
      <c r="AQ41" s="1718" t="s">
        <v>1572</v>
      </c>
      <c r="AR41" s="1781" t="s">
        <v>1320</v>
      </c>
      <c r="AT41" s="1719"/>
      <c r="AU41" s="1719"/>
      <c r="AV41" s="1719"/>
      <c r="AW41" s="1719"/>
      <c r="AY41" s="1719"/>
      <c r="AZ41" s="1719"/>
      <c r="BA41" s="1719"/>
      <c r="BB41" s="1719"/>
      <c r="BC41" s="1719"/>
    </row>
    <row r="42" spans="7:55" ht="17" thickBot="1">
      <c r="G42" s="1719"/>
      <c r="H42" s="1719"/>
      <c r="I42" s="1725"/>
      <c r="L42" s="1719"/>
      <c r="M42" s="1719"/>
      <c r="N42" s="1725"/>
      <c r="V42" s="1719"/>
      <c r="W42" s="1719"/>
      <c r="X42" s="1719"/>
      <c r="Y42" s="1719"/>
      <c r="AK42" s="1719"/>
      <c r="AL42" s="1719"/>
      <c r="AM42" s="1719"/>
      <c r="AO42" s="1780">
        <v>30839</v>
      </c>
      <c r="AP42" s="309"/>
      <c r="AQ42" s="1718" t="s">
        <v>1573</v>
      </c>
      <c r="AR42" s="1781" t="s">
        <v>1320</v>
      </c>
      <c r="AT42" s="1719"/>
      <c r="AU42" s="1719"/>
      <c r="AV42" s="1719"/>
      <c r="AW42" s="1719"/>
      <c r="AY42" s="1719"/>
      <c r="AZ42" s="1719"/>
      <c r="BA42" s="1719"/>
      <c r="BB42" s="1719"/>
      <c r="BC42" s="1719"/>
    </row>
    <row r="43" spans="7:55" ht="16" customHeight="1" thickBot="1">
      <c r="G43" s="2072" t="s">
        <v>1316</v>
      </c>
      <c r="H43" s="2073"/>
      <c r="I43" s="2073"/>
      <c r="J43" s="2074"/>
      <c r="L43" s="1719"/>
      <c r="M43" s="1719"/>
      <c r="N43" s="1725"/>
      <c r="V43" s="1719"/>
      <c r="W43" s="1719"/>
      <c r="X43" s="1719"/>
      <c r="Y43" s="1719"/>
      <c r="AK43" s="1719"/>
      <c r="AL43" s="1719"/>
      <c r="AM43" s="1719"/>
      <c r="AO43" s="1780">
        <v>30841</v>
      </c>
      <c r="AP43" s="311"/>
      <c r="AQ43" s="1718" t="s">
        <v>1574</v>
      </c>
      <c r="AR43" s="1781" t="s">
        <v>826</v>
      </c>
      <c r="AT43" s="1719"/>
      <c r="AU43" s="1719"/>
      <c r="AV43" s="1719"/>
      <c r="AW43" s="1719"/>
      <c r="AY43" s="1719"/>
      <c r="AZ43" s="1719"/>
      <c r="BA43" s="1719"/>
      <c r="BB43" s="1719"/>
      <c r="BC43" s="1719"/>
    </row>
    <row r="44" spans="7:55">
      <c r="G44" s="2099" t="s">
        <v>1799</v>
      </c>
      <c r="H44" s="2100"/>
      <c r="I44" s="2100"/>
      <c r="J44" s="2101"/>
      <c r="L44" s="1719"/>
      <c r="M44" s="1719"/>
      <c r="N44" s="1725"/>
      <c r="V44" s="1719"/>
      <c r="W44" s="1719"/>
      <c r="X44" s="1719"/>
      <c r="Y44" s="1719"/>
      <c r="AK44" s="1719"/>
      <c r="AL44" s="1719"/>
      <c r="AM44" s="1719"/>
      <c r="AO44" s="1780">
        <v>30898</v>
      </c>
      <c r="AP44" s="64"/>
      <c r="AQ44" s="1718" t="s">
        <v>1575</v>
      </c>
      <c r="AR44" s="1781" t="s">
        <v>827</v>
      </c>
      <c r="AT44" s="1719"/>
      <c r="AU44" s="1719"/>
      <c r="AV44" s="1719"/>
      <c r="AW44" s="1719"/>
      <c r="AY44" s="1719"/>
      <c r="AZ44" s="1719"/>
      <c r="BA44" s="1719"/>
      <c r="BB44" s="1719"/>
      <c r="BC44" s="1719"/>
    </row>
    <row r="45" spans="7:55">
      <c r="G45" s="2102"/>
      <c r="H45" s="2103"/>
      <c r="I45" s="2103"/>
      <c r="J45" s="2104"/>
      <c r="L45" s="1719"/>
      <c r="M45" s="1719"/>
      <c r="N45" s="1725"/>
      <c r="V45" s="1719"/>
      <c r="W45" s="1719"/>
      <c r="X45" s="1719"/>
      <c r="Y45" s="1719"/>
      <c r="AK45" s="1719"/>
      <c r="AL45" s="1719"/>
      <c r="AM45" s="1719"/>
      <c r="AO45" s="1780">
        <v>30899</v>
      </c>
      <c r="AP45" s="198"/>
      <c r="AQ45" s="1718" t="s">
        <v>1576</v>
      </c>
      <c r="AR45" s="1781" t="s">
        <v>828</v>
      </c>
      <c r="AT45" s="1719"/>
      <c r="AU45" s="1719"/>
      <c r="AV45" s="1719"/>
      <c r="AW45" s="1719"/>
      <c r="AY45" s="1719"/>
      <c r="AZ45" s="1719"/>
      <c r="BA45" s="1719"/>
      <c r="BB45" s="1719"/>
      <c r="BC45" s="1719"/>
    </row>
    <row r="46" spans="7:55">
      <c r="G46" s="2102"/>
      <c r="H46" s="2103"/>
      <c r="I46" s="2103"/>
      <c r="J46" s="2104"/>
      <c r="L46" s="1719"/>
      <c r="M46" s="1719"/>
      <c r="N46" s="1725"/>
      <c r="V46" s="1719"/>
      <c r="W46" s="1719"/>
      <c r="X46" s="1719"/>
      <c r="Y46" s="1719"/>
      <c r="AK46" s="1719"/>
      <c r="AL46" s="1719"/>
      <c r="AM46" s="1719"/>
      <c r="AO46" s="1780">
        <v>30909</v>
      </c>
      <c r="AP46" s="541"/>
      <c r="AQ46" s="1718" t="s">
        <v>1577</v>
      </c>
      <c r="AR46" s="1781" t="s">
        <v>1042</v>
      </c>
      <c r="AT46" s="1719"/>
      <c r="AU46" s="1719"/>
      <c r="AV46" s="1719"/>
      <c r="AW46" s="1719"/>
      <c r="AY46" s="1719"/>
      <c r="AZ46" s="1719"/>
      <c r="BA46" s="1719"/>
      <c r="BB46" s="1719"/>
      <c r="BC46" s="1719"/>
    </row>
    <row r="47" spans="7:55">
      <c r="G47" s="2102"/>
      <c r="H47" s="2103"/>
      <c r="I47" s="2103"/>
      <c r="J47" s="2104"/>
      <c r="L47" s="1719"/>
      <c r="M47" s="1719"/>
      <c r="N47" s="1725"/>
      <c r="V47" s="1719"/>
      <c r="W47" s="1719"/>
      <c r="X47" s="1719"/>
      <c r="Y47" s="1719"/>
      <c r="AK47" s="1719"/>
      <c r="AL47" s="1719"/>
      <c r="AM47" s="1719"/>
      <c r="AO47" s="1780">
        <v>30911</v>
      </c>
      <c r="AP47" s="207"/>
      <c r="AQ47" s="1718" t="s">
        <v>1578</v>
      </c>
      <c r="AR47" s="1781" t="s">
        <v>1320</v>
      </c>
      <c r="AT47" s="1719"/>
      <c r="AU47" s="1719"/>
      <c r="AV47" s="1719"/>
      <c r="AW47" s="1719"/>
      <c r="AY47" s="1719"/>
      <c r="AZ47" s="1719"/>
      <c r="BA47" s="1719"/>
      <c r="BB47" s="1719"/>
      <c r="BC47" s="1719"/>
    </row>
    <row r="48" spans="7:55" ht="17" thickBot="1">
      <c r="G48" s="2105"/>
      <c r="H48" s="2106"/>
      <c r="I48" s="2106"/>
      <c r="J48" s="2107"/>
      <c r="L48" s="1719"/>
      <c r="M48" s="1719"/>
      <c r="N48" s="1725"/>
      <c r="V48" s="1719"/>
      <c r="W48" s="1719"/>
      <c r="X48" s="1719"/>
      <c r="Y48" s="1719"/>
      <c r="AK48" s="1719"/>
      <c r="AL48" s="1719"/>
      <c r="AM48" s="1719"/>
      <c r="AO48" s="1780">
        <v>30913</v>
      </c>
      <c r="AP48" s="209"/>
      <c r="AQ48" s="1718" t="s">
        <v>1579</v>
      </c>
      <c r="AR48" s="1781" t="s">
        <v>1320</v>
      </c>
      <c r="AT48" s="1719"/>
      <c r="AU48" s="1719"/>
      <c r="AV48" s="1719"/>
      <c r="AW48" s="1719"/>
      <c r="AY48" s="1719"/>
      <c r="AZ48" s="1719"/>
      <c r="BA48" s="1719"/>
      <c r="BB48" s="1719"/>
      <c r="BC48" s="1719"/>
    </row>
    <row r="49" spans="7:55">
      <c r="G49" s="1719"/>
      <c r="H49" s="1719"/>
      <c r="I49" s="1725"/>
      <c r="L49" s="1719"/>
      <c r="M49" s="1719"/>
      <c r="N49" s="1725"/>
      <c r="V49" s="1719"/>
      <c r="W49" s="1719"/>
      <c r="X49" s="1719"/>
      <c r="Y49" s="1719"/>
      <c r="AK49" s="1719"/>
      <c r="AL49" s="1719"/>
      <c r="AM49" s="1719"/>
      <c r="AO49" s="1780">
        <v>30915</v>
      </c>
      <c r="AP49" s="552"/>
      <c r="AQ49" s="1718" t="s">
        <v>1580</v>
      </c>
      <c r="AR49" s="1781" t="s">
        <v>1043</v>
      </c>
      <c r="AT49" s="1719"/>
      <c r="AU49" s="1719"/>
      <c r="AV49" s="1719"/>
      <c r="AW49" s="1719"/>
      <c r="AY49" s="1719"/>
      <c r="AZ49" s="1719"/>
      <c r="BA49" s="1719"/>
      <c r="BB49" s="1719"/>
      <c r="BC49" s="1719"/>
    </row>
    <row r="50" spans="7:55">
      <c r="G50" s="1719"/>
      <c r="H50" s="1719"/>
      <c r="I50" s="1725"/>
      <c r="L50" s="1719"/>
      <c r="M50" s="1719"/>
      <c r="N50" s="1725"/>
      <c r="V50" s="1719"/>
      <c r="W50" s="1719"/>
      <c r="X50" s="1719"/>
      <c r="Y50" s="1719"/>
      <c r="AA50" s="1088"/>
      <c r="AB50" s="1088"/>
      <c r="AC50" s="1088"/>
      <c r="AD50" s="1088"/>
      <c r="AF50" s="1719"/>
      <c r="AG50" s="1719"/>
      <c r="AH50" s="1719"/>
      <c r="AI50" s="1719"/>
      <c r="AK50" s="1719"/>
      <c r="AL50" s="1719"/>
      <c r="AM50" s="1719"/>
      <c r="AO50" s="1780">
        <v>30931</v>
      </c>
      <c r="AP50" s="222"/>
      <c r="AQ50" s="1718" t="s">
        <v>1581</v>
      </c>
      <c r="AR50" s="1781" t="s">
        <v>829</v>
      </c>
      <c r="AT50" s="1719"/>
      <c r="AU50" s="1719"/>
      <c r="AV50" s="1719"/>
      <c r="AW50" s="1719"/>
      <c r="AY50" s="1719"/>
      <c r="AZ50" s="1719"/>
      <c r="BA50" s="1719"/>
      <c r="BB50" s="1719"/>
      <c r="BC50" s="1719"/>
    </row>
    <row r="51" spans="7:55">
      <c r="G51" s="1719"/>
      <c r="H51" s="1719"/>
      <c r="I51" s="1725"/>
      <c r="L51" s="1719"/>
      <c r="M51" s="1719"/>
      <c r="N51" s="1725"/>
      <c r="V51" s="1719"/>
      <c r="W51" s="1719"/>
      <c r="X51" s="1719"/>
      <c r="Y51" s="1719"/>
      <c r="AA51" s="1728"/>
      <c r="AB51" s="1728"/>
      <c r="AC51" s="1728"/>
      <c r="AD51" s="1728"/>
      <c r="AF51" s="1719"/>
      <c r="AG51" s="1719"/>
      <c r="AH51" s="1719"/>
      <c r="AI51" s="1719"/>
      <c r="AK51" s="1719"/>
      <c r="AL51" s="1719"/>
      <c r="AM51" s="1719"/>
      <c r="AO51" s="1780">
        <v>30932</v>
      </c>
      <c r="AP51" s="551"/>
      <c r="AQ51" s="1718" t="s">
        <v>1582</v>
      </c>
      <c r="AR51" s="1781" t="s">
        <v>1044</v>
      </c>
      <c r="AT51" s="1719"/>
      <c r="AU51" s="1719"/>
      <c r="AV51" s="1719"/>
      <c r="AW51" s="1719"/>
      <c r="AY51" s="1719"/>
      <c r="AZ51" s="1719"/>
      <c r="BA51" s="1719"/>
      <c r="BB51" s="1719"/>
      <c r="BC51" s="1719"/>
    </row>
    <row r="52" spans="7:55">
      <c r="G52" s="1719"/>
      <c r="H52" s="1719"/>
      <c r="I52" s="1725"/>
      <c r="L52" s="1719"/>
      <c r="M52" s="1719"/>
      <c r="N52" s="1725"/>
      <c r="V52" s="1719"/>
      <c r="W52" s="1719"/>
      <c r="X52" s="1719"/>
      <c r="Y52" s="1719"/>
      <c r="AA52" s="1728"/>
      <c r="AB52" s="1728"/>
      <c r="AC52" s="1728"/>
      <c r="AD52" s="1728"/>
      <c r="AF52" s="1719"/>
      <c r="AG52" s="1719"/>
      <c r="AH52" s="1719"/>
      <c r="AI52" s="1719"/>
      <c r="AK52" s="1719"/>
      <c r="AL52" s="1719"/>
      <c r="AM52" s="1719"/>
      <c r="AO52" s="1780">
        <v>30943</v>
      </c>
      <c r="AP52" s="230"/>
      <c r="AQ52" s="1718" t="s">
        <v>1583</v>
      </c>
      <c r="AR52" s="1781" t="s">
        <v>830</v>
      </c>
      <c r="AT52" s="1719"/>
      <c r="AU52" s="1719"/>
      <c r="AV52" s="1719"/>
      <c r="AW52" s="1719"/>
      <c r="AY52" s="1719"/>
      <c r="AZ52" s="1719"/>
      <c r="BA52" s="1719"/>
      <c r="BB52" s="1719"/>
      <c r="BC52" s="1719"/>
    </row>
    <row r="53" spans="7:55">
      <c r="G53" s="1719"/>
      <c r="H53" s="1719"/>
      <c r="I53" s="1725"/>
      <c r="L53" s="1719"/>
      <c r="M53" s="1719"/>
      <c r="N53" s="1725"/>
      <c r="V53" s="1719"/>
      <c r="W53" s="1719"/>
      <c r="X53" s="1719"/>
      <c r="Y53" s="1719"/>
      <c r="AA53" s="1728"/>
      <c r="AB53" s="1728"/>
      <c r="AC53" s="1728"/>
      <c r="AD53" s="1728"/>
      <c r="AF53" s="1719"/>
      <c r="AG53" s="1719"/>
      <c r="AH53" s="1719"/>
      <c r="AI53" s="1719"/>
      <c r="AK53" s="1719"/>
      <c r="AL53" s="1719"/>
      <c r="AM53" s="1719"/>
      <c r="AO53" s="1780">
        <v>30955</v>
      </c>
      <c r="AP53" s="238"/>
      <c r="AQ53" s="1718" t="s">
        <v>1584</v>
      </c>
      <c r="AR53" s="1781" t="s">
        <v>1320</v>
      </c>
      <c r="AT53" s="1719"/>
      <c r="AU53" s="1719"/>
      <c r="AV53" s="1719"/>
      <c r="AW53" s="1719"/>
      <c r="AY53" s="1719"/>
      <c r="AZ53" s="1719"/>
      <c r="BA53" s="1719"/>
      <c r="BB53" s="1719"/>
      <c r="BC53" s="1719"/>
    </row>
    <row r="54" spans="7:55">
      <c r="G54" s="1719"/>
      <c r="H54" s="1719"/>
      <c r="I54" s="1725"/>
      <c r="L54" s="1719"/>
      <c r="M54" s="1719"/>
      <c r="N54" s="1725"/>
      <c r="V54" s="1719"/>
      <c r="W54" s="1719"/>
      <c r="X54" s="1719"/>
      <c r="Y54" s="1719"/>
      <c r="AA54" s="1728"/>
      <c r="AB54" s="1728"/>
      <c r="AC54" s="1728"/>
      <c r="AD54" s="1728"/>
      <c r="AK54" s="1719"/>
      <c r="AL54" s="1719"/>
      <c r="AM54" s="1719"/>
      <c r="AO54" s="1780">
        <v>30956</v>
      </c>
      <c r="AP54" s="239"/>
      <c r="AQ54" s="1718" t="s">
        <v>1585</v>
      </c>
      <c r="AR54" s="1781" t="s">
        <v>1320</v>
      </c>
      <c r="AT54" s="1719"/>
      <c r="AU54" s="1719"/>
      <c r="AV54" s="1719"/>
      <c r="AW54" s="1719"/>
      <c r="AY54" s="1719"/>
      <c r="AZ54" s="1719"/>
      <c r="BA54" s="1719"/>
      <c r="BB54" s="1719"/>
      <c r="BC54" s="1719"/>
    </row>
    <row r="55" spans="7:55">
      <c r="G55" s="1719"/>
      <c r="H55" s="1719"/>
      <c r="I55" s="1725"/>
      <c r="L55" s="1719"/>
      <c r="M55" s="1719"/>
      <c r="N55" s="1725"/>
      <c r="V55" s="1719"/>
      <c r="W55" s="1719"/>
      <c r="X55" s="1719"/>
      <c r="Y55" s="1719"/>
      <c r="AA55" s="1728"/>
      <c r="AB55" s="1728"/>
      <c r="AC55" s="1728"/>
      <c r="AD55" s="1728"/>
      <c r="AK55" s="1719"/>
      <c r="AL55" s="1719"/>
      <c r="AM55" s="1719"/>
      <c r="AO55" s="1780">
        <v>30957</v>
      </c>
      <c r="AP55" s="240"/>
      <c r="AQ55" s="1718" t="s">
        <v>1586</v>
      </c>
      <c r="AR55" s="1781" t="s">
        <v>1320</v>
      </c>
      <c r="AT55" s="1719"/>
      <c r="AU55" s="1719"/>
      <c r="AV55" s="1719"/>
      <c r="AW55" s="1719"/>
      <c r="AY55" s="1719"/>
      <c r="AZ55" s="1719"/>
      <c r="BA55" s="1719"/>
      <c r="BB55" s="1719"/>
      <c r="BC55" s="1719"/>
    </row>
    <row r="56" spans="7:55">
      <c r="G56" s="1719"/>
      <c r="H56" s="1719"/>
      <c r="I56" s="1725"/>
      <c r="L56" s="1719"/>
      <c r="M56" s="1719"/>
      <c r="N56" s="1725"/>
      <c r="V56" s="1719"/>
      <c r="W56" s="1719"/>
      <c r="X56" s="1719"/>
      <c r="Y56" s="1719"/>
      <c r="AA56" s="1729"/>
      <c r="AB56" s="1729"/>
      <c r="AC56" s="1729"/>
      <c r="AD56" s="1729"/>
      <c r="AK56" s="1719"/>
      <c r="AL56" s="1719"/>
      <c r="AM56" s="1719"/>
      <c r="AO56" s="1780">
        <v>30959</v>
      </c>
      <c r="AP56" s="242"/>
      <c r="AQ56" s="1718" t="s">
        <v>1587</v>
      </c>
      <c r="AR56" s="1781" t="s">
        <v>831</v>
      </c>
      <c r="AT56" s="1719"/>
      <c r="AU56" s="1719"/>
      <c r="AV56" s="1719"/>
      <c r="AW56" s="1719"/>
      <c r="AY56" s="1719"/>
      <c r="AZ56" s="1719"/>
      <c r="BA56" s="1719"/>
      <c r="BB56" s="1719"/>
      <c r="BC56" s="1719"/>
    </row>
    <row r="57" spans="7:55">
      <c r="G57" s="1719"/>
      <c r="H57" s="1719"/>
      <c r="I57" s="1725"/>
      <c r="L57" s="1719"/>
      <c r="M57" s="1719"/>
      <c r="N57" s="1725"/>
      <c r="V57" s="1719"/>
      <c r="W57" s="1719"/>
      <c r="X57" s="1719"/>
      <c r="Y57" s="1719"/>
      <c r="AK57" s="1719"/>
      <c r="AL57" s="1719"/>
      <c r="AM57" s="1719"/>
      <c r="AO57" s="1780">
        <v>30964</v>
      </c>
      <c r="AP57" s="550"/>
      <c r="AQ57" s="1718" t="s">
        <v>1588</v>
      </c>
      <c r="AR57" s="1781" t="s">
        <v>1045</v>
      </c>
      <c r="AT57" s="1719"/>
      <c r="AU57" s="1719"/>
      <c r="AV57" s="1719"/>
      <c r="AW57" s="1719"/>
      <c r="AY57" s="1719"/>
      <c r="AZ57" s="1719"/>
      <c r="BA57" s="1719"/>
      <c r="BB57" s="1719"/>
      <c r="BC57" s="1719"/>
    </row>
    <row r="58" spans="7:55">
      <c r="G58" s="1719"/>
      <c r="H58" s="1719"/>
      <c r="I58" s="1725"/>
      <c r="L58" s="1719"/>
      <c r="M58" s="1719"/>
      <c r="N58" s="1725"/>
      <c r="X58" s="1719"/>
      <c r="AO58" s="1780">
        <v>30973</v>
      </c>
      <c r="AP58" s="250"/>
      <c r="AQ58" s="1718" t="s">
        <v>1589</v>
      </c>
      <c r="AR58" s="1781" t="s">
        <v>1320</v>
      </c>
      <c r="AV58" s="1719"/>
    </row>
    <row r="59" spans="7:55">
      <c r="G59" s="1719"/>
      <c r="H59" s="1719"/>
      <c r="I59" s="1725"/>
      <c r="L59" s="1719"/>
      <c r="M59" s="1719"/>
      <c r="N59" s="1725"/>
      <c r="X59" s="1719"/>
      <c r="AO59" s="1780">
        <v>30976</v>
      </c>
      <c r="AP59" s="252"/>
      <c r="AQ59" s="1718" t="s">
        <v>1590</v>
      </c>
      <c r="AR59" s="1781" t="s">
        <v>832</v>
      </c>
      <c r="AV59" s="1719"/>
    </row>
    <row r="60" spans="7:55">
      <c r="G60" s="1719"/>
      <c r="H60" s="1719"/>
      <c r="I60" s="1725"/>
      <c r="L60" s="1719"/>
      <c r="M60" s="1719"/>
      <c r="N60" s="1725"/>
      <c r="X60" s="1719"/>
      <c r="AO60" s="1780">
        <v>30991</v>
      </c>
      <c r="AP60" s="131"/>
      <c r="AQ60" s="1718" t="s">
        <v>1591</v>
      </c>
      <c r="AR60" s="1781" t="s">
        <v>833</v>
      </c>
      <c r="AV60" s="1719"/>
    </row>
    <row r="61" spans="7:55">
      <c r="G61" s="1719"/>
      <c r="H61" s="1719"/>
      <c r="I61" s="1725"/>
      <c r="L61" s="1719"/>
      <c r="M61" s="1719"/>
      <c r="N61" s="1725"/>
      <c r="X61" s="1719"/>
      <c r="AO61" s="1780">
        <v>30993</v>
      </c>
      <c r="AP61" s="133"/>
      <c r="AQ61" s="1718" t="s">
        <v>1592</v>
      </c>
      <c r="AR61" s="1781" t="s">
        <v>1320</v>
      </c>
      <c r="AV61" s="1719"/>
    </row>
    <row r="62" spans="7:55">
      <c r="G62" s="1719"/>
      <c r="H62" s="1719"/>
      <c r="I62" s="1725"/>
      <c r="L62" s="1719"/>
      <c r="M62" s="1719"/>
      <c r="N62" s="1725"/>
      <c r="X62" s="1719"/>
      <c r="AO62" s="1780">
        <v>30995</v>
      </c>
      <c r="AP62" s="134"/>
      <c r="AQ62" s="1718" t="s">
        <v>1593</v>
      </c>
      <c r="AR62" s="1781" t="s">
        <v>834</v>
      </c>
      <c r="AV62" s="1719"/>
    </row>
    <row r="63" spans="7:55">
      <c r="G63" s="1719"/>
      <c r="H63" s="1719"/>
      <c r="I63" s="1725"/>
      <c r="L63" s="1719"/>
      <c r="M63" s="1719"/>
      <c r="N63" s="1725"/>
      <c r="X63" s="1719"/>
      <c r="AO63" s="1780">
        <v>30996</v>
      </c>
      <c r="AP63" s="135"/>
      <c r="AQ63" s="1718" t="s">
        <v>1594</v>
      </c>
      <c r="AR63" s="1781" t="s">
        <v>1320</v>
      </c>
      <c r="AV63" s="1719"/>
    </row>
    <row r="64" spans="7:55">
      <c r="G64" s="1719"/>
      <c r="H64" s="1719"/>
      <c r="I64" s="1725"/>
      <c r="L64" s="1719"/>
      <c r="M64" s="1719"/>
      <c r="N64" s="1725"/>
      <c r="X64" s="1719"/>
      <c r="AO64" s="1780">
        <v>33325</v>
      </c>
      <c r="AP64" s="157"/>
      <c r="AQ64" s="1718" t="s">
        <v>1595</v>
      </c>
      <c r="AR64" s="1781" t="s">
        <v>1320</v>
      </c>
      <c r="AV64" s="1719"/>
    </row>
    <row r="65" spans="7:48">
      <c r="G65" s="1719"/>
      <c r="H65" s="1719"/>
      <c r="I65" s="1725"/>
      <c r="L65" s="1719"/>
      <c r="M65" s="1719"/>
      <c r="N65" s="1725"/>
      <c r="X65" s="1719"/>
      <c r="AO65" s="1780">
        <v>33350</v>
      </c>
      <c r="AP65" s="166"/>
      <c r="AQ65" s="1718" t="s">
        <v>1596</v>
      </c>
      <c r="AR65" s="1781" t="s">
        <v>1320</v>
      </c>
      <c r="AV65" s="1719"/>
    </row>
    <row r="66" spans="7:48">
      <c r="G66" s="1719"/>
      <c r="H66" s="1719"/>
      <c r="I66" s="1725"/>
      <c r="L66" s="1719"/>
      <c r="M66" s="1719"/>
      <c r="N66" s="1725"/>
      <c r="X66" s="1719"/>
      <c r="AO66" s="1780">
        <v>33371</v>
      </c>
      <c r="AP66" s="171"/>
      <c r="AQ66" s="1718" t="s">
        <v>1597</v>
      </c>
      <c r="AR66" s="1781" t="s">
        <v>1046</v>
      </c>
      <c r="AV66" s="1719"/>
    </row>
    <row r="67" spans="7:48">
      <c r="G67" s="1719"/>
      <c r="H67" s="1719"/>
      <c r="I67" s="1725"/>
      <c r="L67" s="1719"/>
      <c r="M67" s="1719"/>
      <c r="N67" s="1725"/>
      <c r="X67" s="1719"/>
      <c r="AO67" s="1780">
        <v>33607</v>
      </c>
      <c r="AP67" s="172"/>
      <c r="AQ67" s="1718" t="s">
        <v>1598</v>
      </c>
      <c r="AR67" s="1781" t="s">
        <v>1320</v>
      </c>
      <c r="AV67" s="1719"/>
    </row>
    <row r="68" spans="7:48">
      <c r="G68" s="1719"/>
      <c r="H68" s="1719"/>
      <c r="I68" s="1725"/>
      <c r="L68" s="1719"/>
      <c r="M68" s="1719"/>
      <c r="N68" s="1725"/>
      <c r="X68" s="1719"/>
      <c r="AO68" s="1780">
        <v>33608</v>
      </c>
      <c r="AP68" s="173"/>
      <c r="AQ68" s="1718" t="s">
        <v>1599</v>
      </c>
      <c r="AR68" s="1781" t="s">
        <v>1320</v>
      </c>
      <c r="AV68" s="1719"/>
    </row>
    <row r="69" spans="7:48">
      <c r="G69" s="1719"/>
      <c r="H69" s="1719"/>
      <c r="I69" s="1725"/>
      <c r="L69" s="1719"/>
      <c r="M69" s="1719"/>
      <c r="N69" s="1725"/>
      <c r="X69" s="1719"/>
      <c r="AO69" s="1780">
        <v>33687</v>
      </c>
      <c r="AP69" s="175"/>
      <c r="AQ69" s="1718" t="s">
        <v>1600</v>
      </c>
      <c r="AR69" s="1781" t="s">
        <v>1320</v>
      </c>
      <c r="AV69" s="1719"/>
    </row>
    <row r="70" spans="7:48">
      <c r="G70" s="1719"/>
      <c r="H70" s="1719"/>
      <c r="I70" s="1725"/>
      <c r="L70" s="1719"/>
      <c r="M70" s="1719"/>
      <c r="N70" s="1725"/>
      <c r="X70" s="1719"/>
      <c r="AO70" s="1780">
        <v>33689</v>
      </c>
      <c r="AP70" s="177"/>
      <c r="AQ70" s="1718" t="s">
        <v>1601</v>
      </c>
      <c r="AR70" s="1781" t="s">
        <v>1320</v>
      </c>
      <c r="AV70" s="1719"/>
    </row>
    <row r="71" spans="7:48">
      <c r="G71" s="1719"/>
      <c r="H71" s="1719"/>
      <c r="I71" s="1725"/>
      <c r="X71" s="1719"/>
      <c r="AO71" s="1780">
        <v>33733</v>
      </c>
      <c r="AP71" s="189"/>
      <c r="AQ71" s="1718" t="s">
        <v>1602</v>
      </c>
      <c r="AR71" s="1781" t="s">
        <v>1320</v>
      </c>
      <c r="AV71" s="1719"/>
    </row>
    <row r="72" spans="7:48" ht="17" thickBot="1">
      <c r="G72" s="1719"/>
      <c r="H72" s="1719"/>
      <c r="I72" s="1725"/>
      <c r="X72" s="1719"/>
      <c r="AO72" s="1784">
        <v>33814</v>
      </c>
      <c r="AP72" s="1131"/>
      <c r="AQ72" s="1797" t="s">
        <v>1603</v>
      </c>
      <c r="AR72" s="1786" t="s">
        <v>1320</v>
      </c>
      <c r="AV72" s="1719"/>
    </row>
    <row r="73" spans="7:48" ht="17" thickBot="1">
      <c r="X73" s="1719"/>
      <c r="AV73" s="1719"/>
    </row>
    <row r="74" spans="7:48" ht="17" thickBot="1">
      <c r="X74" s="1719"/>
      <c r="AO74" s="2072" t="s">
        <v>1316</v>
      </c>
      <c r="AP74" s="2073"/>
      <c r="AQ74" s="2073"/>
      <c r="AR74" s="2074"/>
      <c r="AV74" s="1719"/>
    </row>
    <row r="75" spans="7:48">
      <c r="X75" s="1719"/>
      <c r="AO75" s="2099" t="s">
        <v>1464</v>
      </c>
      <c r="AP75" s="2100"/>
      <c r="AQ75" s="2127"/>
      <c r="AR75" s="2128"/>
      <c r="AV75" s="1719"/>
    </row>
    <row r="76" spans="7:48">
      <c r="X76" s="1719"/>
      <c r="AO76" s="2129"/>
      <c r="AP76" s="2130"/>
      <c r="AQ76" s="2130"/>
      <c r="AR76" s="2131"/>
      <c r="AV76" s="1719"/>
    </row>
    <row r="77" spans="7:48">
      <c r="AO77" s="2129"/>
      <c r="AP77" s="2130"/>
      <c r="AQ77" s="2130"/>
      <c r="AR77" s="2131"/>
    </row>
    <row r="78" spans="7:48">
      <c r="AO78" s="2129"/>
      <c r="AP78" s="2130"/>
      <c r="AQ78" s="2130"/>
      <c r="AR78" s="2131"/>
    </row>
    <row r="79" spans="7:48" ht="17" thickBot="1">
      <c r="AO79" s="2135"/>
      <c r="AP79" s="2136"/>
      <c r="AQ79" s="2136"/>
      <c r="AR79" s="2137"/>
    </row>
  </sheetData>
  <sheetProtection algorithmName="SHA-512" hashValue="jOOGXsJIDvdFuveuoP69eS87E2N2j77wS8mIGJrJUAt0FOh9F7zhc0GqUpzXXCoYZ7SBzPssV8w3LIjaUeq9LQ==" saltValue="x/eJ4Pq5A/8yQvyl5Anbww==" spinCount="100000" sheet="1" objects="1" scenarios="1"/>
  <mergeCells count="42">
    <mergeCell ref="AA23:AD27"/>
    <mergeCell ref="V17:Y17"/>
    <mergeCell ref="Q2:T2"/>
    <mergeCell ref="B2:E2"/>
    <mergeCell ref="L12:O12"/>
    <mergeCell ref="G2:J2"/>
    <mergeCell ref="L13:O17"/>
    <mergeCell ref="L2:O2"/>
    <mergeCell ref="B25:E25"/>
    <mergeCell ref="B26:E30"/>
    <mergeCell ref="AY7:BB11"/>
    <mergeCell ref="AY12:BB12"/>
    <mergeCell ref="V2:Y2"/>
    <mergeCell ref="AF2:AI2"/>
    <mergeCell ref="AO75:AR79"/>
    <mergeCell ref="AT2:AW2"/>
    <mergeCell ref="AT7:AW7"/>
    <mergeCell ref="AT8:AW12"/>
    <mergeCell ref="AT13:AW13"/>
    <mergeCell ref="AO74:AR74"/>
    <mergeCell ref="AO2:AR2"/>
    <mergeCell ref="AT14:AW14"/>
    <mergeCell ref="AA28:AD28"/>
    <mergeCell ref="AK2:AM2"/>
    <mergeCell ref="AK22:AM22"/>
    <mergeCell ref="AA22:AD22"/>
    <mergeCell ref="G44:J48"/>
    <mergeCell ref="G43:J43"/>
    <mergeCell ref="BD2:BG2"/>
    <mergeCell ref="BD8:BG8"/>
    <mergeCell ref="BD9:BG13"/>
    <mergeCell ref="AK28:AM28"/>
    <mergeCell ref="V18:Y22"/>
    <mergeCell ref="V23:Y23"/>
    <mergeCell ref="AK23:AM27"/>
    <mergeCell ref="AA2:AD2"/>
    <mergeCell ref="Q16:T16"/>
    <mergeCell ref="Q17:T21"/>
    <mergeCell ref="AF29:AI29"/>
    <mergeCell ref="AF30:AI34"/>
    <mergeCell ref="AY2:BB2"/>
    <mergeCell ref="AY6:BB6"/>
  </mergeCells>
  <hyperlinks>
    <hyperlink ref="AA28:AD28" r:id="rId1" display="More information: https://lordlibidan.com/whats-the-true-story-behind-the-us-only-dmc-threads/" xr:uid="{F8484271-E31E-764A-8189-DABC81B90976}"/>
    <hyperlink ref="AK28:AM28" r:id="rId2" display="More information: https://lordlibidan.com/what-happened-to-dmc-light-effect-threads/" xr:uid="{37166538-4DFF-5946-8CFB-FE5B3DD524DA}"/>
    <hyperlink ref="AY12:BB12" r:id="rId3" display="More information: https://lordlibidan.com/the-limited-edition-dmc-threads/" xr:uid="{9F90F046-F71F-9A42-8C5B-CEBCDF85CC3E}"/>
    <hyperlink ref="AT13:AW13" r:id="rId4" display="More information: https://lordlibidan.com/the-rarest-dmc-thread-dmc-724/" xr:uid="{07E060D3-A703-A348-9AC1-A5794F6216C1}"/>
    <hyperlink ref="V23:Y23" r:id="rId5" display="More information: https://lordlibidan.com/the-rarest-dmc-thread-dmc-724/" xr:uid="{F02D9FAE-450E-364F-9B7F-9A662D3887E9}"/>
    <hyperlink ref="AT14:AW14" r:id="rId6" display="More information: https://lordlibidan.com/dmc-974-the-rarest-thread/" xr:uid="{E0FBE727-0356-DE4F-86BC-6F43EF177B38}"/>
  </hyperlinks>
  <pageMargins left="0.7" right="0.7" top="0.75" bottom="0.75" header="0.3" footer="0.3"/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A0F1-DDA2-F240-A11B-FCB535D7CE0C}">
  <sheetPr>
    <tabColor theme="9"/>
  </sheetPr>
  <dimension ref="A1"/>
  <sheetViews>
    <sheetView workbookViewId="0"/>
  </sheetViews>
  <sheetFormatPr baseColWidth="10" defaultColWidth="11" defaultRowHeight="16"/>
  <cols>
    <col min="1" max="16384" width="11" style="1094"/>
  </cols>
  <sheetData/>
  <sheetProtection algorithmName="SHA-512" hashValue="9aAoZdaaLMOeX7Yzj33k62AWZBN1gYkgHp2Ah1hA9gWZiUq7X+WYrMS68+7i72Z4vyWfbJlosv+6Hi0rEd9O4Q==" saltValue="iDJW/tiNxI8UXBQBSswTXg==" spinCount="100000" sheet="1" objects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7404-0147-433A-99AE-09F9F87B6F19}">
  <sheetPr>
    <tabColor theme="9"/>
  </sheetPr>
  <dimension ref="B2:V25"/>
  <sheetViews>
    <sheetView workbookViewId="0">
      <selection activeCell="N29" sqref="N29"/>
    </sheetView>
  </sheetViews>
  <sheetFormatPr baseColWidth="10" defaultColWidth="8.83203125" defaultRowHeight="16"/>
  <cols>
    <col min="1" max="16384" width="8.83203125" style="1094"/>
  </cols>
  <sheetData>
    <row r="2" spans="2:22" ht="17" thickBot="1"/>
    <row r="3" spans="2:22">
      <c r="B3" s="2144" t="s">
        <v>1083</v>
      </c>
      <c r="C3" s="2145"/>
      <c r="D3" s="2145"/>
      <c r="E3" s="2145"/>
      <c r="F3" s="2145"/>
      <c r="G3" s="2145"/>
      <c r="H3" s="2145"/>
      <c r="I3" s="2145"/>
      <c r="J3" s="2145"/>
      <c r="K3" s="2146"/>
      <c r="L3" s="1109"/>
      <c r="M3" s="2144" t="s">
        <v>1084</v>
      </c>
      <c r="N3" s="2145"/>
      <c r="O3" s="2145"/>
      <c r="P3" s="2145"/>
      <c r="Q3" s="2145"/>
      <c r="R3" s="2145"/>
      <c r="S3" s="2145"/>
      <c r="T3" s="2145"/>
      <c r="U3" s="2145"/>
      <c r="V3" s="2146"/>
    </row>
    <row r="4" spans="2:22" ht="17" thickBot="1">
      <c r="B4" s="2147"/>
      <c r="C4" s="2148"/>
      <c r="D4" s="2148"/>
      <c r="E4" s="2148"/>
      <c r="F4" s="2148"/>
      <c r="G4" s="2148"/>
      <c r="H4" s="2148"/>
      <c r="I4" s="2148"/>
      <c r="J4" s="2148"/>
      <c r="K4" s="2149"/>
      <c r="L4" s="1109"/>
      <c r="M4" s="2147"/>
      <c r="N4" s="2148"/>
      <c r="O4" s="2148"/>
      <c r="P4" s="2148"/>
      <c r="Q4" s="2148"/>
      <c r="R4" s="2148"/>
      <c r="S4" s="2148"/>
      <c r="T4" s="2148"/>
      <c r="U4" s="2148"/>
      <c r="V4" s="2149"/>
    </row>
    <row r="5" spans="2:22">
      <c r="B5" s="2150"/>
      <c r="C5" s="2150"/>
      <c r="D5" s="2150"/>
      <c r="E5" s="2150"/>
      <c r="F5" s="2150"/>
      <c r="G5" s="2150"/>
      <c r="H5" s="2150"/>
      <c r="I5" s="2150"/>
      <c r="J5" s="2150"/>
      <c r="K5" s="2150"/>
      <c r="M5" s="2150"/>
      <c r="N5" s="2150"/>
      <c r="O5" s="2150"/>
      <c r="P5" s="2150"/>
      <c r="Q5" s="2150"/>
      <c r="R5" s="2150"/>
      <c r="S5" s="2150"/>
      <c r="T5" s="2150"/>
      <c r="U5" s="2150"/>
      <c r="V5" s="2150"/>
    </row>
    <row r="6" spans="2:22">
      <c r="B6" s="2150"/>
      <c r="C6" s="2150"/>
      <c r="D6" s="2150"/>
      <c r="E6" s="2150"/>
      <c r="F6" s="2150"/>
      <c r="G6" s="2150"/>
      <c r="H6" s="2150"/>
      <c r="I6" s="2150"/>
      <c r="J6" s="2150"/>
      <c r="K6" s="2150"/>
      <c r="M6" s="2150"/>
      <c r="N6" s="2150"/>
      <c r="O6" s="2150"/>
      <c r="P6" s="2150"/>
      <c r="Q6" s="2150"/>
      <c r="R6" s="2150"/>
      <c r="S6" s="2150"/>
      <c r="T6" s="2150"/>
      <c r="U6" s="2150"/>
      <c r="V6" s="2150"/>
    </row>
    <row r="7" spans="2:22">
      <c r="B7" s="2150"/>
      <c r="C7" s="2150"/>
      <c r="D7" s="2150"/>
      <c r="E7" s="2150"/>
      <c r="F7" s="2150"/>
      <c r="G7" s="2150"/>
      <c r="H7" s="2150"/>
      <c r="I7" s="2150"/>
      <c r="J7" s="2150"/>
      <c r="K7" s="2150"/>
      <c r="M7" s="2150"/>
      <c r="N7" s="2150"/>
      <c r="O7" s="2150"/>
      <c r="P7" s="2150"/>
      <c r="Q7" s="2150"/>
      <c r="R7" s="2150"/>
      <c r="S7" s="2150"/>
      <c r="T7" s="2150"/>
      <c r="U7" s="2150"/>
      <c r="V7" s="2150"/>
    </row>
    <row r="8" spans="2:22">
      <c r="B8" s="2150"/>
      <c r="C8" s="2150"/>
      <c r="D8" s="2150"/>
      <c r="E8" s="2150"/>
      <c r="F8" s="2150"/>
      <c r="G8" s="2150"/>
      <c r="H8" s="2150"/>
      <c r="I8" s="2150"/>
      <c r="J8" s="2150"/>
      <c r="K8" s="2150"/>
      <c r="M8" s="2150"/>
      <c r="N8" s="2150"/>
      <c r="O8" s="2150"/>
      <c r="P8" s="2150"/>
      <c r="Q8" s="2150"/>
      <c r="R8" s="2150"/>
      <c r="S8" s="2150"/>
      <c r="T8" s="2150"/>
      <c r="U8" s="2150"/>
      <c r="V8" s="2150"/>
    </row>
    <row r="9" spans="2:22">
      <c r="B9" s="2150"/>
      <c r="C9" s="2150"/>
      <c r="D9" s="2150"/>
      <c r="E9" s="2150"/>
      <c r="F9" s="2150"/>
      <c r="G9" s="2150"/>
      <c r="H9" s="2150"/>
      <c r="I9" s="2150"/>
      <c r="J9" s="2150"/>
      <c r="K9" s="2150"/>
      <c r="M9" s="2150"/>
      <c r="N9" s="2150"/>
      <c r="O9" s="2150"/>
      <c r="P9" s="2150"/>
      <c r="Q9" s="2150"/>
      <c r="R9" s="2150"/>
      <c r="S9" s="2150"/>
      <c r="T9" s="2150"/>
      <c r="U9" s="2150"/>
      <c r="V9" s="2150"/>
    </row>
    <row r="10" spans="2:22">
      <c r="B10" s="2150"/>
      <c r="C10" s="2150"/>
      <c r="D10" s="2150"/>
      <c r="E10" s="2150"/>
      <c r="F10" s="2150"/>
      <c r="G10" s="2150"/>
      <c r="H10" s="2150"/>
      <c r="I10" s="2150"/>
      <c r="J10" s="2150"/>
      <c r="K10" s="2150"/>
      <c r="M10" s="2150"/>
      <c r="N10" s="2150"/>
      <c r="O10" s="2150"/>
      <c r="P10" s="2150"/>
      <c r="Q10" s="2150"/>
      <c r="R10" s="2150"/>
      <c r="S10" s="2150"/>
      <c r="T10" s="2150"/>
      <c r="U10" s="2150"/>
      <c r="V10" s="2150"/>
    </row>
    <row r="11" spans="2:22">
      <c r="B11" s="2150"/>
      <c r="C11" s="2150"/>
      <c r="D11" s="2150"/>
      <c r="E11" s="2150"/>
      <c r="F11" s="2150"/>
      <c r="G11" s="2150"/>
      <c r="H11" s="2150"/>
      <c r="I11" s="2150"/>
      <c r="J11" s="2150"/>
      <c r="K11" s="2150"/>
      <c r="M11" s="2150"/>
      <c r="N11" s="2150"/>
      <c r="O11" s="2150"/>
      <c r="P11" s="2150"/>
      <c r="Q11" s="2150"/>
      <c r="R11" s="2150"/>
      <c r="S11" s="2150"/>
      <c r="T11" s="2150"/>
      <c r="U11" s="2150"/>
      <c r="V11" s="2150"/>
    </row>
    <row r="12" spans="2:22">
      <c r="B12" s="2150"/>
      <c r="C12" s="2150"/>
      <c r="D12" s="2150"/>
      <c r="E12" s="2150"/>
      <c r="F12" s="2150"/>
      <c r="G12" s="2150"/>
      <c r="H12" s="2150"/>
      <c r="I12" s="2150"/>
      <c r="J12" s="2150"/>
      <c r="K12" s="2150"/>
      <c r="M12" s="2150"/>
      <c r="N12" s="2150"/>
      <c r="O12" s="2150"/>
      <c r="P12" s="2150"/>
      <c r="Q12" s="2150"/>
      <c r="R12" s="2150"/>
      <c r="S12" s="2150"/>
      <c r="T12" s="2150"/>
      <c r="U12" s="2150"/>
      <c r="V12" s="2150"/>
    </row>
    <row r="13" spans="2:22">
      <c r="B13" s="2150"/>
      <c r="C13" s="2150"/>
      <c r="D13" s="2150"/>
      <c r="E13" s="2150"/>
      <c r="F13" s="2150"/>
      <c r="G13" s="2150"/>
      <c r="H13" s="2150"/>
      <c r="I13" s="2150"/>
      <c r="J13" s="2150"/>
      <c r="K13" s="2150"/>
      <c r="M13" s="2150"/>
      <c r="N13" s="2150"/>
      <c r="O13" s="2150"/>
      <c r="P13" s="2150"/>
      <c r="Q13" s="2150"/>
      <c r="R13" s="2150"/>
      <c r="S13" s="2150"/>
      <c r="T13" s="2150"/>
      <c r="U13" s="2150"/>
      <c r="V13" s="2150"/>
    </row>
    <row r="14" spans="2:22">
      <c r="B14" s="2150"/>
      <c r="C14" s="2150"/>
      <c r="D14" s="2150"/>
      <c r="E14" s="2150"/>
      <c r="F14" s="2150"/>
      <c r="G14" s="2150"/>
      <c r="H14" s="2150"/>
      <c r="I14" s="2150"/>
      <c r="J14" s="2150"/>
      <c r="K14" s="2150"/>
      <c r="M14" s="2150"/>
      <c r="N14" s="2150"/>
      <c r="O14" s="2150"/>
      <c r="P14" s="2150"/>
      <c r="Q14" s="2150"/>
      <c r="R14" s="2150"/>
      <c r="S14" s="2150"/>
      <c r="T14" s="2150"/>
      <c r="U14" s="2150"/>
      <c r="V14" s="2150"/>
    </row>
    <row r="15" spans="2:22">
      <c r="B15" s="2150"/>
      <c r="C15" s="2150"/>
      <c r="D15" s="2150"/>
      <c r="E15" s="2150"/>
      <c r="F15" s="2150"/>
      <c r="G15" s="2150"/>
      <c r="H15" s="2150"/>
      <c r="I15" s="2150"/>
      <c r="J15" s="2150"/>
      <c r="K15" s="2150"/>
      <c r="M15" s="2150"/>
      <c r="N15" s="2150"/>
      <c r="O15" s="2150"/>
      <c r="P15" s="2150"/>
      <c r="Q15" s="2150"/>
      <c r="R15" s="2150"/>
      <c r="S15" s="2150"/>
      <c r="T15" s="2150"/>
      <c r="U15" s="2150"/>
      <c r="V15" s="2150"/>
    </row>
    <row r="16" spans="2:22">
      <c r="B16" s="2150"/>
      <c r="C16" s="2150"/>
      <c r="D16" s="2150"/>
      <c r="E16" s="2150"/>
      <c r="F16" s="2150"/>
      <c r="G16" s="2150"/>
      <c r="H16" s="2150"/>
      <c r="I16" s="2150"/>
      <c r="J16" s="2150"/>
      <c r="K16" s="2150"/>
      <c r="M16" s="2150"/>
      <c r="N16" s="2150"/>
      <c r="O16" s="2150"/>
      <c r="P16" s="2150"/>
      <c r="Q16" s="2150"/>
      <c r="R16" s="2150"/>
      <c r="S16" s="2150"/>
      <c r="T16" s="2150"/>
      <c r="U16" s="2150"/>
      <c r="V16" s="2150"/>
    </row>
    <row r="17" spans="2:22">
      <c r="B17" s="2150"/>
      <c r="C17" s="2150"/>
      <c r="D17" s="2150"/>
      <c r="E17" s="2150"/>
      <c r="F17" s="2150"/>
      <c r="G17" s="2150"/>
      <c r="H17" s="2150"/>
      <c r="I17" s="2150"/>
      <c r="J17" s="2150"/>
      <c r="K17" s="2150"/>
      <c r="M17" s="2150"/>
      <c r="N17" s="2150"/>
      <c r="O17" s="2150"/>
      <c r="P17" s="2150"/>
      <c r="Q17" s="2150"/>
      <c r="R17" s="2150"/>
      <c r="S17" s="2150"/>
      <c r="T17" s="2150"/>
      <c r="U17" s="2150"/>
      <c r="V17" s="2150"/>
    </row>
    <row r="18" spans="2:22">
      <c r="B18" s="2150"/>
      <c r="C18" s="2150"/>
      <c r="D18" s="2150"/>
      <c r="E18" s="2150"/>
      <c r="F18" s="2150"/>
      <c r="G18" s="2150"/>
      <c r="H18" s="2150"/>
      <c r="I18" s="2150"/>
      <c r="J18" s="2150"/>
      <c r="K18" s="2150"/>
      <c r="M18" s="2150"/>
      <c r="N18" s="2150"/>
      <c r="O18" s="2150"/>
      <c r="P18" s="2150"/>
      <c r="Q18" s="2150"/>
      <c r="R18" s="2150"/>
      <c r="S18" s="2150"/>
      <c r="T18" s="2150"/>
      <c r="U18" s="2150"/>
      <c r="V18" s="2150"/>
    </row>
    <row r="19" spans="2:22">
      <c r="B19" s="2150"/>
      <c r="C19" s="2150"/>
      <c r="D19" s="2150"/>
      <c r="E19" s="2150"/>
      <c r="F19" s="2150"/>
      <c r="G19" s="2150"/>
      <c r="H19" s="2150"/>
      <c r="I19" s="2150"/>
      <c r="J19" s="2150"/>
      <c r="K19" s="2150"/>
      <c r="M19" s="2150"/>
      <c r="N19" s="2150"/>
      <c r="O19" s="2150"/>
      <c r="P19" s="2150"/>
      <c r="Q19" s="2150"/>
      <c r="R19" s="2150"/>
      <c r="S19" s="2150"/>
      <c r="T19" s="2150"/>
      <c r="U19" s="2150"/>
      <c r="V19" s="2150"/>
    </row>
    <row r="20" spans="2:22">
      <c r="B20" s="2150"/>
      <c r="C20" s="2150"/>
      <c r="D20" s="2150"/>
      <c r="E20" s="2150"/>
      <c r="F20" s="2150"/>
      <c r="G20" s="2150"/>
      <c r="H20" s="2150"/>
      <c r="I20" s="2150"/>
      <c r="J20" s="2150"/>
      <c r="K20" s="2150"/>
      <c r="M20" s="2150"/>
      <c r="N20" s="2150"/>
      <c r="O20" s="2150"/>
      <c r="P20" s="2150"/>
      <c r="Q20" s="2150"/>
      <c r="R20" s="2150"/>
      <c r="S20" s="2150"/>
      <c r="T20" s="2150"/>
      <c r="U20" s="2150"/>
      <c r="V20" s="2150"/>
    </row>
    <row r="21" spans="2:22">
      <c r="B21" s="2150"/>
      <c r="C21" s="2150"/>
      <c r="D21" s="2150"/>
      <c r="E21" s="2150"/>
      <c r="F21" s="2150"/>
      <c r="G21" s="2150"/>
      <c r="H21" s="2150"/>
      <c r="I21" s="2150"/>
      <c r="J21" s="2150"/>
      <c r="K21" s="2150"/>
      <c r="M21" s="2150"/>
      <c r="N21" s="2150"/>
      <c r="O21" s="2150"/>
      <c r="P21" s="2150"/>
      <c r="Q21" s="2150"/>
      <c r="R21" s="2150"/>
      <c r="S21" s="2150"/>
      <c r="T21" s="2150"/>
      <c r="U21" s="2150"/>
      <c r="V21" s="2150"/>
    </row>
    <row r="22" spans="2:22">
      <c r="B22" s="2150"/>
      <c r="C22" s="2150"/>
      <c r="D22" s="2150"/>
      <c r="E22" s="2150"/>
      <c r="F22" s="2150"/>
      <c r="G22" s="2150"/>
      <c r="H22" s="2150"/>
      <c r="I22" s="2150"/>
      <c r="J22" s="2150"/>
      <c r="K22" s="2150"/>
      <c r="M22" s="2150"/>
      <c r="N22" s="2150"/>
      <c r="O22" s="2150"/>
      <c r="P22" s="2150"/>
      <c r="Q22" s="2150"/>
      <c r="R22" s="2150"/>
      <c r="S22" s="2150"/>
      <c r="T22" s="2150"/>
      <c r="U22" s="2150"/>
      <c r="V22" s="2150"/>
    </row>
    <row r="23" spans="2:22">
      <c r="B23" s="2150"/>
      <c r="C23" s="2150"/>
      <c r="D23" s="2150"/>
      <c r="E23" s="2150"/>
      <c r="F23" s="2150"/>
      <c r="G23" s="2150"/>
      <c r="H23" s="2150"/>
      <c r="I23" s="2150"/>
      <c r="J23" s="2150"/>
      <c r="K23" s="2150"/>
      <c r="M23" s="2150"/>
      <c r="N23" s="2150"/>
      <c r="O23" s="2150"/>
      <c r="P23" s="2150"/>
      <c r="Q23" s="2150"/>
      <c r="R23" s="2150"/>
      <c r="S23" s="2150"/>
      <c r="T23" s="2150"/>
      <c r="U23" s="2150"/>
      <c r="V23" s="2150"/>
    </row>
    <row r="24" spans="2:22">
      <c r="M24" s="2150"/>
      <c r="N24" s="2150"/>
      <c r="O24" s="2150"/>
      <c r="P24" s="2150"/>
      <c r="Q24" s="2150"/>
      <c r="R24" s="2150"/>
      <c r="S24" s="2150"/>
      <c r="T24" s="2150"/>
      <c r="U24" s="2150"/>
      <c r="V24" s="2150"/>
    </row>
    <row r="25" spans="2:22">
      <c r="M25" s="2150"/>
      <c r="N25" s="2150"/>
      <c r="O25" s="2150"/>
      <c r="P25" s="2150"/>
      <c r="Q25" s="2150"/>
      <c r="R25" s="2150"/>
      <c r="S25" s="2150"/>
      <c r="T25" s="2150"/>
      <c r="U25" s="2150"/>
      <c r="V25" s="2150"/>
    </row>
  </sheetData>
  <sheetProtection algorithmName="SHA-512" hashValue="1H1mAqi2A8U5Ccw4NvSiUScgmTyAsYbItbd71wLlZGYWEnwJ+yDWpKAvCvu8WLTYZnYmJ8TKw9i5aJpnTttKng==" saltValue="yqSi1pbYEm/JjAfAkW5jJg==" spinCount="100000" sheet="1" objects="1" scenarios="1"/>
  <mergeCells count="4">
    <mergeCell ref="B3:K4"/>
    <mergeCell ref="M3:V4"/>
    <mergeCell ref="M5:V25"/>
    <mergeCell ref="B5:K2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C61A-F6B1-5D49-B5F3-884834ECBA49}">
  <sheetPr>
    <tabColor theme="9"/>
  </sheetPr>
  <dimension ref="B2:AN112"/>
  <sheetViews>
    <sheetView topLeftCell="H1" workbookViewId="0">
      <selection activeCell="AO6" sqref="AO6"/>
    </sheetView>
  </sheetViews>
  <sheetFormatPr baseColWidth="10" defaultColWidth="8.83203125" defaultRowHeight="16"/>
  <cols>
    <col min="1" max="1" width="8.83203125" style="1094"/>
    <col min="2" max="2" width="15.6640625" style="1094" customWidth="1"/>
    <col min="3" max="3" width="3.33203125" style="1094" customWidth="1"/>
    <col min="4" max="9" width="8.83203125" style="1094"/>
    <col min="10" max="10" width="8.33203125" style="1094" customWidth="1"/>
    <col min="11" max="11" width="8.83203125" style="1094"/>
    <col min="12" max="12" width="13.83203125" style="1094" customWidth="1"/>
    <col min="13" max="13" width="4" style="1094" customWidth="1"/>
    <col min="14" max="21" width="8.83203125" style="1094"/>
    <col min="22" max="22" width="16.33203125" style="1094" customWidth="1"/>
    <col min="23" max="23" width="4.33203125" style="1094" customWidth="1"/>
    <col min="24" max="29" width="8.83203125" style="1094"/>
    <col min="30" max="30" width="8.33203125" style="1094" customWidth="1"/>
    <col min="31" max="31" width="8.83203125" style="1094"/>
    <col min="32" max="32" width="17.5" style="1094" customWidth="1"/>
    <col min="33" max="33" width="4.1640625" style="1094" customWidth="1"/>
    <col min="34" max="16384" width="8.83203125" style="1094"/>
  </cols>
  <sheetData>
    <row r="2" spans="2:40" ht="17" thickBot="1"/>
    <row r="3" spans="2:40">
      <c r="B3" s="2144" t="s">
        <v>1815</v>
      </c>
      <c r="C3" s="2145"/>
      <c r="D3" s="2145"/>
      <c r="E3" s="2145"/>
      <c r="F3" s="2145"/>
      <c r="G3" s="2145"/>
      <c r="H3" s="2145"/>
      <c r="I3" s="2145"/>
      <c r="J3" s="2146"/>
      <c r="K3" s="1109"/>
      <c r="L3" s="2144" t="s">
        <v>1840</v>
      </c>
      <c r="M3" s="2145"/>
      <c r="N3" s="2145"/>
      <c r="O3" s="2145"/>
      <c r="P3" s="2145"/>
      <c r="Q3" s="2145"/>
      <c r="R3" s="2145"/>
      <c r="S3" s="2145"/>
      <c r="T3" s="2146"/>
      <c r="V3" s="2144" t="s">
        <v>1841</v>
      </c>
      <c r="W3" s="2145"/>
      <c r="X3" s="2145"/>
      <c r="Y3" s="2145"/>
      <c r="Z3" s="2145"/>
      <c r="AA3" s="2145"/>
      <c r="AB3" s="2145"/>
      <c r="AC3" s="2145"/>
      <c r="AD3" s="2146"/>
      <c r="AF3" s="2144" t="s">
        <v>1842</v>
      </c>
      <c r="AG3" s="2145"/>
      <c r="AH3" s="2145"/>
      <c r="AI3" s="2145"/>
      <c r="AJ3" s="2145"/>
      <c r="AK3" s="2145"/>
      <c r="AL3" s="2145"/>
      <c r="AM3" s="2145"/>
      <c r="AN3" s="2146"/>
    </row>
    <row r="4" spans="2:40" ht="17" thickBot="1">
      <c r="B4" s="2147"/>
      <c r="C4" s="2148"/>
      <c r="D4" s="2148"/>
      <c r="E4" s="2148"/>
      <c r="F4" s="2148"/>
      <c r="G4" s="2148"/>
      <c r="H4" s="2148"/>
      <c r="I4" s="2148"/>
      <c r="J4" s="2149"/>
      <c r="K4" s="1109"/>
      <c r="L4" s="2147"/>
      <c r="M4" s="2148"/>
      <c r="N4" s="2148"/>
      <c r="O4" s="2148"/>
      <c r="P4" s="2148"/>
      <c r="Q4" s="2148"/>
      <c r="R4" s="2148"/>
      <c r="S4" s="2148"/>
      <c r="T4" s="2149"/>
      <c r="V4" s="2147"/>
      <c r="W4" s="2148"/>
      <c r="X4" s="2148"/>
      <c r="Y4" s="2148"/>
      <c r="Z4" s="2148"/>
      <c r="AA4" s="2148"/>
      <c r="AB4" s="2148"/>
      <c r="AC4" s="2148"/>
      <c r="AD4" s="2149"/>
      <c r="AF4" s="2147"/>
      <c r="AG4" s="2148"/>
      <c r="AH4" s="2148"/>
      <c r="AI4" s="2148"/>
      <c r="AJ4" s="2148"/>
      <c r="AK4" s="2148"/>
      <c r="AL4" s="2148"/>
      <c r="AM4" s="2148"/>
      <c r="AN4" s="2149"/>
    </row>
    <row r="5" spans="2:40">
      <c r="B5" s="1085"/>
      <c r="C5" s="1085"/>
      <c r="D5" s="1085"/>
      <c r="E5" s="1085"/>
      <c r="F5" s="1085"/>
      <c r="G5" s="1085"/>
      <c r="H5" s="1085"/>
      <c r="I5" s="1085"/>
      <c r="J5" s="1085"/>
    </row>
    <row r="6" spans="2:40">
      <c r="B6" s="1073">
        <v>4500</v>
      </c>
      <c r="C6" s="1073"/>
      <c r="D6" s="1073"/>
      <c r="E6" s="1073"/>
      <c r="F6" s="1073"/>
      <c r="G6" s="1073"/>
      <c r="H6" s="1073"/>
      <c r="I6" s="1073"/>
      <c r="J6" s="1073"/>
      <c r="L6" s="1171">
        <v>48</v>
      </c>
      <c r="M6" s="1171"/>
      <c r="N6" s="1171"/>
      <c r="O6" s="1171"/>
      <c r="P6" s="1171"/>
      <c r="Q6" s="1171"/>
      <c r="R6" s="1171"/>
      <c r="S6" s="1171"/>
      <c r="T6" s="1171"/>
      <c r="V6" s="1073">
        <v>4010</v>
      </c>
      <c r="W6" s="1073"/>
      <c r="X6" s="1073"/>
      <c r="Y6" s="1073"/>
      <c r="Z6" s="1073"/>
      <c r="AA6" s="1073"/>
      <c r="AB6" s="1073"/>
      <c r="AC6" s="1073"/>
      <c r="AD6" s="1073"/>
      <c r="AF6" s="1073">
        <v>57</v>
      </c>
      <c r="AG6" s="1073"/>
      <c r="AH6" s="1073"/>
      <c r="AI6" s="1073"/>
      <c r="AJ6" s="1073"/>
      <c r="AK6" s="1073"/>
      <c r="AL6" s="1073"/>
      <c r="AM6" s="2000"/>
      <c r="AN6" s="2000"/>
    </row>
    <row r="7" spans="2:40">
      <c r="B7" s="1073" t="s">
        <v>1816</v>
      </c>
      <c r="C7" s="1073"/>
      <c r="D7" s="1892">
        <v>3052</v>
      </c>
      <c r="E7" s="1073"/>
      <c r="F7" s="1868">
        <v>3013</v>
      </c>
      <c r="G7" s="1073"/>
      <c r="H7" s="1870">
        <v>818</v>
      </c>
      <c r="I7" s="1073"/>
      <c r="J7" s="1893">
        <v>3354</v>
      </c>
      <c r="L7" s="1171" t="s">
        <v>27</v>
      </c>
      <c r="M7" s="1171"/>
      <c r="N7" s="1838">
        <v>600</v>
      </c>
      <c r="O7" s="1171"/>
      <c r="P7" s="1839">
        <v>602</v>
      </c>
      <c r="Q7" s="1171"/>
      <c r="R7" s="1840">
        <v>605</v>
      </c>
      <c r="S7" s="1171"/>
      <c r="T7" s="1171"/>
      <c r="V7" s="1073" t="s">
        <v>1843</v>
      </c>
      <c r="W7" s="1073"/>
      <c r="X7" s="478">
        <v>162</v>
      </c>
      <c r="Y7" s="1073"/>
      <c r="Z7" s="265">
        <v>762</v>
      </c>
      <c r="AA7" s="1073"/>
      <c r="AB7" s="53">
        <v>415</v>
      </c>
      <c r="AC7" s="1073"/>
      <c r="AD7" s="475">
        <v>159</v>
      </c>
      <c r="AF7" s="1073" t="s">
        <v>51</v>
      </c>
      <c r="AG7" s="1073"/>
      <c r="AH7" s="2001">
        <v>666</v>
      </c>
      <c r="AI7" s="1073"/>
      <c r="AJ7" s="2002">
        <v>3801</v>
      </c>
      <c r="AK7" s="1073"/>
      <c r="AL7" s="1896">
        <v>3706</v>
      </c>
      <c r="AM7" s="2000"/>
      <c r="AN7" s="2003"/>
    </row>
    <row r="8" spans="2:40">
      <c r="B8" s="1073"/>
      <c r="C8" s="1073"/>
      <c r="D8" s="1073"/>
      <c r="E8" s="1073"/>
      <c r="F8" s="1073"/>
      <c r="G8" s="1073"/>
      <c r="H8" s="1073"/>
      <c r="I8" s="1073"/>
      <c r="J8" s="1073"/>
      <c r="L8" s="1171"/>
      <c r="M8" s="1171"/>
      <c r="N8" s="1171"/>
      <c r="O8" s="1171"/>
      <c r="P8" s="1171"/>
      <c r="Q8" s="1171"/>
      <c r="R8" s="1171"/>
      <c r="S8" s="1171"/>
      <c r="T8" s="1171"/>
      <c r="V8" s="1073"/>
      <c r="W8" s="1073"/>
      <c r="X8" s="1073"/>
      <c r="Y8" s="1073"/>
      <c r="Z8" s="1073"/>
      <c r="AA8" s="1073"/>
      <c r="AB8" s="1073"/>
      <c r="AC8" s="1073"/>
      <c r="AD8" s="1073"/>
      <c r="AF8" s="1073"/>
      <c r="AG8" s="1073"/>
      <c r="AH8" s="1073"/>
      <c r="AI8" s="1073"/>
      <c r="AJ8" s="1073"/>
      <c r="AK8" s="1073"/>
      <c r="AL8" s="1073"/>
      <c r="AM8" s="1073"/>
      <c r="AN8" s="1073"/>
    </row>
    <row r="9" spans="2:40">
      <c r="B9" s="1073">
        <v>4501</v>
      </c>
      <c r="C9" s="1073"/>
      <c r="D9" s="1073"/>
      <c r="E9" s="1073"/>
      <c r="F9" s="1073"/>
      <c r="G9" s="1073"/>
      <c r="H9" s="1073"/>
      <c r="I9" s="1073"/>
      <c r="J9" s="1073"/>
      <c r="L9" s="1171">
        <v>51</v>
      </c>
      <c r="M9" s="1171"/>
      <c r="N9" s="1841"/>
      <c r="O9" s="1841"/>
      <c r="P9" s="1841"/>
      <c r="Q9" s="1841"/>
      <c r="R9" s="1841"/>
      <c r="S9" s="1171"/>
      <c r="T9" s="1171"/>
      <c r="V9" s="1073">
        <v>4015</v>
      </c>
      <c r="W9" s="1073"/>
      <c r="X9" s="1073"/>
      <c r="Y9" s="1073"/>
      <c r="Z9" s="1073"/>
      <c r="AA9" s="1073"/>
      <c r="AB9" s="1073"/>
      <c r="AC9" s="1073"/>
      <c r="AD9" s="1073"/>
      <c r="AF9" s="1073">
        <v>103</v>
      </c>
      <c r="AG9" s="1073"/>
      <c r="AH9" s="1073"/>
      <c r="AI9" s="1073"/>
      <c r="AJ9" s="1073"/>
      <c r="AK9" s="1073"/>
      <c r="AL9" s="1073"/>
      <c r="AM9" s="1073"/>
      <c r="AN9" s="1073"/>
    </row>
    <row r="10" spans="2:40" ht="17">
      <c r="B10" s="1073" t="s">
        <v>1817</v>
      </c>
      <c r="C10" s="1073"/>
      <c r="D10" s="1894">
        <v>598</v>
      </c>
      <c r="E10" s="1073"/>
      <c r="F10" s="1862">
        <v>772</v>
      </c>
      <c r="G10" s="1073"/>
      <c r="H10" s="1895" t="s">
        <v>44</v>
      </c>
      <c r="I10" s="1073"/>
      <c r="J10" s="1896">
        <v>3706</v>
      </c>
      <c r="L10" s="1171" t="s">
        <v>31</v>
      </c>
      <c r="M10" s="1171"/>
      <c r="N10" s="1842">
        <v>970</v>
      </c>
      <c r="O10" s="1171"/>
      <c r="P10" s="1843">
        <v>3825</v>
      </c>
      <c r="Q10" s="1171"/>
      <c r="R10" s="1844">
        <v>3854</v>
      </c>
      <c r="S10" s="1171"/>
      <c r="T10" s="1171"/>
      <c r="V10" s="1073" t="s">
        <v>1844</v>
      </c>
      <c r="W10" s="1073"/>
      <c r="X10" s="1849">
        <v>168</v>
      </c>
      <c r="Y10" s="1073"/>
      <c r="Z10" s="1961">
        <v>415</v>
      </c>
      <c r="AA10" s="1073"/>
      <c r="AB10" s="1962">
        <v>762</v>
      </c>
      <c r="AC10" s="1073"/>
      <c r="AD10" s="1963">
        <v>3072</v>
      </c>
      <c r="AF10" s="1073" t="s">
        <v>24</v>
      </c>
      <c r="AG10" s="1073"/>
      <c r="AH10" s="2004">
        <v>803</v>
      </c>
      <c r="AI10" s="1073"/>
      <c r="AJ10" s="2005">
        <v>312</v>
      </c>
      <c r="AK10" s="1073"/>
      <c r="AL10" s="1864">
        <v>798</v>
      </c>
      <c r="AM10" s="1073"/>
      <c r="AN10" s="1073"/>
    </row>
    <row r="11" spans="2:40">
      <c r="B11" s="1073"/>
      <c r="C11" s="1073"/>
      <c r="D11" s="1073"/>
      <c r="E11" s="1073"/>
      <c r="F11" s="1073"/>
      <c r="G11" s="1073"/>
      <c r="H11" s="1073"/>
      <c r="I11" s="1073"/>
      <c r="J11" s="1073"/>
      <c r="L11" s="1171"/>
      <c r="M11" s="1171"/>
      <c r="N11" s="1171"/>
      <c r="O11" s="1171"/>
      <c r="P11" s="1171"/>
      <c r="Q11" s="1171"/>
      <c r="R11" s="1171"/>
      <c r="S11" s="1171"/>
      <c r="T11" s="1171"/>
      <c r="V11" s="1073"/>
      <c r="W11" s="1073"/>
      <c r="X11" s="1073"/>
      <c r="Y11" s="1073"/>
      <c r="Z11" s="1073"/>
      <c r="AA11" s="1073"/>
      <c r="AB11" s="1073"/>
      <c r="AC11" s="1073"/>
      <c r="AD11" s="1073"/>
      <c r="AF11" s="1073"/>
      <c r="AG11" s="1073"/>
      <c r="AH11" s="1073"/>
      <c r="AI11" s="1073"/>
      <c r="AJ11" s="1073"/>
      <c r="AK11" s="1073"/>
      <c r="AL11" s="1073"/>
      <c r="AM11" s="1073"/>
      <c r="AN11" s="1073"/>
    </row>
    <row r="12" spans="2:40">
      <c r="B12" s="1073">
        <v>4502</v>
      </c>
      <c r="C12" s="1073"/>
      <c r="D12" s="1073"/>
      <c r="E12" s="1073"/>
      <c r="F12" s="1073"/>
      <c r="G12" s="1073"/>
      <c r="H12" s="1073"/>
      <c r="I12" s="1073"/>
      <c r="J12" s="1073"/>
      <c r="L12" s="1171">
        <v>52</v>
      </c>
      <c r="M12" s="1171"/>
      <c r="N12" s="1841"/>
      <c r="O12" s="1841"/>
      <c r="P12" s="1841"/>
      <c r="Q12" s="1841"/>
      <c r="R12" s="1841"/>
      <c r="S12" s="1841"/>
      <c r="T12" s="1841"/>
      <c r="V12" s="1073">
        <v>4020</v>
      </c>
      <c r="W12" s="1073"/>
      <c r="X12" s="1073"/>
      <c r="Y12" s="1073"/>
      <c r="Z12" s="1073"/>
      <c r="AA12" s="1073"/>
      <c r="AB12" s="1073"/>
      <c r="AC12" s="1073"/>
      <c r="AD12" s="1073"/>
      <c r="AF12" s="1073">
        <v>4000</v>
      </c>
      <c r="AG12" s="1073"/>
      <c r="AH12" s="2151"/>
      <c r="AI12" s="2151"/>
      <c r="AJ12" s="2151"/>
      <c r="AK12" s="2151"/>
      <c r="AL12" s="2151"/>
      <c r="AM12" s="2151"/>
      <c r="AN12" s="2151"/>
    </row>
    <row r="13" spans="2:40">
      <c r="B13" s="1073" t="s">
        <v>1818</v>
      </c>
      <c r="C13" s="1073"/>
      <c r="D13" s="1897">
        <v>3348</v>
      </c>
      <c r="E13" s="1073"/>
      <c r="F13" s="1898">
        <v>3841</v>
      </c>
      <c r="G13" s="1073"/>
      <c r="H13" s="1839">
        <v>602</v>
      </c>
      <c r="I13" s="1073"/>
      <c r="J13" s="1899">
        <v>601</v>
      </c>
      <c r="L13" s="1171" t="s">
        <v>12</v>
      </c>
      <c r="M13" s="1171"/>
      <c r="N13" s="1845">
        <v>153</v>
      </c>
      <c r="O13" s="1171"/>
      <c r="P13" s="1846">
        <v>208</v>
      </c>
      <c r="Q13" s="1171"/>
      <c r="R13" s="1847">
        <v>550</v>
      </c>
      <c r="S13" s="1171"/>
      <c r="T13" s="1848">
        <v>3837</v>
      </c>
      <c r="V13" s="1073" t="s">
        <v>1845</v>
      </c>
      <c r="W13" s="1073"/>
      <c r="X13" s="1957">
        <v>3840</v>
      </c>
      <c r="Y13" s="1073"/>
      <c r="Z13" s="1964">
        <v>3766</v>
      </c>
      <c r="AA13" s="1073"/>
      <c r="AB13" s="1965">
        <v>747</v>
      </c>
      <c r="AC13" s="1073"/>
      <c r="AD13" s="1966">
        <v>3761</v>
      </c>
      <c r="AF13" s="1073" t="s">
        <v>1861</v>
      </c>
      <c r="AG13" s="1073"/>
      <c r="AH13" s="2006">
        <v>3021</v>
      </c>
      <c r="AI13" s="2000"/>
      <c r="AJ13" s="1956">
        <v>3031</v>
      </c>
      <c r="AK13" s="2000"/>
      <c r="AL13" s="2007">
        <v>3371</v>
      </c>
      <c r="AM13" s="2000"/>
      <c r="AN13" s="2008">
        <v>3799</v>
      </c>
    </row>
    <row r="14" spans="2:40">
      <c r="B14" s="1073"/>
      <c r="C14" s="1073"/>
      <c r="D14" s="1073"/>
      <c r="E14" s="1073"/>
      <c r="F14" s="1073"/>
      <c r="G14" s="1073"/>
      <c r="H14" s="1073"/>
      <c r="I14" s="1073"/>
      <c r="J14" s="1073"/>
      <c r="L14" s="1171"/>
      <c r="M14" s="1171"/>
      <c r="N14" s="1171"/>
      <c r="O14" s="1171"/>
      <c r="P14" s="1171"/>
      <c r="Q14" s="1171"/>
      <c r="R14" s="1171"/>
      <c r="S14" s="1171"/>
      <c r="T14" s="1171"/>
      <c r="V14" s="1073"/>
      <c r="W14" s="1073"/>
      <c r="X14" s="1073"/>
      <c r="Y14" s="1073"/>
      <c r="Z14" s="1073"/>
      <c r="AA14" s="1073"/>
      <c r="AB14" s="1073"/>
      <c r="AC14" s="1073"/>
      <c r="AD14" s="1073"/>
      <c r="AF14" s="1073"/>
      <c r="AG14" s="1073"/>
      <c r="AH14" s="1073"/>
      <c r="AI14" s="1073"/>
      <c r="AJ14" s="1073"/>
      <c r="AK14" s="1073"/>
      <c r="AL14" s="1073"/>
      <c r="AM14" s="1073"/>
      <c r="AN14" s="1073"/>
    </row>
    <row r="15" spans="2:40">
      <c r="B15" s="1073">
        <v>4503</v>
      </c>
      <c r="C15" s="1073"/>
      <c r="D15" s="1073"/>
      <c r="E15" s="1073"/>
      <c r="F15" s="1073"/>
      <c r="G15" s="1073"/>
      <c r="H15" s="1073"/>
      <c r="I15" s="1073"/>
      <c r="J15" s="1073"/>
      <c r="L15" s="1171">
        <v>53</v>
      </c>
      <c r="M15" s="1171"/>
      <c r="N15" s="1171"/>
      <c r="O15" s="1171"/>
      <c r="P15" s="1171"/>
      <c r="Q15" s="1171"/>
      <c r="R15" s="1171"/>
      <c r="S15" s="1171"/>
      <c r="T15" s="1171"/>
      <c r="V15" s="1073">
        <v>4025</v>
      </c>
      <c r="W15" s="1073"/>
      <c r="X15" s="1073"/>
      <c r="Y15" s="1073"/>
      <c r="Z15" s="1073"/>
      <c r="AA15" s="1073"/>
      <c r="AB15" s="1073"/>
      <c r="AC15" s="1073"/>
      <c r="AD15" s="1073"/>
      <c r="AF15" s="1073">
        <v>4017</v>
      </c>
      <c r="AG15" s="1073"/>
      <c r="AH15" s="1073"/>
      <c r="AI15" s="1073"/>
      <c r="AJ15" s="1073"/>
      <c r="AK15" s="1073"/>
      <c r="AL15" s="1073"/>
      <c r="AM15" s="1073"/>
      <c r="AN15" s="1073"/>
    </row>
    <row r="16" spans="2:40">
      <c r="B16" s="1073" t="s">
        <v>1819</v>
      </c>
      <c r="C16" s="1073"/>
      <c r="D16" s="1900">
        <v>3834</v>
      </c>
      <c r="E16" s="1073"/>
      <c r="F16" s="1901">
        <v>3835</v>
      </c>
      <c r="G16" s="1073"/>
      <c r="H16" s="1902">
        <v>3819</v>
      </c>
      <c r="I16" s="1073"/>
      <c r="J16" s="1903">
        <v>3743</v>
      </c>
      <c r="L16" s="1171" t="s">
        <v>1807</v>
      </c>
      <c r="M16" s="1171"/>
      <c r="N16" s="1849">
        <v>168</v>
      </c>
      <c r="O16" s="1171"/>
      <c r="P16" s="1850">
        <v>413</v>
      </c>
      <c r="Q16" s="1171"/>
      <c r="R16" s="1851">
        <v>3799</v>
      </c>
      <c r="S16" s="1171"/>
      <c r="T16" s="1171"/>
      <c r="V16" s="1073" t="s">
        <v>1846</v>
      </c>
      <c r="W16" s="1073"/>
      <c r="X16" s="1934">
        <v>3809</v>
      </c>
      <c r="Y16" s="1073"/>
      <c r="Z16" s="1967">
        <v>3810</v>
      </c>
      <c r="AA16" s="1073"/>
      <c r="AB16" s="1968">
        <v>597</v>
      </c>
      <c r="AC16" s="1073"/>
      <c r="AD16" s="1073"/>
      <c r="AF16" s="1073" t="s">
        <v>1862</v>
      </c>
      <c r="AG16" s="1073"/>
      <c r="AH16" s="2009">
        <v>648</v>
      </c>
      <c r="AI16" s="1073"/>
      <c r="AJ16" s="2010">
        <v>3866</v>
      </c>
      <c r="AK16" s="1073"/>
      <c r="AL16" s="2011">
        <v>827</v>
      </c>
      <c r="AM16" s="1073"/>
      <c r="AN16" s="2012">
        <v>775</v>
      </c>
    </row>
    <row r="17" spans="2:40">
      <c r="B17" s="1073"/>
      <c r="C17" s="1073"/>
      <c r="D17" s="1073"/>
      <c r="E17" s="1073"/>
      <c r="F17" s="1073"/>
      <c r="G17" s="1073"/>
      <c r="H17" s="1073"/>
      <c r="I17" s="1073"/>
      <c r="J17" s="1073"/>
      <c r="L17" s="1171"/>
      <c r="M17" s="1171"/>
      <c r="N17" s="1171"/>
      <c r="O17" s="1171"/>
      <c r="P17" s="1171"/>
      <c r="Q17" s="1171"/>
      <c r="R17" s="1171"/>
      <c r="S17" s="1171"/>
      <c r="T17" s="1171"/>
      <c r="V17" s="1073"/>
      <c r="W17" s="1073"/>
      <c r="X17" s="1073"/>
      <c r="Y17" s="1073"/>
      <c r="Z17" s="1073"/>
      <c r="AA17" s="1073"/>
      <c r="AB17" s="1073"/>
      <c r="AC17" s="1073"/>
      <c r="AD17" s="1073"/>
      <c r="AF17" s="1073"/>
      <c r="AG17" s="1073"/>
      <c r="AH17" s="1073"/>
      <c r="AI17" s="1073"/>
      <c r="AJ17" s="1073"/>
      <c r="AK17" s="1073"/>
      <c r="AL17" s="1073"/>
      <c r="AM17" s="1073"/>
      <c r="AN17" s="1073"/>
    </row>
    <row r="18" spans="2:40">
      <c r="B18" s="1073">
        <v>4504</v>
      </c>
      <c r="C18" s="1073"/>
      <c r="D18" s="1073"/>
      <c r="E18" s="1073"/>
      <c r="F18" s="1073"/>
      <c r="G18" s="1073"/>
      <c r="H18" s="1073"/>
      <c r="I18" s="1073"/>
      <c r="J18" s="1073"/>
      <c r="L18" s="1171">
        <v>67</v>
      </c>
      <c r="M18" s="1171"/>
      <c r="N18" s="1171"/>
      <c r="O18" s="1171"/>
      <c r="P18" s="1171"/>
      <c r="Q18" s="1171"/>
      <c r="R18" s="1171"/>
      <c r="S18" s="1171"/>
      <c r="T18" s="1171"/>
      <c r="V18" s="1073">
        <v>4030</v>
      </c>
      <c r="W18" s="1073"/>
      <c r="X18" s="1073"/>
      <c r="Y18" s="1073"/>
      <c r="Z18" s="1073"/>
      <c r="AA18" s="1073"/>
      <c r="AB18" s="1073"/>
      <c r="AC18" s="1073"/>
      <c r="AD18" s="1073"/>
      <c r="AF18" s="1073">
        <v>4022</v>
      </c>
      <c r="AG18" s="1073"/>
      <c r="AH18" s="1073"/>
      <c r="AI18" s="1073"/>
      <c r="AJ18" s="1073"/>
      <c r="AK18" s="1073"/>
      <c r="AL18" s="1073"/>
      <c r="AM18" s="1073"/>
      <c r="AN18" s="1073"/>
    </row>
    <row r="19" spans="2:40">
      <c r="B19" s="1073" t="s">
        <v>1820</v>
      </c>
      <c r="C19" s="1073"/>
      <c r="D19" s="1904">
        <v>3781</v>
      </c>
      <c r="E19" s="1073"/>
      <c r="F19" s="1905">
        <v>3032</v>
      </c>
      <c r="G19" s="1073"/>
      <c r="H19" s="1906">
        <v>3803</v>
      </c>
      <c r="I19" s="1073"/>
      <c r="J19" s="1907">
        <v>316</v>
      </c>
      <c r="L19" s="1841" t="s">
        <v>43</v>
      </c>
      <c r="M19" s="1171"/>
      <c r="N19" s="1852">
        <v>162</v>
      </c>
      <c r="O19" s="1171"/>
      <c r="P19" s="1853">
        <v>800</v>
      </c>
      <c r="Q19" s="1171"/>
      <c r="R19" s="1854">
        <v>799</v>
      </c>
      <c r="S19" s="1171"/>
      <c r="T19" s="1171"/>
      <c r="V19" s="1073" t="s">
        <v>1847</v>
      </c>
      <c r="W19" s="1073"/>
      <c r="X19" s="1969">
        <v>931</v>
      </c>
      <c r="Y19" s="1073"/>
      <c r="Z19" s="1968">
        <v>597</v>
      </c>
      <c r="AA19" s="1073"/>
      <c r="AB19" s="1967">
        <v>3810</v>
      </c>
      <c r="AC19" s="1073"/>
      <c r="AD19" s="1970">
        <v>992</v>
      </c>
      <c r="AF19" s="1073" t="s">
        <v>1863</v>
      </c>
      <c r="AG19" s="1073"/>
      <c r="AH19" s="2013">
        <v>3843</v>
      </c>
      <c r="AI19" s="2000"/>
      <c r="AJ19" s="2014">
        <v>3844</v>
      </c>
      <c r="AK19" s="1073"/>
      <c r="AL19" s="2015">
        <v>996</v>
      </c>
      <c r="AM19" s="1073"/>
      <c r="AN19" s="2016">
        <v>3846</v>
      </c>
    </row>
    <row r="20" spans="2:40">
      <c r="B20" s="1073"/>
      <c r="C20" s="1073"/>
      <c r="D20" s="1073"/>
      <c r="E20" s="1073"/>
      <c r="F20" s="1073"/>
      <c r="G20" s="1073"/>
      <c r="H20" s="1073"/>
      <c r="I20" s="1073"/>
      <c r="J20" s="1073"/>
      <c r="L20" s="1171"/>
      <c r="M20" s="1171"/>
      <c r="N20" s="1171"/>
      <c r="O20" s="1171"/>
      <c r="P20" s="1171"/>
      <c r="Q20" s="1171"/>
      <c r="R20" s="1171"/>
      <c r="S20" s="1171"/>
      <c r="T20" s="1171"/>
      <c r="V20" s="1073"/>
      <c r="W20" s="1073"/>
      <c r="X20" s="1073"/>
      <c r="Y20" s="1073"/>
      <c r="Z20" s="1073"/>
      <c r="AA20" s="1073"/>
      <c r="AB20" s="1073"/>
      <c r="AC20" s="1073"/>
      <c r="AD20" s="1073"/>
      <c r="AF20" s="1073"/>
      <c r="AG20" s="1073"/>
      <c r="AH20" s="1073"/>
      <c r="AI20" s="1073"/>
      <c r="AJ20" s="1073"/>
      <c r="AK20" s="1073"/>
      <c r="AL20" s="1073"/>
      <c r="AM20" s="1073"/>
      <c r="AN20" s="1073"/>
    </row>
    <row r="21" spans="2:40">
      <c r="B21" s="1073">
        <v>4505</v>
      </c>
      <c r="C21" s="1073"/>
      <c r="D21" s="1073"/>
      <c r="E21" s="1073"/>
      <c r="F21" s="1073"/>
      <c r="G21" s="1073"/>
      <c r="H21" s="1073"/>
      <c r="I21" s="1073"/>
      <c r="J21" s="1073"/>
      <c r="L21" s="1171">
        <v>69</v>
      </c>
      <c r="M21" s="1171"/>
      <c r="N21" s="1171"/>
      <c r="O21" s="1171"/>
      <c r="P21" s="1171"/>
      <c r="Q21" s="1171"/>
      <c r="R21" s="1171"/>
      <c r="S21" s="1171"/>
      <c r="T21" s="1171"/>
      <c r="V21" s="1073">
        <v>4040</v>
      </c>
      <c r="W21" s="1073"/>
      <c r="X21" s="1073"/>
      <c r="Y21" s="1073"/>
      <c r="Z21" s="1073"/>
      <c r="AA21" s="1073"/>
      <c r="AB21" s="1073"/>
      <c r="AC21" s="1073"/>
      <c r="AD21" s="1073"/>
      <c r="AF21" s="1073">
        <v>4042</v>
      </c>
      <c r="AG21" s="1073"/>
      <c r="AH21" s="1073"/>
      <c r="AI21" s="1073"/>
      <c r="AJ21" s="1073"/>
      <c r="AK21" s="1073"/>
      <c r="AL21" s="1073"/>
      <c r="AM21" s="1073"/>
      <c r="AN21" s="1073"/>
    </row>
    <row r="22" spans="2:40">
      <c r="B22" s="1073" t="s">
        <v>1821</v>
      </c>
      <c r="C22" s="1073"/>
      <c r="D22" s="1908">
        <v>3051</v>
      </c>
      <c r="E22" s="1073"/>
      <c r="F22" s="1909">
        <v>3053</v>
      </c>
      <c r="G22" s="1073"/>
      <c r="H22" s="1910">
        <v>3041</v>
      </c>
      <c r="I22" s="1073"/>
      <c r="J22" s="1911">
        <v>3042</v>
      </c>
      <c r="L22" s="1171" t="s">
        <v>78</v>
      </c>
      <c r="M22" s="1171"/>
      <c r="N22" s="1855">
        <v>754</v>
      </c>
      <c r="O22" s="1171"/>
      <c r="P22" s="1856">
        <v>3777</v>
      </c>
      <c r="Q22" s="1837"/>
      <c r="R22" s="1857">
        <v>3830</v>
      </c>
      <c r="S22" s="1171"/>
      <c r="T22" s="1171"/>
      <c r="V22" s="1073" t="s">
        <v>1848</v>
      </c>
      <c r="W22" s="1073"/>
      <c r="X22" s="1965">
        <v>747</v>
      </c>
      <c r="Y22" s="1073"/>
      <c r="Z22" s="1971">
        <v>958</v>
      </c>
      <c r="AA22" s="1073"/>
      <c r="AB22" s="1972">
        <v>964</v>
      </c>
      <c r="AC22" s="1073"/>
      <c r="AD22" s="1891">
        <v>955</v>
      </c>
      <c r="AF22" s="1073" t="s">
        <v>1864</v>
      </c>
      <c r="AG22" s="1073"/>
      <c r="AH22" s="1878">
        <v>321</v>
      </c>
      <c r="AI22" s="1073"/>
      <c r="AJ22" s="1073" t="s">
        <v>47</v>
      </c>
      <c r="AK22" s="1073"/>
      <c r="AL22" s="2017">
        <v>699</v>
      </c>
      <c r="AM22" s="1073"/>
      <c r="AN22" s="2018">
        <v>164</v>
      </c>
    </row>
    <row r="23" spans="2:40">
      <c r="B23" s="1073"/>
      <c r="C23" s="1073"/>
      <c r="D23" s="1073"/>
      <c r="E23" s="1073"/>
      <c r="F23" s="1073"/>
      <c r="G23" s="1073"/>
      <c r="H23" s="1073"/>
      <c r="I23" s="1073"/>
      <c r="J23" s="1073"/>
      <c r="L23" s="1171"/>
      <c r="M23" s="1171"/>
      <c r="N23" s="1171"/>
      <c r="O23" s="1171"/>
      <c r="P23" s="1171"/>
      <c r="Q23" s="1171"/>
      <c r="R23" s="1171"/>
      <c r="S23" s="1171"/>
      <c r="T23" s="1171"/>
      <c r="V23" s="1073"/>
      <c r="W23" s="1073"/>
      <c r="X23" s="1073"/>
      <c r="Y23" s="1073"/>
      <c r="Z23" s="1073"/>
      <c r="AA23" s="1073"/>
      <c r="AB23" s="1073"/>
      <c r="AC23" s="1073"/>
      <c r="AD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</row>
    <row r="24" spans="2:40">
      <c r="B24" s="1073">
        <v>4506</v>
      </c>
      <c r="C24" s="1073"/>
      <c r="D24" s="1073"/>
      <c r="E24" s="1073"/>
      <c r="F24" s="1073"/>
      <c r="G24" s="1073"/>
      <c r="H24" s="1073"/>
      <c r="I24" s="1073"/>
      <c r="J24" s="1073"/>
      <c r="L24" s="1171">
        <v>90</v>
      </c>
      <c r="M24" s="1171"/>
      <c r="N24" s="1171"/>
      <c r="O24" s="1171"/>
      <c r="P24" s="1171"/>
      <c r="Q24" s="1171"/>
      <c r="R24" s="1171"/>
      <c r="S24" s="1171"/>
      <c r="T24" s="1171"/>
      <c r="V24" s="1073">
        <v>4045</v>
      </c>
      <c r="W24" s="1073"/>
      <c r="X24" s="1073"/>
      <c r="Y24" s="1073"/>
      <c r="Z24" s="1073"/>
      <c r="AA24" s="1073"/>
      <c r="AB24" s="1073"/>
      <c r="AC24" s="1073"/>
      <c r="AD24" s="1073"/>
      <c r="AF24" s="1073">
        <v>4047</v>
      </c>
      <c r="AG24" s="1073"/>
      <c r="AH24" s="1073"/>
      <c r="AI24" s="1073"/>
      <c r="AJ24" s="1073"/>
      <c r="AK24" s="1073"/>
      <c r="AL24" s="1073"/>
      <c r="AM24" s="1073"/>
      <c r="AN24" s="1073"/>
    </row>
    <row r="25" spans="2:40">
      <c r="B25" s="1073" t="s">
        <v>1822</v>
      </c>
      <c r="C25" s="1073"/>
      <c r="D25" s="1912">
        <v>472</v>
      </c>
      <c r="E25" s="1073"/>
      <c r="F25" s="1913">
        <v>926</v>
      </c>
      <c r="G25" s="1073"/>
      <c r="H25" s="1914">
        <v>988</v>
      </c>
      <c r="I25" s="1073"/>
      <c r="J25" s="1915">
        <v>3760</v>
      </c>
      <c r="L25" s="1171" t="s">
        <v>1808</v>
      </c>
      <c r="M25" s="1171"/>
      <c r="N25" s="1858">
        <v>741</v>
      </c>
      <c r="O25" s="1171"/>
      <c r="P25" s="1859">
        <v>742</v>
      </c>
      <c r="Q25" s="1171"/>
      <c r="R25" s="1860">
        <v>307</v>
      </c>
      <c r="S25" s="1171"/>
      <c r="T25" s="1171"/>
      <c r="V25" s="1073" t="s">
        <v>1849</v>
      </c>
      <c r="W25" s="1073"/>
      <c r="X25" s="1973">
        <v>319</v>
      </c>
      <c r="Y25" s="1073"/>
      <c r="Z25" s="1974">
        <v>367</v>
      </c>
      <c r="AA25" s="1073"/>
      <c r="AB25" s="1975">
        <v>320</v>
      </c>
      <c r="AC25" s="1073"/>
      <c r="AD25" s="1073"/>
      <c r="AF25" s="1073" t="s">
        <v>1865</v>
      </c>
      <c r="AG25" s="1073"/>
      <c r="AH25" s="1863">
        <v>904</v>
      </c>
      <c r="AI25" s="1073"/>
      <c r="AJ25" s="1888">
        <v>909</v>
      </c>
      <c r="AK25" s="1073"/>
      <c r="AL25" s="2019">
        <v>895</v>
      </c>
      <c r="AM25" s="1073"/>
      <c r="AN25" s="2020">
        <v>890</v>
      </c>
    </row>
    <row r="26" spans="2:40">
      <c r="B26" s="1073"/>
      <c r="C26" s="1073"/>
      <c r="D26" s="1073"/>
      <c r="E26" s="1073"/>
      <c r="F26" s="1073"/>
      <c r="G26" s="1073"/>
      <c r="H26" s="1073"/>
      <c r="I26" s="1073"/>
      <c r="J26" s="1073"/>
      <c r="L26" s="1171"/>
      <c r="M26" s="1171"/>
      <c r="N26" s="1171"/>
      <c r="O26" s="1171"/>
      <c r="P26" s="1171"/>
      <c r="Q26" s="1171"/>
      <c r="R26" s="1171"/>
      <c r="S26" s="1171"/>
      <c r="T26" s="1171"/>
      <c r="V26" s="1073"/>
      <c r="W26" s="1073"/>
      <c r="X26" s="1073"/>
      <c r="Y26" s="1073"/>
      <c r="Z26" s="1073"/>
      <c r="AA26" s="1073"/>
      <c r="AB26" s="1073"/>
      <c r="AC26" s="1073"/>
      <c r="AD26" s="1073"/>
      <c r="AF26" s="1073"/>
      <c r="AG26" s="1073"/>
      <c r="AH26" s="1073"/>
      <c r="AI26" s="1073"/>
      <c r="AJ26" s="1073"/>
      <c r="AK26" s="1073"/>
      <c r="AL26" s="1073"/>
      <c r="AM26" s="1073"/>
      <c r="AN26" s="1073"/>
    </row>
    <row r="27" spans="2:40">
      <c r="B27" s="1073">
        <v>4507</v>
      </c>
      <c r="C27" s="1073"/>
      <c r="D27" s="1073"/>
      <c r="E27" s="1073"/>
      <c r="F27" s="1073"/>
      <c r="G27" s="1073"/>
      <c r="H27" s="1073"/>
      <c r="I27" s="1073"/>
      <c r="J27" s="1073"/>
      <c r="L27" s="1171">
        <v>92</v>
      </c>
      <c r="M27" s="1171"/>
      <c r="N27" s="1171"/>
      <c r="O27" s="1171"/>
      <c r="P27" s="1171"/>
      <c r="Q27" s="1171"/>
      <c r="R27" s="1171"/>
      <c r="S27" s="1171"/>
      <c r="T27" s="1171"/>
      <c r="V27" s="1073">
        <v>4050</v>
      </c>
      <c r="W27" s="1073"/>
      <c r="X27" s="1073"/>
      <c r="Y27" s="1073"/>
      <c r="Z27" s="1073"/>
      <c r="AA27" s="1073"/>
      <c r="AB27" s="1073"/>
      <c r="AC27" s="1073"/>
      <c r="AD27" s="1073"/>
      <c r="AF27" s="1073">
        <v>4066</v>
      </c>
      <c r="AG27" s="1073"/>
      <c r="AH27" s="1073"/>
      <c r="AI27" s="1073"/>
      <c r="AJ27" s="1073"/>
      <c r="AK27" s="1073"/>
      <c r="AL27" s="1073"/>
      <c r="AM27" s="1073"/>
      <c r="AN27" s="1073"/>
    </row>
    <row r="28" spans="2:40">
      <c r="B28" s="1073" t="s">
        <v>1823</v>
      </c>
      <c r="C28" s="1073"/>
      <c r="D28" s="1839">
        <v>602</v>
      </c>
      <c r="E28" s="1073"/>
      <c r="F28" s="1916">
        <v>3808</v>
      </c>
      <c r="G28" s="1073"/>
      <c r="H28" s="1917">
        <v>959</v>
      </c>
      <c r="I28" s="1073"/>
      <c r="J28" s="1864">
        <v>798</v>
      </c>
      <c r="L28" s="1171" t="s">
        <v>1809</v>
      </c>
      <c r="M28" s="1171"/>
      <c r="N28" s="1861">
        <v>471</v>
      </c>
      <c r="O28" s="1171"/>
      <c r="P28" s="1862">
        <v>772</v>
      </c>
      <c r="Q28" s="1171"/>
      <c r="R28" s="1863">
        <v>904</v>
      </c>
      <c r="S28" s="1171"/>
      <c r="T28" s="1171"/>
      <c r="V28" s="1073" t="s">
        <v>1850</v>
      </c>
      <c r="W28" s="1073"/>
      <c r="X28" s="1970">
        <v>992</v>
      </c>
      <c r="Y28" s="1073"/>
      <c r="Z28" s="1976">
        <v>703</v>
      </c>
      <c r="AA28" s="1073"/>
      <c r="AB28" s="1977">
        <v>907</v>
      </c>
      <c r="AC28" s="1073"/>
      <c r="AD28" s="1978">
        <v>581</v>
      </c>
      <c r="AF28" s="1073" t="s">
        <v>1866</v>
      </c>
      <c r="AG28" s="1073"/>
      <c r="AH28" s="2021">
        <v>937</v>
      </c>
      <c r="AI28" s="1073"/>
      <c r="AJ28" s="2022">
        <v>936</v>
      </c>
      <c r="AK28" s="1073"/>
      <c r="AL28" s="2023">
        <v>469</v>
      </c>
      <c r="AM28" s="1073"/>
      <c r="AN28" s="1924">
        <v>166</v>
      </c>
    </row>
    <row r="29" spans="2:40">
      <c r="B29" s="1073"/>
      <c r="C29" s="1073"/>
      <c r="D29" s="1073"/>
      <c r="E29" s="1073"/>
      <c r="F29" s="1073"/>
      <c r="G29" s="1073"/>
      <c r="H29" s="1073"/>
      <c r="I29" s="1073"/>
      <c r="J29" s="1073"/>
      <c r="L29" s="1171"/>
      <c r="M29" s="1171"/>
      <c r="N29" s="1171"/>
      <c r="O29" s="1171"/>
      <c r="P29" s="1171"/>
      <c r="Q29" s="1171"/>
      <c r="R29" s="1171"/>
      <c r="S29" s="1171"/>
      <c r="T29" s="1171"/>
      <c r="V29" s="1073"/>
      <c r="W29" s="1073"/>
      <c r="X29" s="1073"/>
      <c r="Y29" s="1073"/>
      <c r="Z29" s="1073"/>
      <c r="AA29" s="1073"/>
      <c r="AB29" s="1073"/>
      <c r="AC29" s="1073"/>
      <c r="AD29" s="1073"/>
      <c r="AF29" s="1073"/>
      <c r="AG29" s="1073"/>
      <c r="AH29" s="1073"/>
      <c r="AI29" s="1073"/>
      <c r="AJ29" s="1073"/>
      <c r="AK29" s="1073"/>
      <c r="AL29" s="1073"/>
      <c r="AM29" s="1073"/>
      <c r="AN29" s="1073"/>
    </row>
    <row r="30" spans="2:40">
      <c r="B30" s="1073">
        <v>4508</v>
      </c>
      <c r="C30" s="1073"/>
      <c r="D30" s="1073"/>
      <c r="E30" s="1073"/>
      <c r="F30" s="1073"/>
      <c r="G30" s="1073"/>
      <c r="H30" s="1073"/>
      <c r="I30" s="1073"/>
      <c r="J30" s="1073"/>
      <c r="L30" s="1171">
        <v>93</v>
      </c>
      <c r="M30" s="1171"/>
      <c r="N30" s="1171"/>
      <c r="O30" s="1171"/>
      <c r="P30" s="1171"/>
      <c r="Q30" s="1171"/>
      <c r="R30" s="1171"/>
      <c r="S30" s="1171"/>
      <c r="T30" s="1171"/>
      <c r="V30" s="1073">
        <v>4060</v>
      </c>
      <c r="W30" s="1073"/>
      <c r="X30" s="1073"/>
      <c r="Y30" s="1073"/>
      <c r="Z30" s="1073"/>
      <c r="AA30" s="1073"/>
      <c r="AB30" s="1073"/>
      <c r="AC30" s="1073"/>
      <c r="AD30" s="1073"/>
      <c r="AF30" s="1073">
        <v>4068</v>
      </c>
      <c r="AG30" s="1073"/>
      <c r="AH30" s="1073"/>
      <c r="AI30" s="1073"/>
      <c r="AJ30" s="1073"/>
      <c r="AK30" s="1073"/>
      <c r="AL30" s="1073"/>
      <c r="AM30" s="1073"/>
      <c r="AN30" s="1073"/>
    </row>
    <row r="31" spans="2:40">
      <c r="B31" s="1073" t="s">
        <v>1824</v>
      </c>
      <c r="C31" s="1073"/>
      <c r="D31" s="1918">
        <v>734</v>
      </c>
      <c r="E31" s="1073"/>
      <c r="F31" s="1919">
        <v>3078</v>
      </c>
      <c r="G31" s="1073"/>
      <c r="H31" s="1920">
        <v>3024</v>
      </c>
      <c r="I31" s="1073"/>
      <c r="J31" s="1921">
        <v>3771</v>
      </c>
      <c r="L31" s="1841" t="s">
        <v>1810</v>
      </c>
      <c r="M31" s="1171"/>
      <c r="N31" s="1853">
        <v>800</v>
      </c>
      <c r="O31" s="1171"/>
      <c r="P31" s="1864">
        <v>798</v>
      </c>
      <c r="Q31" s="1171"/>
      <c r="R31" s="1865">
        <v>796</v>
      </c>
      <c r="S31" s="1171"/>
      <c r="T31" s="1171"/>
      <c r="V31" s="1073" t="s">
        <v>1851</v>
      </c>
      <c r="W31" s="1073"/>
      <c r="X31" s="1972">
        <v>964</v>
      </c>
      <c r="Y31" s="1073"/>
      <c r="Z31" s="1979">
        <v>164</v>
      </c>
      <c r="AA31" s="1073"/>
      <c r="AB31" s="1862">
        <v>772</v>
      </c>
      <c r="AC31" s="1073"/>
      <c r="AD31" s="1980">
        <v>165</v>
      </c>
      <c r="AF31" s="1073" t="s">
        <v>1867</v>
      </c>
      <c r="AG31" s="1073"/>
      <c r="AH31" s="2007">
        <v>3371</v>
      </c>
      <c r="AI31" s="1073"/>
      <c r="AJ31" s="2024">
        <v>801</v>
      </c>
      <c r="AK31" s="1073"/>
      <c r="AL31" s="1866">
        <v>730</v>
      </c>
      <c r="AM31" s="1073"/>
      <c r="AN31" s="1918">
        <v>734</v>
      </c>
    </row>
    <row r="32" spans="2:40">
      <c r="B32" s="1073"/>
      <c r="C32" s="1073"/>
      <c r="D32" s="1073"/>
      <c r="E32" s="1073"/>
      <c r="F32" s="1073"/>
      <c r="G32" s="1073"/>
      <c r="H32" s="1073"/>
      <c r="I32" s="1073"/>
      <c r="J32" s="1073"/>
      <c r="L32" s="1171"/>
      <c r="M32" s="1171"/>
      <c r="N32" s="1171"/>
      <c r="O32" s="1171"/>
      <c r="P32" s="1171"/>
      <c r="Q32" s="1171"/>
      <c r="R32" s="1171"/>
      <c r="S32" s="1171"/>
      <c r="T32" s="1171"/>
      <c r="V32" s="1073"/>
      <c r="W32" s="1073"/>
      <c r="X32" s="1073"/>
      <c r="Y32" s="1073"/>
      <c r="Z32" s="1073"/>
      <c r="AA32" s="1073"/>
      <c r="AB32" s="1073"/>
      <c r="AC32" s="1073"/>
      <c r="AD32" s="1073"/>
      <c r="AF32" s="1073"/>
      <c r="AG32" s="1073"/>
      <c r="AH32" s="1073"/>
      <c r="AI32" s="1073"/>
      <c r="AJ32" s="1073"/>
      <c r="AK32" s="1073"/>
      <c r="AL32" s="1073"/>
      <c r="AM32" s="1073"/>
      <c r="AN32" s="1073"/>
    </row>
    <row r="33" spans="2:40">
      <c r="B33" s="1073">
        <v>4509</v>
      </c>
      <c r="C33" s="1073"/>
      <c r="D33" s="1073"/>
      <c r="E33" s="1073"/>
      <c r="F33" s="1073"/>
      <c r="G33" s="1073"/>
      <c r="H33" s="1073"/>
      <c r="I33" s="1073"/>
      <c r="J33" s="1073"/>
      <c r="L33" s="1171">
        <v>94</v>
      </c>
      <c r="M33" s="1171"/>
      <c r="N33" s="1171"/>
      <c r="O33" s="1171"/>
      <c r="P33" s="1171"/>
      <c r="Q33" s="1171"/>
      <c r="R33" s="1171"/>
      <c r="S33" s="1171"/>
      <c r="T33" s="1171"/>
      <c r="V33" s="1073">
        <v>4065</v>
      </c>
      <c r="W33" s="1073"/>
      <c r="X33" s="1073"/>
      <c r="Y33" s="1073"/>
      <c r="Z33" s="1073"/>
      <c r="AA33" s="1073"/>
      <c r="AB33" s="1073"/>
      <c r="AC33" s="1073"/>
      <c r="AD33" s="1073"/>
      <c r="AF33" s="1073">
        <v>4069</v>
      </c>
      <c r="AG33" s="1073"/>
      <c r="AH33" s="1073"/>
      <c r="AI33" s="1073"/>
      <c r="AJ33" s="1073"/>
      <c r="AK33" s="1073"/>
      <c r="AL33" s="1073"/>
      <c r="AM33" s="1073"/>
      <c r="AN33" s="1073"/>
    </row>
    <row r="34" spans="2:40">
      <c r="B34" s="1073" t="s">
        <v>1825</v>
      </c>
      <c r="C34" s="1073"/>
      <c r="D34" s="1922">
        <v>645</v>
      </c>
      <c r="E34" s="1073"/>
      <c r="F34" s="1923">
        <v>223</v>
      </c>
      <c r="G34" s="1073"/>
      <c r="H34" s="1924">
        <v>166</v>
      </c>
      <c r="I34" s="1073"/>
      <c r="J34" s="1925">
        <v>3836</v>
      </c>
      <c r="L34" s="1171" t="s">
        <v>1811</v>
      </c>
      <c r="M34" s="1171"/>
      <c r="N34" s="1866">
        <v>730</v>
      </c>
      <c r="O34" s="1171"/>
      <c r="P34" s="1867">
        <v>3012</v>
      </c>
      <c r="Q34" s="1171"/>
      <c r="R34" s="1868">
        <v>3013</v>
      </c>
      <c r="S34" s="1171"/>
      <c r="T34" s="1171"/>
      <c r="V34" s="1073" t="s">
        <v>1852</v>
      </c>
      <c r="W34" s="1073"/>
      <c r="X34" s="1913">
        <v>926</v>
      </c>
      <c r="Y34" s="1073"/>
      <c r="Z34" s="1909">
        <v>3053</v>
      </c>
      <c r="AA34" s="1073"/>
      <c r="AB34" s="1981">
        <v>647</v>
      </c>
      <c r="AC34" s="1073"/>
      <c r="AD34" s="1982">
        <v>3782</v>
      </c>
      <c r="AF34" s="1073" t="s">
        <v>1868</v>
      </c>
      <c r="AG34" s="1073"/>
      <c r="AH34" s="2025">
        <v>906</v>
      </c>
      <c r="AI34" s="1073"/>
      <c r="AJ34" s="1977">
        <v>907</v>
      </c>
      <c r="AK34" s="1073"/>
      <c r="AL34" s="2026">
        <v>307</v>
      </c>
      <c r="AM34" s="1073"/>
      <c r="AN34" s="1988">
        <v>445</v>
      </c>
    </row>
    <row r="35" spans="2:40">
      <c r="B35" s="1073"/>
      <c r="C35" s="1073"/>
      <c r="D35" s="1073"/>
      <c r="E35" s="1073"/>
      <c r="F35" s="1073"/>
      <c r="G35" s="1073"/>
      <c r="H35" s="1073"/>
      <c r="I35" s="1073"/>
      <c r="J35" s="1073"/>
      <c r="L35" s="1171"/>
      <c r="M35" s="1171"/>
      <c r="N35" s="1171"/>
      <c r="O35" s="1171"/>
      <c r="P35" s="1171"/>
      <c r="Q35" s="1171"/>
      <c r="R35" s="1171"/>
      <c r="S35" s="1171"/>
      <c r="T35" s="1171"/>
      <c r="V35" s="1073"/>
      <c r="W35" s="1073"/>
      <c r="X35" s="1073"/>
      <c r="Y35" s="1073"/>
      <c r="Z35" s="1073"/>
      <c r="AA35" s="1073"/>
      <c r="AB35" s="1073"/>
      <c r="AC35" s="1073"/>
      <c r="AD35" s="1073"/>
      <c r="AF35" s="1073"/>
      <c r="AG35" s="1073"/>
      <c r="AH35" s="1073"/>
      <c r="AI35" s="1073"/>
      <c r="AJ35" s="1073"/>
      <c r="AK35" s="1073"/>
      <c r="AL35" s="1073"/>
      <c r="AM35" s="1073"/>
      <c r="AN35" s="1073"/>
    </row>
    <row r="36" spans="2:40">
      <c r="B36" s="1073">
        <v>4510</v>
      </c>
      <c r="C36" s="1073"/>
      <c r="D36" s="1073"/>
      <c r="E36" s="1073"/>
      <c r="F36" s="1073"/>
      <c r="G36" s="1073"/>
      <c r="H36" s="1073"/>
      <c r="I36" s="1073"/>
      <c r="J36" s="1073"/>
      <c r="L36" s="1171">
        <v>99</v>
      </c>
      <c r="M36" s="1171"/>
      <c r="N36" s="1171"/>
      <c r="O36" s="1171"/>
      <c r="P36" s="1171"/>
      <c r="Q36" s="1171"/>
      <c r="R36" s="1171"/>
      <c r="S36" s="1171"/>
      <c r="T36" s="1171"/>
      <c r="V36" s="1073">
        <v>4070</v>
      </c>
      <c r="W36" s="1073"/>
      <c r="X36" s="1073"/>
      <c r="Y36" s="1073"/>
      <c r="Z36" s="1073"/>
      <c r="AA36" s="1073"/>
      <c r="AB36" s="1073"/>
      <c r="AC36" s="1073"/>
      <c r="AD36" s="1073"/>
      <c r="AF36" s="1073">
        <v>4072</v>
      </c>
      <c r="AG36" s="1073"/>
      <c r="AH36" s="1073"/>
      <c r="AI36" s="1073"/>
      <c r="AJ36" s="1073"/>
      <c r="AK36" s="1073"/>
      <c r="AL36" s="1073"/>
      <c r="AM36" s="1073"/>
      <c r="AN36" s="1073"/>
    </row>
    <row r="37" spans="2:40">
      <c r="B37" s="1073" t="s">
        <v>1826</v>
      </c>
      <c r="C37" s="1073"/>
      <c r="D37" s="1902">
        <v>3819</v>
      </c>
      <c r="E37" s="1073"/>
      <c r="F37" s="1926">
        <v>3705</v>
      </c>
      <c r="G37" s="1073"/>
      <c r="H37" s="1927">
        <v>640</v>
      </c>
      <c r="I37" s="1073"/>
      <c r="J37" s="1928">
        <v>921</v>
      </c>
      <c r="L37" s="1171" t="s">
        <v>41</v>
      </c>
      <c r="M37" s="1171"/>
      <c r="N37" s="1869">
        <v>3687</v>
      </c>
      <c r="O37" s="1171"/>
      <c r="P37" s="1870">
        <v>818</v>
      </c>
      <c r="Q37" s="1171"/>
      <c r="R37" s="1871">
        <v>3685</v>
      </c>
      <c r="S37" s="1171"/>
      <c r="T37" s="1171"/>
      <c r="V37" s="1073" t="s">
        <v>1853</v>
      </c>
      <c r="W37" s="1073"/>
      <c r="X37" s="1983">
        <v>3821</v>
      </c>
      <c r="Y37" s="1073"/>
      <c r="Z37" s="1924">
        <v>166</v>
      </c>
      <c r="AA37" s="1073"/>
      <c r="AB37" s="1902">
        <v>3819</v>
      </c>
      <c r="AC37" s="1073"/>
      <c r="AD37" s="1984">
        <v>733</v>
      </c>
      <c r="AF37" s="1073" t="s">
        <v>1869</v>
      </c>
      <c r="AG37" s="1073"/>
      <c r="AH37" s="2027">
        <v>3046</v>
      </c>
      <c r="AI37" s="1073"/>
      <c r="AJ37" s="2028">
        <v>3047</v>
      </c>
      <c r="AK37" s="1073"/>
      <c r="AL37" s="2029">
        <v>3045</v>
      </c>
      <c r="AM37" s="1073"/>
      <c r="AN37" s="1919">
        <v>3078</v>
      </c>
    </row>
    <row r="38" spans="2:40">
      <c r="B38" s="1073"/>
      <c r="C38" s="1073"/>
      <c r="D38" s="1073"/>
      <c r="E38" s="1073"/>
      <c r="F38" s="1073"/>
      <c r="G38" s="1073"/>
      <c r="H38" s="1073"/>
      <c r="I38" s="1073"/>
      <c r="J38" s="1073"/>
      <c r="L38" s="1171"/>
      <c r="M38" s="1171"/>
      <c r="N38" s="1171"/>
      <c r="O38" s="1171"/>
      <c r="P38" s="1171"/>
      <c r="Q38" s="1171"/>
      <c r="R38" s="1171"/>
      <c r="S38" s="1171"/>
      <c r="T38" s="1171"/>
      <c r="V38" s="1073"/>
      <c r="W38" s="1073"/>
      <c r="X38" s="1073"/>
      <c r="Y38" s="1073"/>
      <c r="Z38" s="1073"/>
      <c r="AA38" s="1073"/>
      <c r="AB38" s="1073"/>
      <c r="AC38" s="1073"/>
      <c r="AD38" s="1073"/>
      <c r="AF38" s="1073"/>
      <c r="AG38" s="1073"/>
      <c r="AH38" s="1073"/>
      <c r="AI38" s="1073"/>
      <c r="AJ38" s="1073"/>
      <c r="AK38" s="1073"/>
      <c r="AL38" s="1073"/>
      <c r="AM38" s="1073"/>
      <c r="AN38" s="1073"/>
    </row>
    <row r="39" spans="2:40">
      <c r="B39" s="1073">
        <v>4511</v>
      </c>
      <c r="C39" s="1073"/>
      <c r="D39" s="1073"/>
      <c r="E39" s="1073"/>
      <c r="F39" s="1073"/>
      <c r="G39" s="1073"/>
      <c r="H39" s="1073"/>
      <c r="I39" s="1073"/>
      <c r="J39" s="1073"/>
      <c r="L39" s="1171">
        <v>105</v>
      </c>
      <c r="M39" s="1171"/>
      <c r="N39" s="1171"/>
      <c r="O39" s="1171"/>
      <c r="P39" s="1171"/>
      <c r="Q39" s="1171"/>
      <c r="R39" s="1171"/>
      <c r="S39" s="1171"/>
      <c r="T39" s="1171"/>
      <c r="V39" s="1073">
        <v>4075</v>
      </c>
      <c r="W39" s="1073"/>
      <c r="X39" s="1073"/>
      <c r="Y39" s="1073"/>
      <c r="Z39" s="1073"/>
      <c r="AA39" s="1073"/>
      <c r="AB39" s="1073"/>
      <c r="AC39" s="1073"/>
      <c r="AD39" s="1073"/>
      <c r="AF39" s="1073">
        <v>4073</v>
      </c>
      <c r="AG39" s="1073"/>
      <c r="AH39" s="1073"/>
      <c r="AI39" s="1073"/>
      <c r="AJ39" s="1073"/>
      <c r="AK39" s="1073"/>
      <c r="AL39" s="1073"/>
      <c r="AM39" s="1073"/>
      <c r="AN39" s="1073"/>
    </row>
    <row r="40" spans="2:40">
      <c r="B40" s="1073" t="s">
        <v>1827</v>
      </c>
      <c r="C40" s="1073"/>
      <c r="D40" s="1884">
        <v>783</v>
      </c>
      <c r="E40" s="1073"/>
      <c r="F40" s="1929">
        <v>349</v>
      </c>
      <c r="G40" s="1073"/>
      <c r="H40" s="1930">
        <v>938</v>
      </c>
      <c r="I40" s="1073"/>
      <c r="J40" s="1908">
        <v>3051</v>
      </c>
      <c r="L40" s="1171" t="s">
        <v>1812</v>
      </c>
      <c r="M40" s="1171"/>
      <c r="N40" s="1872">
        <v>434</v>
      </c>
      <c r="O40" s="1171"/>
      <c r="P40" s="1873">
        <v>436</v>
      </c>
      <c r="Q40" s="1171"/>
      <c r="R40" s="1874">
        <v>739</v>
      </c>
      <c r="S40" s="1171"/>
      <c r="T40" s="1171"/>
      <c r="V40" s="1073" t="s">
        <v>1854</v>
      </c>
      <c r="W40" s="1073"/>
      <c r="X40" s="1985">
        <v>3820</v>
      </c>
      <c r="Y40" s="1073"/>
      <c r="Z40" s="1983">
        <v>3821</v>
      </c>
      <c r="AA40" s="1073"/>
      <c r="AB40" s="1986">
        <v>3822</v>
      </c>
      <c r="AC40" s="1073"/>
      <c r="AD40" s="1955">
        <v>834</v>
      </c>
      <c r="AF40" s="1073" t="s">
        <v>1870</v>
      </c>
      <c r="AG40" s="1073"/>
      <c r="AH40" s="1983">
        <v>3821</v>
      </c>
      <c r="AI40" s="1073"/>
      <c r="AJ40" s="2030">
        <v>726</v>
      </c>
      <c r="AK40" s="1073"/>
      <c r="AL40" s="2031">
        <v>3852</v>
      </c>
      <c r="AM40" s="1073"/>
      <c r="AN40" s="2032">
        <v>677</v>
      </c>
    </row>
    <row r="41" spans="2:40">
      <c r="B41" s="1073"/>
      <c r="C41" s="1073"/>
      <c r="D41" s="1073"/>
      <c r="E41" s="1073"/>
      <c r="F41" s="1073"/>
      <c r="G41" s="1073"/>
      <c r="H41" s="1073"/>
      <c r="I41" s="1073"/>
      <c r="J41" s="1073"/>
      <c r="L41" s="1171"/>
      <c r="M41" s="1171"/>
      <c r="N41" s="1171"/>
      <c r="O41" s="1171"/>
      <c r="P41" s="1171"/>
      <c r="Q41" s="1171"/>
      <c r="R41" s="1171"/>
      <c r="S41" s="1171"/>
      <c r="T41" s="1171"/>
      <c r="V41" s="1073"/>
      <c r="W41" s="1073"/>
      <c r="X41" s="1073"/>
      <c r="Y41" s="1073"/>
      <c r="Z41" s="1073"/>
      <c r="AA41" s="1073"/>
      <c r="AB41" s="1073"/>
      <c r="AC41" s="1073"/>
      <c r="AD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</row>
    <row r="42" spans="2:40">
      <c r="B42" s="1073">
        <v>4512</v>
      </c>
      <c r="C42" s="1073"/>
      <c r="D42" s="1073"/>
      <c r="E42" s="1073"/>
      <c r="F42" s="1073"/>
      <c r="G42" s="1073"/>
      <c r="H42" s="1073"/>
      <c r="I42" s="1073"/>
      <c r="J42" s="1073"/>
      <c r="L42" s="1171">
        <v>106</v>
      </c>
      <c r="M42" s="1171"/>
      <c r="N42" s="1171"/>
      <c r="O42" s="1171"/>
      <c r="P42" s="1171"/>
      <c r="Q42" s="1171"/>
      <c r="R42" s="1171"/>
      <c r="S42" s="1171"/>
      <c r="T42" s="1171"/>
      <c r="V42" s="1073">
        <v>4077</v>
      </c>
      <c r="W42" s="1073"/>
      <c r="X42" s="1073"/>
      <c r="Y42" s="1073"/>
      <c r="Z42" s="1073"/>
      <c r="AA42" s="1073"/>
      <c r="AB42" s="1073"/>
      <c r="AC42" s="1073"/>
      <c r="AD42" s="1073"/>
      <c r="AF42" s="1073">
        <v>4095</v>
      </c>
      <c r="AG42" s="1073"/>
      <c r="AH42" s="1073"/>
      <c r="AI42" s="1073"/>
      <c r="AJ42" s="1073"/>
      <c r="AK42" s="1073"/>
      <c r="AL42" s="1073"/>
      <c r="AM42" s="1073"/>
      <c r="AN42" s="1073"/>
    </row>
    <row r="43" spans="2:40">
      <c r="B43" s="1073" t="s">
        <v>1828</v>
      </c>
      <c r="C43" s="1073"/>
      <c r="D43" s="1931">
        <v>318</v>
      </c>
      <c r="E43" s="1073"/>
      <c r="F43" s="1864">
        <v>798</v>
      </c>
      <c r="G43" s="1073"/>
      <c r="H43" s="1929">
        <v>349</v>
      </c>
      <c r="I43" s="1073"/>
      <c r="J43" s="1932">
        <v>336</v>
      </c>
      <c r="L43" s="1171" t="s">
        <v>5</v>
      </c>
      <c r="M43" s="1171"/>
      <c r="N43" s="1875">
        <v>606</v>
      </c>
      <c r="O43" s="1171"/>
      <c r="P43" s="1876">
        <v>967</v>
      </c>
      <c r="Q43" s="1171"/>
      <c r="R43" s="1877">
        <v>3341</v>
      </c>
      <c r="S43" s="1171"/>
      <c r="T43" s="1171"/>
      <c r="V43" s="1073" t="s">
        <v>1855</v>
      </c>
      <c r="W43" s="1073"/>
      <c r="X43" s="1987">
        <v>973</v>
      </c>
      <c r="Y43" s="1073"/>
      <c r="Z43" s="1988">
        <v>445</v>
      </c>
      <c r="AA43" s="1073"/>
      <c r="AB43" s="1989">
        <v>3823</v>
      </c>
      <c r="AC43" s="1073"/>
      <c r="AD43" s="1073"/>
      <c r="AF43" s="1073" t="s">
        <v>1871</v>
      </c>
      <c r="AG43" s="1073"/>
      <c r="AH43" s="1989">
        <v>3823</v>
      </c>
      <c r="AI43" s="1073"/>
      <c r="AJ43" s="2033">
        <v>676</v>
      </c>
      <c r="AK43" s="1073"/>
      <c r="AL43" s="2034">
        <v>225</v>
      </c>
      <c r="AM43" s="1073"/>
      <c r="AN43" s="2035">
        <v>963</v>
      </c>
    </row>
    <row r="44" spans="2:40">
      <c r="B44" s="1073"/>
      <c r="C44" s="1073"/>
      <c r="D44" s="1073"/>
      <c r="E44" s="1073"/>
      <c r="F44" s="1073"/>
      <c r="G44" s="1073"/>
      <c r="H44" s="1073"/>
      <c r="I44" s="1073"/>
      <c r="J44" s="1073"/>
      <c r="L44" s="1171"/>
      <c r="M44" s="1171"/>
      <c r="N44" s="1171"/>
      <c r="O44" s="1171"/>
      <c r="P44" s="1171"/>
      <c r="Q44" s="1171"/>
      <c r="R44" s="1171"/>
      <c r="S44" s="1171"/>
      <c r="T44" s="1171"/>
      <c r="V44" s="1073"/>
      <c r="W44" s="1073"/>
      <c r="X44" s="1073"/>
      <c r="Y44" s="1073"/>
      <c r="Z44" s="1073"/>
      <c r="AA44" s="1073"/>
      <c r="AB44" s="1073"/>
      <c r="AC44" s="1073"/>
      <c r="AD44" s="1073"/>
    </row>
    <row r="45" spans="2:40">
      <c r="B45" s="1073">
        <v>4513</v>
      </c>
      <c r="C45" s="1073"/>
      <c r="D45" s="1073"/>
      <c r="E45" s="1073"/>
      <c r="F45" s="1073"/>
      <c r="G45" s="1073"/>
      <c r="H45" s="1073"/>
      <c r="I45" s="1073"/>
      <c r="J45" s="1073"/>
      <c r="L45" s="1171">
        <v>107</v>
      </c>
      <c r="M45" s="1171"/>
      <c r="N45" s="1171"/>
      <c r="O45" s="1171"/>
      <c r="P45" s="1171"/>
      <c r="Q45" s="1171"/>
      <c r="R45" s="1171"/>
      <c r="S45" s="1171"/>
      <c r="T45" s="1171"/>
      <c r="V45" s="1073">
        <v>4080</v>
      </c>
      <c r="W45" s="1073"/>
      <c r="X45" s="1073"/>
      <c r="Y45" s="1073"/>
      <c r="Z45" s="1073"/>
      <c r="AA45" s="1073"/>
      <c r="AB45" s="1073"/>
      <c r="AC45" s="1073"/>
      <c r="AD45" s="1073"/>
      <c r="AF45" s="1073">
        <v>4122</v>
      </c>
      <c r="AG45" s="1073"/>
      <c r="AH45" s="1073"/>
      <c r="AI45" s="1073"/>
      <c r="AJ45" s="1073"/>
      <c r="AK45" s="1073"/>
      <c r="AL45" s="1073"/>
      <c r="AM45" s="1073"/>
      <c r="AN45" s="1073"/>
    </row>
    <row r="46" spans="2:40">
      <c r="B46" s="1073" t="s">
        <v>1829</v>
      </c>
      <c r="C46" s="1073"/>
      <c r="D46" s="1073" t="s">
        <v>47</v>
      </c>
      <c r="E46" s="1073"/>
      <c r="F46" s="1850">
        <v>413</v>
      </c>
      <c r="G46" s="1073"/>
      <c r="H46" s="1933">
        <v>814</v>
      </c>
      <c r="I46" s="1073"/>
      <c r="J46" s="1931">
        <v>318</v>
      </c>
      <c r="L46" s="1171" t="s">
        <v>1813</v>
      </c>
      <c r="M46" s="1171"/>
      <c r="N46" s="1878">
        <v>321</v>
      </c>
      <c r="O46" s="1171"/>
      <c r="P46" s="1879">
        <v>326</v>
      </c>
      <c r="Q46" s="1171"/>
      <c r="R46" s="1880">
        <v>602</v>
      </c>
      <c r="S46" s="1171"/>
      <c r="T46" s="1881">
        <v>604</v>
      </c>
      <c r="V46" s="1073" t="s">
        <v>1856</v>
      </c>
      <c r="W46" s="1073"/>
      <c r="X46" s="1989">
        <v>3823</v>
      </c>
      <c r="Y46" s="1073"/>
      <c r="Z46" s="1990">
        <v>744</v>
      </c>
      <c r="AA46" s="1073"/>
      <c r="AB46" s="1991">
        <v>745</v>
      </c>
      <c r="AC46" s="1073"/>
      <c r="AD46" s="1980">
        <v>165</v>
      </c>
      <c r="AF46" s="1073" t="s">
        <v>1872</v>
      </c>
      <c r="AG46" s="1073"/>
      <c r="AH46" s="2036">
        <v>975</v>
      </c>
      <c r="AI46" s="1073"/>
      <c r="AJ46" s="2037">
        <v>740</v>
      </c>
      <c r="AK46" s="1073"/>
      <c r="AL46" s="1859">
        <v>742</v>
      </c>
      <c r="AM46" s="1073"/>
      <c r="AN46" s="2001">
        <v>666</v>
      </c>
    </row>
    <row r="47" spans="2:40">
      <c r="B47" s="1073"/>
      <c r="C47" s="1073"/>
      <c r="D47" s="1073"/>
      <c r="E47" s="1073"/>
      <c r="F47" s="1073"/>
      <c r="G47" s="1073"/>
      <c r="H47" s="1073"/>
      <c r="I47" s="1073"/>
      <c r="J47" s="1073"/>
      <c r="L47" s="1171"/>
      <c r="M47" s="1171"/>
      <c r="N47" s="1171"/>
      <c r="O47" s="1171"/>
      <c r="P47" s="1171"/>
      <c r="Q47" s="1171"/>
      <c r="R47" s="1171"/>
      <c r="S47" s="1171"/>
      <c r="T47" s="1171"/>
      <c r="V47" s="1073"/>
      <c r="W47" s="1073"/>
      <c r="X47" s="1073"/>
      <c r="Y47" s="1073"/>
      <c r="Z47" s="1073"/>
      <c r="AA47" s="1073"/>
      <c r="AB47" s="1073"/>
      <c r="AC47" s="1073"/>
      <c r="AD47" s="1073"/>
      <c r="AF47" s="1073"/>
      <c r="AG47" s="1073"/>
      <c r="AH47" s="1073"/>
      <c r="AI47" s="1073"/>
      <c r="AJ47" s="1073"/>
      <c r="AK47" s="1073"/>
      <c r="AL47" s="1073"/>
      <c r="AM47" s="1073"/>
      <c r="AN47" s="1073"/>
    </row>
    <row r="48" spans="2:40">
      <c r="B48" s="1073">
        <v>4514</v>
      </c>
      <c r="C48" s="1073"/>
      <c r="D48" s="1073"/>
      <c r="E48" s="1073"/>
      <c r="F48" s="1073"/>
      <c r="G48" s="1073"/>
      <c r="H48" s="1073"/>
      <c r="I48" s="1073"/>
      <c r="J48" s="1073"/>
      <c r="L48" s="1171">
        <v>111</v>
      </c>
      <c r="M48" s="1171"/>
      <c r="N48" s="1171"/>
      <c r="O48" s="1171"/>
      <c r="P48" s="1171"/>
      <c r="Q48" s="1171"/>
      <c r="R48" s="1171"/>
      <c r="S48" s="1171"/>
      <c r="T48" s="1171"/>
      <c r="V48" s="1073">
        <v>4090</v>
      </c>
      <c r="W48" s="1073"/>
      <c r="X48" s="1073"/>
      <c r="Y48" s="1073"/>
      <c r="Z48" s="1073"/>
      <c r="AA48" s="1073"/>
      <c r="AB48" s="1073"/>
      <c r="AC48" s="1073"/>
      <c r="AD48" s="1073"/>
      <c r="AF48" s="1073">
        <v>4129</v>
      </c>
      <c r="AG48" s="1073"/>
      <c r="AH48" s="1073"/>
      <c r="AI48" s="1073"/>
      <c r="AJ48" s="1073"/>
      <c r="AK48" s="1073"/>
      <c r="AL48" s="1073"/>
      <c r="AM48" s="1073"/>
      <c r="AN48" s="1073"/>
    </row>
    <row r="49" spans="2:40">
      <c r="B49" s="1073" t="s">
        <v>1830</v>
      </c>
      <c r="C49" s="1073"/>
      <c r="D49" s="1934">
        <v>3809</v>
      </c>
      <c r="E49" s="1073"/>
      <c r="F49" s="1935">
        <v>317</v>
      </c>
      <c r="G49" s="1073"/>
      <c r="H49" s="1845">
        <v>153</v>
      </c>
      <c r="I49" s="1073"/>
      <c r="J49" s="1900">
        <v>3834</v>
      </c>
      <c r="L49" s="1171" t="s">
        <v>6</v>
      </c>
      <c r="M49" s="1171"/>
      <c r="N49" s="1882">
        <v>780</v>
      </c>
      <c r="O49" s="1171"/>
      <c r="P49" s="1883">
        <v>782</v>
      </c>
      <c r="Q49" s="1171"/>
      <c r="R49" s="1884">
        <v>783</v>
      </c>
      <c r="S49" s="1171"/>
      <c r="T49" s="1171"/>
      <c r="V49" s="1073" t="s">
        <v>1857</v>
      </c>
      <c r="W49" s="1073"/>
      <c r="X49" s="1992">
        <v>3856</v>
      </c>
      <c r="Y49" s="1073"/>
      <c r="Z49" s="1993">
        <v>3855</v>
      </c>
      <c r="AA49" s="1073"/>
      <c r="AB49" s="1991">
        <v>745</v>
      </c>
      <c r="AC49" s="1073"/>
      <c r="AD49" s="1989">
        <v>3823</v>
      </c>
      <c r="AF49" s="1073" t="s">
        <v>1873</v>
      </c>
      <c r="AG49" s="1073"/>
      <c r="AH49" s="2038">
        <v>833</v>
      </c>
      <c r="AI49" s="1073"/>
      <c r="AJ49" s="2039">
        <v>782</v>
      </c>
      <c r="AK49" s="1073"/>
      <c r="AL49" s="2040">
        <v>729</v>
      </c>
      <c r="AM49" s="1073"/>
      <c r="AN49" s="2041">
        <v>3829</v>
      </c>
    </row>
    <row r="50" spans="2:40">
      <c r="B50" s="1073"/>
      <c r="C50" s="1073"/>
      <c r="D50" s="1073"/>
      <c r="E50" s="1073"/>
      <c r="F50" s="1073"/>
      <c r="G50" s="1073"/>
      <c r="H50" s="1073"/>
      <c r="I50" s="1073"/>
      <c r="J50" s="1073"/>
      <c r="L50" s="1171"/>
      <c r="M50" s="1171"/>
      <c r="N50" s="1171"/>
      <c r="O50" s="1171"/>
      <c r="P50" s="1171"/>
      <c r="Q50" s="1171"/>
      <c r="R50" s="1171"/>
      <c r="S50" s="1171"/>
      <c r="T50" s="1171"/>
      <c r="V50" s="1073"/>
      <c r="W50" s="1073"/>
      <c r="X50" s="1073"/>
      <c r="Y50" s="1073"/>
      <c r="Z50" s="1073"/>
      <c r="AA50" s="1073"/>
      <c r="AB50" s="1073"/>
      <c r="AC50" s="1073"/>
      <c r="AD50" s="1073"/>
      <c r="AF50" s="1073"/>
      <c r="AG50" s="1073"/>
      <c r="AH50" s="1073"/>
      <c r="AI50" s="1073"/>
      <c r="AJ50" s="1073"/>
      <c r="AK50" s="1073"/>
      <c r="AL50" s="1073"/>
      <c r="AM50" s="1073"/>
      <c r="AN50" s="1073"/>
    </row>
    <row r="51" spans="2:40">
      <c r="B51" s="1073">
        <v>4515</v>
      </c>
      <c r="C51" s="1073"/>
      <c r="D51" s="1073"/>
      <c r="E51" s="1073"/>
      <c r="F51" s="1073"/>
      <c r="G51" s="1073"/>
      <c r="H51" s="1073"/>
      <c r="I51" s="1073"/>
      <c r="J51" s="1073"/>
      <c r="L51" s="1171">
        <v>115</v>
      </c>
      <c r="M51" s="1171"/>
      <c r="N51" s="1171"/>
      <c r="O51" s="1171"/>
      <c r="P51" s="1171"/>
      <c r="Q51" s="1171"/>
      <c r="R51" s="1171"/>
      <c r="S51" s="1171"/>
      <c r="T51" s="1171"/>
      <c r="V51" s="1073">
        <v>4100</v>
      </c>
      <c r="W51" s="1073"/>
      <c r="X51" s="1073"/>
      <c r="Y51" s="1073"/>
      <c r="Z51" s="1073"/>
      <c r="AA51" s="1073"/>
      <c r="AB51" s="1073"/>
      <c r="AC51" s="1073"/>
      <c r="AD51" s="1073"/>
      <c r="AF51" s="1073">
        <v>4135</v>
      </c>
      <c r="AG51" s="1073"/>
      <c r="AH51" s="1073"/>
      <c r="AI51" s="1073"/>
      <c r="AJ51" s="1073"/>
      <c r="AK51" s="1073"/>
      <c r="AL51" s="1073"/>
      <c r="AM51" s="1073"/>
      <c r="AN51" s="1073"/>
    </row>
    <row r="52" spans="2:40">
      <c r="B52" s="1073" t="s">
        <v>1831</v>
      </c>
      <c r="C52" s="1073"/>
      <c r="D52" s="1936">
        <v>839</v>
      </c>
      <c r="E52" s="1073"/>
      <c r="F52" s="1937">
        <v>840</v>
      </c>
      <c r="G52" s="1073"/>
      <c r="H52" s="1938">
        <v>932</v>
      </c>
      <c r="I52" s="1073"/>
      <c r="J52" s="1939">
        <v>930</v>
      </c>
      <c r="L52" s="1171" t="s">
        <v>26</v>
      </c>
      <c r="M52" s="1171"/>
      <c r="N52" s="1878">
        <v>321</v>
      </c>
      <c r="O52" s="1171"/>
      <c r="P52" s="1885">
        <v>815</v>
      </c>
      <c r="Q52" s="1171"/>
      <c r="R52" s="1886">
        <v>902</v>
      </c>
      <c r="S52" s="1171"/>
      <c r="T52" s="1171"/>
      <c r="V52" s="1073" t="s">
        <v>1858</v>
      </c>
      <c r="W52" s="1073"/>
      <c r="X52" s="1993">
        <v>3855</v>
      </c>
      <c r="Y52" s="1073"/>
      <c r="Z52" s="1994">
        <v>3824</v>
      </c>
      <c r="AA52" s="1073"/>
      <c r="AB52" s="1843">
        <v>3825</v>
      </c>
      <c r="AC52" s="1073"/>
      <c r="AD52" s="1995">
        <v>743</v>
      </c>
      <c r="AF52" s="1073" t="s">
        <v>78</v>
      </c>
      <c r="AG52" s="1073"/>
      <c r="AH52" s="2042">
        <v>918</v>
      </c>
      <c r="AI52" s="1073"/>
      <c r="AJ52" s="1949">
        <v>838</v>
      </c>
      <c r="AK52" s="1073"/>
      <c r="AL52" s="1940">
        <v>632</v>
      </c>
      <c r="AM52" s="1073"/>
      <c r="AN52" s="2043">
        <v>898</v>
      </c>
    </row>
    <row r="53" spans="2:40">
      <c r="B53" s="1073"/>
      <c r="C53" s="1073"/>
      <c r="D53" s="1073"/>
      <c r="E53" s="1073"/>
      <c r="F53" s="1073"/>
      <c r="G53" s="1073"/>
      <c r="H53" s="1073"/>
      <c r="I53" s="1073"/>
      <c r="J53" s="1073"/>
      <c r="L53" s="1171"/>
      <c r="M53" s="1171"/>
      <c r="N53" s="1171"/>
      <c r="O53" s="1171"/>
      <c r="P53" s="1171"/>
      <c r="Q53" s="1171"/>
      <c r="R53" s="1171"/>
      <c r="S53" s="1171"/>
      <c r="T53" s="1171"/>
      <c r="V53" s="1073"/>
      <c r="W53" s="1073"/>
      <c r="X53" s="1073"/>
      <c r="Y53" s="1073"/>
      <c r="Z53" s="1073"/>
      <c r="AA53" s="1073"/>
      <c r="AB53" s="1073"/>
      <c r="AC53" s="1073"/>
      <c r="AD53" s="1073"/>
      <c r="AF53" s="1073"/>
      <c r="AG53" s="1073"/>
      <c r="AH53" s="1073"/>
      <c r="AI53" s="1073"/>
      <c r="AJ53" s="1073"/>
      <c r="AK53" s="1073"/>
      <c r="AL53" s="1073"/>
      <c r="AM53" s="1073"/>
      <c r="AN53" s="1073"/>
    </row>
    <row r="54" spans="2:40">
      <c r="B54" s="1073">
        <v>4516</v>
      </c>
      <c r="C54" s="1073"/>
      <c r="D54" s="1073"/>
      <c r="E54" s="1073"/>
      <c r="F54" s="1073"/>
      <c r="G54" s="1073"/>
      <c r="H54" s="1073"/>
      <c r="I54" s="1073"/>
      <c r="J54" s="1073"/>
      <c r="L54" s="1171">
        <v>121</v>
      </c>
      <c r="M54" s="1171"/>
      <c r="N54" s="1171"/>
      <c r="O54" s="1171"/>
      <c r="P54" s="1171"/>
      <c r="Q54" s="1171"/>
      <c r="R54" s="1171"/>
      <c r="S54" s="1171"/>
      <c r="T54" s="1171"/>
      <c r="V54" s="1073">
        <v>4110</v>
      </c>
      <c r="W54" s="1073"/>
      <c r="X54" s="1073"/>
      <c r="Y54" s="1073"/>
      <c r="Z54" s="1073"/>
      <c r="AA54" s="1073"/>
      <c r="AB54" s="1073"/>
      <c r="AC54" s="1073"/>
      <c r="AD54" s="1073"/>
      <c r="AF54" s="1073">
        <v>4205</v>
      </c>
      <c r="AG54" s="1073"/>
      <c r="AH54" s="1073"/>
      <c r="AI54" s="1073"/>
      <c r="AJ54" s="1073"/>
      <c r="AK54" s="1073"/>
      <c r="AL54" s="1073"/>
      <c r="AM54" s="1073"/>
      <c r="AN54" s="1073"/>
    </row>
    <row r="55" spans="2:40">
      <c r="B55" s="1073" t="s">
        <v>1832</v>
      </c>
      <c r="C55" s="1073"/>
      <c r="D55" s="1936">
        <v>839</v>
      </c>
      <c r="E55" s="1073"/>
      <c r="F55" s="1940">
        <v>632</v>
      </c>
      <c r="G55" s="1073"/>
      <c r="H55" s="1941">
        <v>712</v>
      </c>
      <c r="I55" s="1073"/>
      <c r="J55" s="1942">
        <v>498</v>
      </c>
      <c r="L55" s="1171" t="s">
        <v>64</v>
      </c>
      <c r="M55" s="1171"/>
      <c r="N55" s="1887">
        <v>157</v>
      </c>
      <c r="O55" s="1171"/>
      <c r="P55" s="1865">
        <v>796</v>
      </c>
      <c r="Q55" s="1171"/>
      <c r="R55" s="1864">
        <v>798</v>
      </c>
      <c r="S55" s="1171"/>
      <c r="T55" s="1171"/>
      <c r="V55" s="1073" t="s">
        <v>1859</v>
      </c>
      <c r="W55" s="1073"/>
      <c r="X55" s="1996">
        <v>3708</v>
      </c>
      <c r="Y55" s="1073"/>
      <c r="Z55" s="1877">
        <v>3341</v>
      </c>
      <c r="AA55" s="1073"/>
      <c r="AB55" s="1994">
        <v>3824</v>
      </c>
      <c r="AC55" s="1073"/>
      <c r="AD55" s="1876">
        <v>967</v>
      </c>
      <c r="AF55" s="1073" t="s">
        <v>1874</v>
      </c>
      <c r="AG55" s="1073"/>
      <c r="AH55" s="2002">
        <v>3801</v>
      </c>
      <c r="AI55" s="1073"/>
      <c r="AJ55" s="1878">
        <v>321</v>
      </c>
      <c r="AK55" s="1073"/>
      <c r="AL55" s="2044">
        <v>817</v>
      </c>
      <c r="AM55" s="1073"/>
      <c r="AN55" s="2045">
        <v>814</v>
      </c>
    </row>
    <row r="56" spans="2:40">
      <c r="B56" s="1073"/>
      <c r="C56" s="1073"/>
      <c r="D56" s="1073"/>
      <c r="E56" s="1073"/>
      <c r="F56" s="1073"/>
      <c r="G56" s="1073"/>
      <c r="H56" s="1073"/>
      <c r="I56" s="1073"/>
      <c r="J56" s="1073"/>
      <c r="L56" s="1171"/>
      <c r="M56" s="1171"/>
      <c r="N56" s="1171"/>
      <c r="O56" s="1171"/>
      <c r="P56" s="1171"/>
      <c r="Q56" s="1171"/>
      <c r="R56" s="1171"/>
      <c r="S56" s="1171"/>
      <c r="T56" s="1171"/>
      <c r="V56" s="1073"/>
      <c r="W56" s="1073"/>
      <c r="X56" s="1073"/>
      <c r="Y56" s="1073"/>
      <c r="Z56" s="1073"/>
      <c r="AA56" s="1073"/>
      <c r="AB56" s="1073"/>
      <c r="AC56" s="1073"/>
      <c r="AD56" s="1073"/>
      <c r="AF56" s="1073"/>
      <c r="AG56" s="1073"/>
      <c r="AH56" s="1073"/>
      <c r="AI56" s="1073"/>
      <c r="AJ56" s="1073"/>
      <c r="AK56" s="1073"/>
      <c r="AL56" s="1073"/>
      <c r="AM56" s="1073"/>
      <c r="AN56" s="1073"/>
    </row>
    <row r="57" spans="2:40">
      <c r="B57" s="1073">
        <v>4517</v>
      </c>
      <c r="C57" s="1073"/>
      <c r="D57" s="1073"/>
      <c r="E57" s="1073"/>
      <c r="F57" s="1073"/>
      <c r="G57" s="1073"/>
      <c r="H57" s="1073"/>
      <c r="I57" s="1073"/>
      <c r="J57" s="1073"/>
      <c r="L57" s="1171">
        <v>125</v>
      </c>
      <c r="M57" s="1171"/>
      <c r="N57" s="1171"/>
      <c r="O57" s="1171"/>
      <c r="P57" s="1171"/>
      <c r="Q57" s="1171"/>
      <c r="R57" s="1171"/>
      <c r="S57" s="1171"/>
      <c r="T57" s="1171"/>
      <c r="V57" s="1073">
        <v>4120</v>
      </c>
      <c r="W57" s="1073"/>
      <c r="X57" s="1073"/>
      <c r="Y57" s="1073"/>
      <c r="Z57" s="1073"/>
      <c r="AA57" s="1073"/>
      <c r="AB57" s="1073"/>
      <c r="AC57" s="1073"/>
      <c r="AD57" s="1073"/>
      <c r="AF57" s="1073">
        <v>4211</v>
      </c>
      <c r="AG57" s="1073"/>
      <c r="AH57" s="1073"/>
      <c r="AI57" s="1073"/>
      <c r="AJ57" s="1073"/>
      <c r="AK57" s="1073"/>
      <c r="AL57" s="1073"/>
      <c r="AM57" s="1073"/>
      <c r="AN57" s="1073"/>
    </row>
    <row r="58" spans="2:40">
      <c r="B58" s="1073" t="s">
        <v>1833</v>
      </c>
      <c r="C58" s="1073"/>
      <c r="D58" s="1943">
        <v>350</v>
      </c>
      <c r="E58" s="1073"/>
      <c r="F58" s="1944">
        <v>502</v>
      </c>
      <c r="G58" s="1073"/>
      <c r="H58" s="1945">
        <v>816</v>
      </c>
      <c r="I58" s="1073"/>
      <c r="J58" s="1946">
        <v>891</v>
      </c>
      <c r="L58" s="1171" t="s">
        <v>1814</v>
      </c>
      <c r="M58" s="1171"/>
      <c r="N58" s="1888">
        <v>909</v>
      </c>
      <c r="O58" s="1171"/>
      <c r="P58" s="1889">
        <v>912</v>
      </c>
      <c r="Q58" s="1171"/>
      <c r="R58" s="1890">
        <v>913</v>
      </c>
      <c r="S58" s="1171"/>
      <c r="T58" s="1891">
        <v>955</v>
      </c>
      <c r="V58" s="1073" t="s">
        <v>1860</v>
      </c>
      <c r="W58" s="1073"/>
      <c r="X58" s="1997">
        <v>722</v>
      </c>
      <c r="Y58" s="1073"/>
      <c r="Z58" s="1998">
        <v>351</v>
      </c>
      <c r="AA58" s="1073"/>
      <c r="AB58" s="1999">
        <v>352</v>
      </c>
      <c r="AC58" s="1073"/>
      <c r="AD58" s="1992">
        <v>3856</v>
      </c>
      <c r="AF58" s="1073" t="s">
        <v>1875</v>
      </c>
      <c r="AG58" s="1073"/>
      <c r="AH58" s="1879">
        <v>326</v>
      </c>
      <c r="AI58" s="1073"/>
      <c r="AJ58" s="2046">
        <v>718</v>
      </c>
      <c r="AK58" s="1073"/>
      <c r="AL58" s="2047">
        <v>327</v>
      </c>
      <c r="AM58" s="1073"/>
      <c r="AN58" s="2048">
        <v>210</v>
      </c>
    </row>
    <row r="59" spans="2:40">
      <c r="B59" s="1073"/>
      <c r="C59" s="1073"/>
      <c r="D59" s="1073"/>
      <c r="E59" s="1073"/>
      <c r="F59" s="1073"/>
      <c r="G59" s="1073"/>
      <c r="H59" s="1073"/>
      <c r="I59" s="1073"/>
      <c r="J59" s="1073"/>
      <c r="AF59" s="1073"/>
      <c r="AG59" s="1073"/>
      <c r="AH59" s="1073"/>
      <c r="AI59" s="1073"/>
      <c r="AJ59" s="1073"/>
      <c r="AK59" s="1073"/>
      <c r="AL59" s="1073"/>
      <c r="AM59" s="1073"/>
      <c r="AN59" s="1073"/>
    </row>
    <row r="60" spans="2:40">
      <c r="B60" s="1073">
        <v>4518</v>
      </c>
      <c r="C60" s="1073"/>
      <c r="D60" s="1073"/>
      <c r="E60" s="1073"/>
      <c r="F60" s="1073"/>
      <c r="G60" s="1073"/>
      <c r="H60" s="1073"/>
      <c r="I60" s="1073"/>
      <c r="J60" s="1073"/>
      <c r="V60" s="1073">
        <v>4010</v>
      </c>
      <c r="W60" s="1073"/>
      <c r="X60" s="1073"/>
      <c r="Y60" s="1073"/>
      <c r="Z60" s="1073"/>
      <c r="AA60" s="1073"/>
      <c r="AB60" s="1073"/>
      <c r="AC60" s="1073"/>
      <c r="AD60" s="1073"/>
      <c r="AF60" s="1073">
        <v>4212</v>
      </c>
      <c r="AG60" s="1073"/>
      <c r="AH60" s="1073"/>
      <c r="AI60" s="1073"/>
      <c r="AJ60" s="1073"/>
      <c r="AK60" s="1073"/>
      <c r="AL60" s="1073"/>
      <c r="AM60" s="1073"/>
      <c r="AN60" s="1073"/>
    </row>
    <row r="61" spans="2:40">
      <c r="B61" s="1073" t="s">
        <v>1834</v>
      </c>
      <c r="C61" s="1073"/>
      <c r="D61" s="1947">
        <v>779</v>
      </c>
      <c r="E61" s="1073"/>
      <c r="F61" s="1948">
        <v>3861</v>
      </c>
      <c r="G61" s="1073"/>
      <c r="H61" s="1908">
        <v>3051</v>
      </c>
      <c r="I61" s="1073"/>
      <c r="J61" s="1885">
        <v>815</v>
      </c>
      <c r="V61" s="1073" t="s">
        <v>1843</v>
      </c>
      <c r="W61" s="1073"/>
      <c r="X61" s="478">
        <v>162</v>
      </c>
      <c r="Y61" s="1073"/>
      <c r="Z61" s="265">
        <v>762</v>
      </c>
      <c r="AA61" s="1073"/>
      <c r="AB61" s="53">
        <v>415</v>
      </c>
      <c r="AC61" s="1073"/>
      <c r="AD61" s="475">
        <v>159</v>
      </c>
      <c r="AF61" s="1073" t="s">
        <v>1876</v>
      </c>
      <c r="AG61" s="1073"/>
      <c r="AH61" s="1847">
        <v>550</v>
      </c>
      <c r="AI61" s="1073"/>
      <c r="AJ61" s="2049">
        <v>791</v>
      </c>
      <c r="AK61" s="1073"/>
      <c r="AL61" s="1945">
        <v>816</v>
      </c>
      <c r="AM61" s="1073"/>
      <c r="AN61" s="2045">
        <v>814</v>
      </c>
    </row>
    <row r="62" spans="2:40">
      <c r="B62" s="1073"/>
      <c r="C62" s="1073"/>
      <c r="D62" s="1073"/>
      <c r="E62" s="1073"/>
      <c r="F62" s="1073"/>
      <c r="G62" s="1073"/>
      <c r="H62" s="1073"/>
      <c r="I62" s="1073"/>
      <c r="J62" s="1073"/>
      <c r="V62" s="1073"/>
      <c r="W62" s="1073"/>
      <c r="X62" s="1073"/>
      <c r="Y62" s="1073"/>
      <c r="Z62" s="1073"/>
      <c r="AA62" s="1073"/>
      <c r="AB62" s="1073"/>
      <c r="AC62" s="1073"/>
      <c r="AD62" s="1073"/>
      <c r="AF62" s="1073"/>
      <c r="AG62" s="1073"/>
      <c r="AH62" s="1073"/>
      <c r="AI62" s="1073"/>
      <c r="AJ62" s="1073"/>
      <c r="AK62" s="1073"/>
      <c r="AL62" s="1073"/>
      <c r="AM62" s="1073"/>
      <c r="AN62" s="1073"/>
    </row>
    <row r="63" spans="2:40">
      <c r="B63" s="1073">
        <v>4519</v>
      </c>
      <c r="C63" s="1073"/>
      <c r="D63" s="1073"/>
      <c r="E63" s="1073"/>
      <c r="F63" s="1073"/>
      <c r="G63" s="1073"/>
      <c r="H63" s="1073"/>
      <c r="I63" s="1073"/>
      <c r="J63" s="1073"/>
      <c r="V63" s="1073">
        <v>4015</v>
      </c>
      <c r="W63" s="1073"/>
      <c r="X63" s="1073"/>
      <c r="Y63" s="1073"/>
      <c r="Z63" s="1073"/>
      <c r="AA63" s="1073"/>
      <c r="AB63" s="1073"/>
      <c r="AC63" s="1073"/>
      <c r="AD63" s="1073"/>
      <c r="AF63" s="1073">
        <v>4214</v>
      </c>
      <c r="AG63" s="1073"/>
      <c r="AH63" s="1073"/>
      <c r="AI63" s="1073"/>
      <c r="AJ63" s="1073"/>
      <c r="AK63" s="1073"/>
      <c r="AL63" s="1073"/>
      <c r="AM63" s="1073"/>
      <c r="AN63" s="1073"/>
    </row>
    <row r="64" spans="2:40">
      <c r="B64" s="1073" t="s">
        <v>1835</v>
      </c>
      <c r="C64" s="1073"/>
      <c r="D64" s="1949">
        <v>838</v>
      </c>
      <c r="E64" s="1073"/>
      <c r="F64" s="1950">
        <v>500</v>
      </c>
      <c r="G64" s="1073"/>
      <c r="H64" s="1942">
        <v>498</v>
      </c>
      <c r="I64" s="1073"/>
      <c r="J64" s="1878">
        <v>321</v>
      </c>
      <c r="V64" s="1073" t="s">
        <v>1844</v>
      </c>
      <c r="W64" s="1073"/>
      <c r="X64" s="1849">
        <v>168</v>
      </c>
      <c r="Y64" s="1073"/>
      <c r="Z64" s="1961">
        <v>415</v>
      </c>
      <c r="AA64" s="1073"/>
      <c r="AB64" s="1962">
        <v>762</v>
      </c>
      <c r="AC64" s="1073"/>
      <c r="AD64" s="1963">
        <v>3072</v>
      </c>
      <c r="AF64" s="1073" t="s">
        <v>1877</v>
      </c>
      <c r="AG64" s="1073"/>
      <c r="AH64" s="2050">
        <v>151</v>
      </c>
      <c r="AI64" s="1073"/>
      <c r="AJ64" s="2051">
        <v>322</v>
      </c>
      <c r="AK64" s="1073"/>
      <c r="AL64" s="2052">
        <v>819</v>
      </c>
      <c r="AM64" s="1073"/>
      <c r="AN64" s="1852">
        <v>162</v>
      </c>
    </row>
    <row r="65" spans="2:40">
      <c r="B65" s="1073"/>
      <c r="C65" s="1073"/>
      <c r="D65" s="1073"/>
      <c r="E65" s="1073"/>
      <c r="F65" s="1073"/>
      <c r="G65" s="1073"/>
      <c r="H65" s="1073"/>
      <c r="I65" s="1073"/>
      <c r="J65" s="1073"/>
      <c r="V65" s="1073"/>
      <c r="W65" s="1073"/>
      <c r="X65" s="1073"/>
      <c r="Y65" s="1073"/>
      <c r="Z65" s="1073"/>
      <c r="AA65" s="1073"/>
      <c r="AB65" s="1073"/>
      <c r="AC65" s="1073"/>
      <c r="AD65" s="1073"/>
      <c r="AF65" s="1073"/>
      <c r="AG65" s="1073"/>
      <c r="AH65" s="1073"/>
      <c r="AI65" s="1073"/>
      <c r="AJ65" s="1073"/>
      <c r="AK65" s="1073"/>
      <c r="AL65" s="1073"/>
      <c r="AM65" s="1073"/>
      <c r="AN65" s="1073"/>
    </row>
    <row r="66" spans="2:40">
      <c r="B66" s="1073">
        <v>4520</v>
      </c>
      <c r="C66" s="1073"/>
      <c r="D66" s="1073"/>
      <c r="E66" s="1073"/>
      <c r="F66" s="1073"/>
      <c r="G66" s="1073"/>
      <c r="H66" s="1073"/>
      <c r="I66" s="1073"/>
      <c r="J66" s="1073"/>
      <c r="V66" s="1073">
        <v>4020</v>
      </c>
      <c r="W66" s="1073"/>
      <c r="X66" s="1073"/>
      <c r="Y66" s="1073"/>
      <c r="Z66" s="1073"/>
      <c r="AA66" s="1073"/>
      <c r="AB66" s="1073"/>
      <c r="AC66" s="1073"/>
      <c r="AD66" s="1073"/>
      <c r="AF66" s="1073">
        <v>4237</v>
      </c>
      <c r="AG66" s="1073"/>
      <c r="AH66" s="1073"/>
      <c r="AI66" s="1073"/>
      <c r="AJ66" s="1073"/>
      <c r="AK66" s="1073"/>
      <c r="AL66" s="1073"/>
      <c r="AM66" s="1073"/>
      <c r="AN66" s="1073"/>
    </row>
    <row r="67" spans="2:40">
      <c r="B67" s="1073" t="s">
        <v>1836</v>
      </c>
      <c r="C67" s="1073"/>
      <c r="D67" s="1878">
        <v>321</v>
      </c>
      <c r="E67" s="1073"/>
      <c r="F67" s="1073" t="s">
        <v>1001</v>
      </c>
      <c r="G67" s="1073"/>
      <c r="H67" s="1951">
        <v>369</v>
      </c>
      <c r="I67" s="1073"/>
      <c r="J67" s="1952">
        <v>911</v>
      </c>
      <c r="V67" s="1073" t="s">
        <v>1845</v>
      </c>
      <c r="W67" s="1073"/>
      <c r="X67" s="1957">
        <v>3840</v>
      </c>
      <c r="Y67" s="1073"/>
      <c r="Z67" s="1964">
        <v>3766</v>
      </c>
      <c r="AA67" s="1073"/>
      <c r="AB67" s="1965">
        <v>747</v>
      </c>
      <c r="AC67" s="1073"/>
      <c r="AD67" s="1966">
        <v>3761</v>
      </c>
      <c r="AF67" s="1073" t="s">
        <v>1878</v>
      </c>
      <c r="AG67" s="1073"/>
      <c r="AH67" s="1864">
        <v>798</v>
      </c>
      <c r="AI67" s="1073"/>
      <c r="AJ67" s="2053">
        <v>747</v>
      </c>
      <c r="AK67" s="1073"/>
      <c r="AL67" s="2004">
        <v>803</v>
      </c>
      <c r="AM67" s="1073"/>
      <c r="AN67" s="2054">
        <v>806</v>
      </c>
    </row>
    <row r="68" spans="2:40">
      <c r="B68" s="1073"/>
      <c r="C68" s="1073"/>
      <c r="D68" s="1073"/>
      <c r="E68" s="1073"/>
      <c r="F68" s="1073"/>
      <c r="G68" s="1073"/>
      <c r="H68" s="1073"/>
      <c r="I68" s="1073"/>
      <c r="J68" s="1073"/>
      <c r="V68" s="1073"/>
      <c r="W68" s="1073"/>
      <c r="X68" s="1073"/>
      <c r="Y68" s="1073"/>
      <c r="Z68" s="1073"/>
      <c r="AA68" s="1073"/>
      <c r="AB68" s="1073"/>
      <c r="AC68" s="1073"/>
      <c r="AD68" s="1073"/>
      <c r="AF68" s="1073"/>
      <c r="AG68" s="1073"/>
      <c r="AH68" s="1073"/>
      <c r="AI68" s="1073"/>
      <c r="AJ68" s="1073"/>
      <c r="AK68" s="1073"/>
      <c r="AL68" s="1073"/>
      <c r="AM68" s="1073"/>
      <c r="AN68" s="1073"/>
    </row>
    <row r="69" spans="2:40">
      <c r="B69" s="1073">
        <v>4521</v>
      </c>
      <c r="C69" s="1073"/>
      <c r="D69" s="1073"/>
      <c r="E69" s="1073"/>
      <c r="F69" s="1073"/>
      <c r="G69" s="1073"/>
      <c r="H69" s="1073"/>
      <c r="I69" s="1073"/>
      <c r="J69" s="1073"/>
      <c r="V69" s="1073">
        <v>4025</v>
      </c>
      <c r="W69" s="1073"/>
      <c r="X69" s="1073"/>
      <c r="Y69" s="1073"/>
      <c r="Z69" s="1073"/>
      <c r="AA69" s="1073"/>
      <c r="AB69" s="1073"/>
      <c r="AC69" s="1073"/>
      <c r="AD69" s="1073"/>
      <c r="AF69" s="1073">
        <v>4245</v>
      </c>
      <c r="AG69" s="1073"/>
      <c r="AH69" s="1073"/>
      <c r="AI69" s="1073"/>
      <c r="AJ69" s="1073"/>
      <c r="AK69" s="1073"/>
      <c r="AL69" s="1073"/>
      <c r="AM69" s="1073"/>
      <c r="AN69" s="1073"/>
    </row>
    <row r="70" spans="2:40">
      <c r="B70" s="1073" t="s">
        <v>1837</v>
      </c>
      <c r="C70" s="1073"/>
      <c r="D70" s="1953">
        <v>3023</v>
      </c>
      <c r="E70" s="1073"/>
      <c r="F70" s="1954">
        <v>934</v>
      </c>
      <c r="G70" s="1073"/>
      <c r="H70" s="1955">
        <v>834</v>
      </c>
      <c r="I70" s="1073"/>
      <c r="J70" s="1956">
        <v>3031</v>
      </c>
      <c r="V70" s="1073" t="s">
        <v>1846</v>
      </c>
      <c r="W70" s="1073"/>
      <c r="X70" s="1934">
        <v>3809</v>
      </c>
      <c r="Y70" s="1073"/>
      <c r="Z70" s="1967">
        <v>3810</v>
      </c>
      <c r="AA70" s="1073"/>
      <c r="AB70" s="1968">
        <v>597</v>
      </c>
      <c r="AC70" s="1073"/>
      <c r="AD70" s="1073"/>
      <c r="AF70" s="1073" t="s">
        <v>1879</v>
      </c>
      <c r="AG70" s="1073"/>
      <c r="AH70" s="1847">
        <v>550</v>
      </c>
      <c r="AI70" s="1073"/>
      <c r="AJ70" s="2049">
        <v>791</v>
      </c>
      <c r="AK70" s="1073"/>
      <c r="AL70" s="1865">
        <v>796</v>
      </c>
      <c r="AM70" s="1073"/>
      <c r="AN70" s="2055">
        <v>939</v>
      </c>
    </row>
    <row r="71" spans="2:40">
      <c r="B71" s="1073"/>
      <c r="C71" s="1073"/>
      <c r="D71" s="1073"/>
      <c r="E71" s="1073"/>
      <c r="F71" s="1073"/>
      <c r="G71" s="1073"/>
      <c r="H71" s="1073"/>
      <c r="I71" s="1073"/>
      <c r="J71" s="1073"/>
      <c r="V71" s="1073"/>
      <c r="W71" s="1073"/>
      <c r="X71" s="1073"/>
      <c r="Y71" s="1073"/>
      <c r="Z71" s="1073"/>
      <c r="AA71" s="1073"/>
      <c r="AB71" s="1073"/>
      <c r="AC71" s="1073"/>
      <c r="AD71" s="1073"/>
      <c r="AF71" s="1073"/>
      <c r="AG71" s="1073"/>
      <c r="AH71" s="1073"/>
      <c r="AI71" s="1073"/>
      <c r="AJ71" s="1073"/>
      <c r="AK71" s="1073"/>
      <c r="AL71" s="1073"/>
      <c r="AM71" s="1073"/>
      <c r="AN71" s="1073"/>
    </row>
    <row r="72" spans="2:40">
      <c r="B72" s="1073">
        <v>4522</v>
      </c>
      <c r="C72" s="1073"/>
      <c r="D72" s="1073"/>
      <c r="E72" s="1073"/>
      <c r="F72" s="1073"/>
      <c r="G72" s="1073"/>
      <c r="H72" s="1073"/>
      <c r="I72" s="1073"/>
      <c r="J72" s="1073"/>
      <c r="V72" s="1073">
        <v>4030</v>
      </c>
      <c r="W72" s="1073"/>
      <c r="X72" s="1073"/>
      <c r="Y72" s="1073"/>
      <c r="Z72" s="1073"/>
      <c r="AA72" s="1073"/>
      <c r="AB72" s="1073"/>
      <c r="AC72" s="1073"/>
      <c r="AD72" s="1073"/>
      <c r="AF72" s="1073">
        <v>4250</v>
      </c>
      <c r="AG72" s="1073"/>
      <c r="AH72" s="1073"/>
      <c r="AI72" s="1073"/>
      <c r="AJ72" s="1073"/>
      <c r="AK72" s="1073"/>
      <c r="AL72" s="1073"/>
      <c r="AM72" s="1073"/>
      <c r="AN72" s="1073"/>
    </row>
    <row r="73" spans="2:40">
      <c r="B73" s="1073" t="s">
        <v>1838</v>
      </c>
      <c r="C73" s="1073"/>
      <c r="D73" s="1949">
        <v>838</v>
      </c>
      <c r="E73" s="1073"/>
      <c r="F73" s="1900">
        <v>3834</v>
      </c>
      <c r="G73" s="1073"/>
      <c r="H73" s="1851">
        <v>3799</v>
      </c>
      <c r="I73" s="1073"/>
      <c r="J73" s="1940">
        <v>632</v>
      </c>
      <c r="V73" s="1073" t="s">
        <v>1847</v>
      </c>
      <c r="W73" s="1073"/>
      <c r="X73" s="1969">
        <v>931</v>
      </c>
      <c r="Y73" s="1073"/>
      <c r="Z73" s="1968">
        <v>597</v>
      </c>
      <c r="AA73" s="1073"/>
      <c r="AB73" s="1967">
        <v>3810</v>
      </c>
      <c r="AC73" s="1073"/>
      <c r="AD73" s="1970">
        <v>992</v>
      </c>
      <c r="AF73" s="1073" t="s">
        <v>1880</v>
      </c>
      <c r="AG73" s="1073"/>
      <c r="AH73" s="2056">
        <v>208</v>
      </c>
      <c r="AI73" s="1073"/>
      <c r="AJ73" s="2057">
        <v>211</v>
      </c>
      <c r="AK73" s="1073"/>
      <c r="AL73" s="2058">
        <v>797</v>
      </c>
      <c r="AM73" s="1073"/>
      <c r="AN73" s="2059">
        <v>340</v>
      </c>
    </row>
    <row r="74" spans="2:40">
      <c r="B74" s="1073"/>
      <c r="C74" s="1073"/>
      <c r="D74" s="1073"/>
      <c r="E74" s="1073"/>
      <c r="F74" s="1073"/>
      <c r="G74" s="1073"/>
      <c r="H74" s="1073"/>
      <c r="I74" s="1073"/>
      <c r="J74" s="1073"/>
      <c r="V74" s="1073"/>
      <c r="W74" s="1073"/>
      <c r="X74" s="1073"/>
      <c r="Y74" s="1073"/>
      <c r="Z74" s="1073"/>
      <c r="AA74" s="1073"/>
      <c r="AB74" s="1073"/>
      <c r="AC74" s="1073"/>
      <c r="AD74" s="1073"/>
      <c r="AF74" s="1073"/>
      <c r="AG74" s="1073"/>
      <c r="AH74" s="1073"/>
      <c r="AI74" s="1073"/>
      <c r="AJ74" s="1073"/>
      <c r="AK74" s="1073"/>
      <c r="AL74" s="1073"/>
      <c r="AM74" s="1073"/>
      <c r="AN74" s="1073"/>
    </row>
    <row r="75" spans="2:40">
      <c r="B75" s="1073">
        <v>4523</v>
      </c>
      <c r="C75" s="1073"/>
      <c r="D75" s="1073"/>
      <c r="E75" s="1073"/>
      <c r="F75" s="1073"/>
      <c r="G75" s="1073"/>
      <c r="H75" s="1073"/>
      <c r="I75" s="1073"/>
      <c r="J75" s="1073"/>
      <c r="V75" s="1073">
        <v>4040</v>
      </c>
      <c r="W75" s="1073"/>
      <c r="X75" s="1073"/>
      <c r="Y75" s="1073"/>
      <c r="Z75" s="1073"/>
      <c r="AA75" s="1073"/>
      <c r="AB75" s="1073"/>
      <c r="AC75" s="1073"/>
      <c r="AD75" s="1073"/>
      <c r="AF75" s="1073">
        <v>4255</v>
      </c>
      <c r="AG75" s="1073"/>
      <c r="AH75" s="1073"/>
      <c r="AI75" s="1073"/>
      <c r="AJ75" s="1073"/>
      <c r="AK75" s="1073"/>
      <c r="AL75" s="1073"/>
      <c r="AM75" s="1073"/>
      <c r="AN75" s="1073"/>
    </row>
    <row r="76" spans="2:40">
      <c r="B76" s="1073" t="s">
        <v>1839</v>
      </c>
      <c r="C76" s="1073"/>
      <c r="D76" s="1957">
        <v>3840</v>
      </c>
      <c r="E76" s="1073"/>
      <c r="F76" s="1958">
        <v>210</v>
      </c>
      <c r="G76" s="1073"/>
      <c r="H76" s="1959">
        <v>451</v>
      </c>
      <c r="I76" s="1073"/>
      <c r="J76" s="1960">
        <v>613</v>
      </c>
      <c r="V76" s="1073" t="s">
        <v>1848</v>
      </c>
      <c r="W76" s="1073"/>
      <c r="X76" s="1965">
        <v>747</v>
      </c>
      <c r="Y76" s="1073"/>
      <c r="Z76" s="1971">
        <v>958</v>
      </c>
      <c r="AA76" s="1073"/>
      <c r="AB76" s="1972">
        <v>964</v>
      </c>
      <c r="AC76" s="1073"/>
      <c r="AD76" s="1891">
        <v>955</v>
      </c>
      <c r="AF76" s="1073" t="s">
        <v>1881</v>
      </c>
      <c r="AG76" s="1073"/>
      <c r="AH76" s="1073" t="s">
        <v>1001</v>
      </c>
      <c r="AI76" s="1073"/>
      <c r="AJ76" s="2060">
        <v>554</v>
      </c>
      <c r="AK76" s="1073"/>
      <c r="AL76" s="1848">
        <v>3837</v>
      </c>
      <c r="AM76" s="1073"/>
      <c r="AN76" s="1847">
        <v>550</v>
      </c>
    </row>
    <row r="77" spans="2:40">
      <c r="V77" s="1073"/>
      <c r="W77" s="1073"/>
      <c r="X77" s="1073"/>
      <c r="Y77" s="1073"/>
      <c r="Z77" s="1073"/>
      <c r="AA77" s="1073"/>
      <c r="AB77" s="1073"/>
      <c r="AC77" s="1073"/>
      <c r="AD77" s="1073"/>
      <c r="AF77" s="1073"/>
      <c r="AG77" s="1073"/>
      <c r="AH77" s="1073"/>
      <c r="AI77" s="1073"/>
      <c r="AJ77" s="1073"/>
      <c r="AK77" s="1073"/>
      <c r="AL77" s="1073"/>
      <c r="AM77" s="1073"/>
      <c r="AN77" s="1073"/>
    </row>
    <row r="78" spans="2:40">
      <c r="V78" s="1073">
        <v>4045</v>
      </c>
      <c r="W78" s="1073"/>
      <c r="X78" s="1073"/>
      <c r="Y78" s="1073"/>
      <c r="Z78" s="1073"/>
      <c r="AA78" s="1073"/>
      <c r="AB78" s="1073"/>
      <c r="AC78" s="1073"/>
      <c r="AD78" s="1073"/>
      <c r="AF78" s="1073">
        <v>4260</v>
      </c>
      <c r="AG78" s="1073"/>
      <c r="AH78" s="1073"/>
      <c r="AI78" s="1073"/>
      <c r="AJ78" s="1073"/>
      <c r="AK78" s="1073"/>
      <c r="AL78" s="1073"/>
      <c r="AM78" s="1073"/>
      <c r="AN78" s="1073"/>
    </row>
    <row r="79" spans="2:40">
      <c r="V79" s="1073" t="s">
        <v>1849</v>
      </c>
      <c r="W79" s="1073"/>
      <c r="X79" s="1973">
        <v>319</v>
      </c>
      <c r="Y79" s="1073"/>
      <c r="Z79" s="1974">
        <v>367</v>
      </c>
      <c r="AA79" s="1073"/>
      <c r="AB79" s="1975">
        <v>320</v>
      </c>
      <c r="AC79" s="1073"/>
      <c r="AD79" s="1073"/>
      <c r="AF79" s="1073" t="s">
        <v>1882</v>
      </c>
      <c r="AG79" s="1073"/>
      <c r="AH79" s="2061">
        <v>3609</v>
      </c>
      <c r="AI79" s="1073"/>
      <c r="AJ79" s="2062">
        <v>3608</v>
      </c>
      <c r="AK79" s="1073"/>
      <c r="AL79" s="2056">
        <v>208</v>
      </c>
      <c r="AM79" s="1073"/>
      <c r="AN79" s="1925">
        <v>3836</v>
      </c>
    </row>
    <row r="80" spans="2:40">
      <c r="V80" s="1073"/>
      <c r="W80" s="1073"/>
      <c r="X80" s="1073"/>
      <c r="Y80" s="1073"/>
      <c r="Z80" s="1073"/>
      <c r="AA80" s="1073"/>
      <c r="AB80" s="1073"/>
      <c r="AC80" s="1073"/>
      <c r="AD80" s="1073"/>
      <c r="AF80" s="1073"/>
      <c r="AG80" s="1073"/>
      <c r="AH80" s="1073"/>
      <c r="AI80" s="1073"/>
      <c r="AJ80" s="1073"/>
      <c r="AK80" s="1073"/>
      <c r="AL80" s="1073"/>
      <c r="AM80" s="1073"/>
      <c r="AN80" s="1073"/>
    </row>
    <row r="81" spans="22:40">
      <c r="V81" s="1073">
        <v>4050</v>
      </c>
      <c r="W81" s="1073"/>
      <c r="X81" s="1073"/>
      <c r="Y81" s="1073"/>
      <c r="Z81" s="1073"/>
      <c r="AA81" s="1073"/>
      <c r="AB81" s="1073"/>
      <c r="AC81" s="1073"/>
      <c r="AD81" s="1073"/>
      <c r="AF81" s="1073">
        <v>4265</v>
      </c>
      <c r="AG81" s="1073"/>
      <c r="AH81" s="1073"/>
      <c r="AI81" s="1073"/>
      <c r="AJ81" s="1073"/>
      <c r="AK81" s="1073"/>
      <c r="AL81" s="1073"/>
      <c r="AM81" s="1073"/>
      <c r="AN81" s="1073"/>
    </row>
    <row r="82" spans="22:40">
      <c r="V82" s="1073" t="s">
        <v>1850</v>
      </c>
      <c r="W82" s="1073"/>
      <c r="X82" s="1970">
        <v>992</v>
      </c>
      <c r="Y82" s="1073"/>
      <c r="Z82" s="1976">
        <v>703</v>
      </c>
      <c r="AA82" s="1073"/>
      <c r="AB82" s="1977">
        <v>907</v>
      </c>
      <c r="AC82" s="1073"/>
      <c r="AD82" s="1978">
        <v>581</v>
      </c>
      <c r="AF82" s="1073" t="s">
        <v>1883</v>
      </c>
      <c r="AG82" s="1073"/>
      <c r="AH82" s="2056">
        <v>208</v>
      </c>
      <c r="AI82" s="1073"/>
      <c r="AJ82" s="2057">
        <v>211</v>
      </c>
      <c r="AK82" s="1073"/>
      <c r="AL82" s="1847">
        <v>550</v>
      </c>
      <c r="AM82" s="1073"/>
      <c r="AN82" s="1860">
        <v>307</v>
      </c>
    </row>
    <row r="83" spans="22:40">
      <c r="V83" s="1073"/>
      <c r="W83" s="1073"/>
      <c r="X83" s="1073"/>
      <c r="Y83" s="1073"/>
      <c r="Z83" s="1073"/>
      <c r="AA83" s="1073"/>
      <c r="AB83" s="1073"/>
      <c r="AC83" s="1073"/>
      <c r="AD83" s="1073"/>
    </row>
    <row r="84" spans="22:40">
      <c r="V84" s="1073">
        <v>4060</v>
      </c>
      <c r="W84" s="1073"/>
      <c r="X84" s="1073"/>
      <c r="Y84" s="1073"/>
      <c r="Z84" s="1073"/>
      <c r="AA84" s="1073"/>
      <c r="AB84" s="1073"/>
      <c r="AC84" s="1073"/>
      <c r="AD84" s="1073"/>
    </row>
    <row r="85" spans="22:40">
      <c r="V85" s="1073" t="s">
        <v>1851</v>
      </c>
      <c r="W85" s="1073"/>
      <c r="X85" s="1972">
        <v>964</v>
      </c>
      <c r="Y85" s="1073"/>
      <c r="Z85" s="1979">
        <v>164</v>
      </c>
      <c r="AA85" s="1073"/>
      <c r="AB85" s="1862">
        <v>772</v>
      </c>
      <c r="AC85" s="1073"/>
      <c r="AD85" s="1980">
        <v>165</v>
      </c>
    </row>
    <row r="86" spans="22:40">
      <c r="V86" s="1073"/>
      <c r="W86" s="1073"/>
      <c r="X86" s="1073"/>
      <c r="Y86" s="1073"/>
      <c r="Z86" s="1073"/>
      <c r="AA86" s="1073"/>
      <c r="AB86" s="1073"/>
      <c r="AC86" s="1073"/>
      <c r="AD86" s="1073"/>
    </row>
    <row r="87" spans="22:40">
      <c r="V87" s="1073">
        <v>4065</v>
      </c>
      <c r="W87" s="1073"/>
      <c r="X87" s="1073"/>
      <c r="Y87" s="1073"/>
      <c r="Z87" s="1073"/>
      <c r="AA87" s="1073"/>
      <c r="AB87" s="1073"/>
      <c r="AC87" s="1073"/>
      <c r="AD87" s="1073"/>
    </row>
    <row r="88" spans="22:40">
      <c r="V88" s="1073" t="s">
        <v>1852</v>
      </c>
      <c r="W88" s="1073"/>
      <c r="X88" s="1913">
        <v>926</v>
      </c>
      <c r="Y88" s="1073"/>
      <c r="Z88" s="1909">
        <v>3053</v>
      </c>
      <c r="AA88" s="1073"/>
      <c r="AB88" s="1981">
        <v>647</v>
      </c>
      <c r="AC88" s="1073"/>
      <c r="AD88" s="1982">
        <v>3782</v>
      </c>
    </row>
    <row r="89" spans="22:40">
      <c r="V89" s="1073"/>
      <c r="W89" s="1073"/>
      <c r="X89" s="1073"/>
      <c r="Y89" s="1073"/>
      <c r="Z89" s="1073"/>
      <c r="AA89" s="1073"/>
      <c r="AB89" s="1073"/>
      <c r="AC89" s="1073"/>
      <c r="AD89" s="1073"/>
    </row>
    <row r="90" spans="22:40">
      <c r="V90" s="1073">
        <v>4070</v>
      </c>
      <c r="W90" s="1073"/>
      <c r="X90" s="1073"/>
      <c r="Y90" s="1073"/>
      <c r="Z90" s="1073"/>
      <c r="AA90" s="1073"/>
      <c r="AB90" s="1073"/>
      <c r="AC90" s="1073"/>
      <c r="AD90" s="1073"/>
    </row>
    <row r="91" spans="22:40">
      <c r="V91" s="1073" t="s">
        <v>1853</v>
      </c>
      <c r="W91" s="1073"/>
      <c r="X91" s="1983">
        <v>3821</v>
      </c>
      <c r="Y91" s="1073"/>
      <c r="Z91" s="1924">
        <v>166</v>
      </c>
      <c r="AA91" s="1073"/>
      <c r="AB91" s="1902">
        <v>3819</v>
      </c>
      <c r="AC91" s="1073"/>
      <c r="AD91" s="1984">
        <v>733</v>
      </c>
    </row>
    <row r="92" spans="22:40">
      <c r="V92" s="1073"/>
      <c r="W92" s="1073"/>
      <c r="X92" s="1073"/>
      <c r="Y92" s="1073"/>
      <c r="Z92" s="1073"/>
      <c r="AA92" s="1073"/>
      <c r="AB92" s="1073"/>
      <c r="AC92" s="1073"/>
      <c r="AD92" s="1073"/>
    </row>
    <row r="93" spans="22:40">
      <c r="V93" s="1073">
        <v>4075</v>
      </c>
      <c r="W93" s="1073"/>
      <c r="X93" s="1073"/>
      <c r="Y93" s="1073"/>
      <c r="Z93" s="1073"/>
      <c r="AA93" s="1073"/>
      <c r="AB93" s="1073"/>
      <c r="AC93" s="1073"/>
      <c r="AD93" s="1073"/>
    </row>
    <row r="94" spans="22:40">
      <c r="V94" s="1073" t="s">
        <v>1854</v>
      </c>
      <c r="W94" s="1073"/>
      <c r="X94" s="1985">
        <v>3820</v>
      </c>
      <c r="Y94" s="1073"/>
      <c r="Z94" s="1983">
        <v>3821</v>
      </c>
      <c r="AA94" s="1073"/>
      <c r="AB94" s="1986">
        <v>3822</v>
      </c>
      <c r="AC94" s="1073"/>
      <c r="AD94" s="1955">
        <v>834</v>
      </c>
    </row>
    <row r="95" spans="22:40">
      <c r="V95" s="1073"/>
      <c r="W95" s="1073"/>
      <c r="X95" s="1073"/>
      <c r="Y95" s="1073"/>
      <c r="Z95" s="1073"/>
      <c r="AA95" s="1073"/>
      <c r="AB95" s="1073"/>
      <c r="AC95" s="1073"/>
      <c r="AD95" s="1073"/>
    </row>
    <row r="96" spans="22:40">
      <c r="V96" s="1073">
        <v>4077</v>
      </c>
      <c r="W96" s="1073"/>
      <c r="X96" s="1073"/>
      <c r="Y96" s="1073"/>
      <c r="Z96" s="1073"/>
      <c r="AA96" s="1073"/>
      <c r="AB96" s="1073"/>
      <c r="AC96" s="1073"/>
      <c r="AD96" s="1073"/>
    </row>
    <row r="97" spans="22:30">
      <c r="V97" s="1073" t="s">
        <v>1855</v>
      </c>
      <c r="W97" s="1073"/>
      <c r="X97" s="1987">
        <v>973</v>
      </c>
      <c r="Y97" s="1073"/>
      <c r="Z97" s="1988">
        <v>445</v>
      </c>
      <c r="AA97" s="1073"/>
      <c r="AB97" s="1989">
        <v>3823</v>
      </c>
      <c r="AC97" s="1073"/>
      <c r="AD97" s="1073"/>
    </row>
    <row r="98" spans="22:30">
      <c r="V98" s="1073"/>
      <c r="W98" s="1073"/>
      <c r="X98" s="1073"/>
      <c r="Y98" s="1073"/>
      <c r="Z98" s="1073"/>
      <c r="AA98" s="1073"/>
      <c r="AB98" s="1073"/>
      <c r="AC98" s="1073"/>
      <c r="AD98" s="1073"/>
    </row>
    <row r="99" spans="22:30">
      <c r="V99" s="1073">
        <v>4080</v>
      </c>
      <c r="W99" s="1073"/>
      <c r="X99" s="1073"/>
      <c r="Y99" s="1073"/>
      <c r="Z99" s="1073"/>
      <c r="AA99" s="1073"/>
      <c r="AB99" s="1073"/>
      <c r="AC99" s="1073"/>
      <c r="AD99" s="1073"/>
    </row>
    <row r="100" spans="22:30">
      <c r="V100" s="1073" t="s">
        <v>1856</v>
      </c>
      <c r="W100" s="1073"/>
      <c r="X100" s="1989">
        <v>3823</v>
      </c>
      <c r="Y100" s="1073"/>
      <c r="Z100" s="1990">
        <v>744</v>
      </c>
      <c r="AA100" s="1073"/>
      <c r="AB100" s="1991">
        <v>745</v>
      </c>
      <c r="AC100" s="1073"/>
      <c r="AD100" s="1980">
        <v>165</v>
      </c>
    </row>
    <row r="101" spans="22:30">
      <c r="V101" s="1073"/>
      <c r="W101" s="1073"/>
      <c r="X101" s="1073"/>
      <c r="Y101" s="1073"/>
      <c r="Z101" s="1073"/>
      <c r="AA101" s="1073"/>
      <c r="AB101" s="1073"/>
      <c r="AC101" s="1073"/>
      <c r="AD101" s="1073"/>
    </row>
    <row r="102" spans="22:30">
      <c r="V102" s="1073">
        <v>4090</v>
      </c>
      <c r="W102" s="1073"/>
      <c r="X102" s="1073"/>
      <c r="Y102" s="1073"/>
      <c r="Z102" s="1073"/>
      <c r="AA102" s="1073"/>
      <c r="AB102" s="1073"/>
      <c r="AC102" s="1073"/>
      <c r="AD102" s="1073"/>
    </row>
    <row r="103" spans="22:30">
      <c r="V103" s="1073" t="s">
        <v>1857</v>
      </c>
      <c r="W103" s="1073"/>
      <c r="X103" s="1992">
        <v>3856</v>
      </c>
      <c r="Y103" s="1073"/>
      <c r="Z103" s="1993">
        <v>3855</v>
      </c>
      <c r="AA103" s="1073"/>
      <c r="AB103" s="1991">
        <v>745</v>
      </c>
      <c r="AC103" s="1073"/>
      <c r="AD103" s="1989">
        <v>3823</v>
      </c>
    </row>
    <row r="104" spans="22:30">
      <c r="V104" s="1073"/>
      <c r="W104" s="1073"/>
      <c r="X104" s="1073"/>
      <c r="Y104" s="1073"/>
      <c r="Z104" s="1073"/>
      <c r="AA104" s="1073"/>
      <c r="AB104" s="1073"/>
      <c r="AC104" s="1073"/>
      <c r="AD104" s="1073"/>
    </row>
    <row r="105" spans="22:30">
      <c r="V105" s="1073">
        <v>4100</v>
      </c>
      <c r="W105" s="1073"/>
      <c r="X105" s="1073"/>
      <c r="Y105" s="1073"/>
      <c r="Z105" s="1073"/>
      <c r="AA105" s="1073"/>
      <c r="AB105" s="1073"/>
      <c r="AC105" s="1073"/>
      <c r="AD105" s="1073"/>
    </row>
    <row r="106" spans="22:30">
      <c r="V106" s="1073" t="s">
        <v>1858</v>
      </c>
      <c r="W106" s="1073"/>
      <c r="X106" s="1993">
        <v>3855</v>
      </c>
      <c r="Y106" s="1073"/>
      <c r="Z106" s="1994">
        <v>3824</v>
      </c>
      <c r="AA106" s="1073"/>
      <c r="AB106" s="1843">
        <v>3825</v>
      </c>
      <c r="AC106" s="1073"/>
      <c r="AD106" s="1995">
        <v>743</v>
      </c>
    </row>
    <row r="107" spans="22:30">
      <c r="V107" s="1073"/>
      <c r="W107" s="1073"/>
      <c r="X107" s="1073"/>
      <c r="Y107" s="1073"/>
      <c r="Z107" s="1073"/>
      <c r="AA107" s="1073"/>
      <c r="AB107" s="1073"/>
      <c r="AC107" s="1073"/>
      <c r="AD107" s="1073"/>
    </row>
    <row r="108" spans="22:30">
      <c r="V108" s="1073">
        <v>4110</v>
      </c>
      <c r="W108" s="1073"/>
      <c r="X108" s="1073"/>
      <c r="Y108" s="1073"/>
      <c r="Z108" s="1073"/>
      <c r="AA108" s="1073"/>
      <c r="AB108" s="1073"/>
      <c r="AC108" s="1073"/>
      <c r="AD108" s="1073"/>
    </row>
    <row r="109" spans="22:30">
      <c r="V109" s="1073" t="s">
        <v>1859</v>
      </c>
      <c r="W109" s="1073"/>
      <c r="X109" s="1996">
        <v>3708</v>
      </c>
      <c r="Y109" s="1073"/>
      <c r="Z109" s="1877">
        <v>3341</v>
      </c>
      <c r="AA109" s="1073"/>
      <c r="AB109" s="1994">
        <v>3824</v>
      </c>
      <c r="AC109" s="1073"/>
      <c r="AD109" s="1876">
        <v>967</v>
      </c>
    </row>
    <row r="110" spans="22:30">
      <c r="V110" s="1073"/>
      <c r="W110" s="1073"/>
      <c r="X110" s="1073"/>
      <c r="Y110" s="1073"/>
      <c r="Z110" s="1073"/>
      <c r="AA110" s="1073"/>
      <c r="AB110" s="1073"/>
      <c r="AC110" s="1073"/>
      <c r="AD110" s="1073"/>
    </row>
    <row r="111" spans="22:30">
      <c r="V111" s="1073">
        <v>4120</v>
      </c>
      <c r="W111" s="1073"/>
      <c r="X111" s="1073"/>
      <c r="Y111" s="1073"/>
      <c r="Z111" s="1073"/>
      <c r="AA111" s="1073"/>
      <c r="AB111" s="1073"/>
      <c r="AC111" s="1073"/>
      <c r="AD111" s="1073"/>
    </row>
    <row r="112" spans="22:30">
      <c r="V112" s="1073" t="s">
        <v>1860</v>
      </c>
      <c r="W112" s="1073"/>
      <c r="X112" s="1997">
        <v>722</v>
      </c>
      <c r="Y112" s="1073"/>
      <c r="Z112" s="1998">
        <v>351</v>
      </c>
      <c r="AA112" s="1073"/>
      <c r="AB112" s="1999">
        <v>352</v>
      </c>
      <c r="AC112" s="1073"/>
      <c r="AD112" s="1992">
        <v>3856</v>
      </c>
    </row>
  </sheetData>
  <sheetProtection algorithmName="SHA-512" hashValue="1H1mAqi2A8U5Ccw4NvSiUScgmTyAsYbItbd71wLlZGYWEnwJ+yDWpKAvCvu8WLTYZnYmJ8TKw9i5aJpnTttKng==" saltValue="yqSi1pbYEm/JjAfAkW5jJg==" spinCount="100000" sheet="1" objects="1" scenarios="1"/>
  <mergeCells count="5">
    <mergeCell ref="AF3:AN4"/>
    <mergeCell ref="AH12:AN12"/>
    <mergeCell ref="B3:J4"/>
    <mergeCell ref="L3:T4"/>
    <mergeCell ref="V3:AD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61F6-67EF-4FD8-9A61-3B143190312F}">
  <sheetPr>
    <tabColor theme="4"/>
  </sheetPr>
  <dimension ref="A1:W62"/>
  <sheetViews>
    <sheetView workbookViewId="0">
      <selection activeCell="B4" sqref="B4"/>
    </sheetView>
  </sheetViews>
  <sheetFormatPr baseColWidth="10" defaultColWidth="8.83203125" defaultRowHeight="16"/>
  <cols>
    <col min="1" max="1" width="8.83203125" style="1094"/>
    <col min="3" max="3" width="13" customWidth="1"/>
    <col min="4" max="4" width="18.6640625" customWidth="1"/>
    <col min="5" max="5" width="16.1640625" customWidth="1"/>
    <col min="7" max="8" width="8.83203125" style="1094"/>
    <col min="10" max="10" width="13" customWidth="1"/>
    <col min="11" max="11" width="18.6640625" customWidth="1"/>
    <col min="12" max="12" width="11.33203125" customWidth="1"/>
    <col min="13" max="13" width="16.1640625" customWidth="1"/>
    <col min="15" max="23" width="8.83203125" style="1094"/>
  </cols>
  <sheetData>
    <row r="1" spans="2:14" s="1094" customFormat="1" ht="17" thickBot="1"/>
    <row r="2" spans="2:14" ht="17" thickBot="1">
      <c r="B2" s="2152" t="s">
        <v>1079</v>
      </c>
      <c r="C2" s="2153"/>
      <c r="D2" s="2153"/>
      <c r="E2" s="2153"/>
      <c r="F2" s="2154"/>
      <c r="I2" s="2152" t="s">
        <v>1080</v>
      </c>
      <c r="J2" s="2153"/>
      <c r="K2" s="2153"/>
      <c r="L2" s="2153"/>
      <c r="M2" s="2153"/>
      <c r="N2" s="2154"/>
    </row>
    <row r="3" spans="2:14" ht="33" customHeight="1" thickBot="1">
      <c r="B3" s="491" t="s">
        <v>1075</v>
      </c>
      <c r="C3" s="491" t="s">
        <v>1074</v>
      </c>
      <c r="D3" s="491" t="s">
        <v>1076</v>
      </c>
      <c r="E3" s="491" t="s">
        <v>1078</v>
      </c>
      <c r="F3" s="1071" t="s">
        <v>1077</v>
      </c>
      <c r="I3" s="491" t="s">
        <v>1075</v>
      </c>
      <c r="J3" s="491" t="s">
        <v>1074</v>
      </c>
      <c r="K3" s="491" t="s">
        <v>1076</v>
      </c>
      <c r="L3" s="491" t="s">
        <v>991</v>
      </c>
      <c r="M3" s="491" t="s">
        <v>1078</v>
      </c>
      <c r="N3" s="1071" t="s">
        <v>1077</v>
      </c>
    </row>
    <row r="4" spans="2:14">
      <c r="B4" s="1172">
        <v>310</v>
      </c>
      <c r="C4" s="1172">
        <v>1</v>
      </c>
      <c r="D4" s="1171">
        <f>IF(ISBLANK(B4), "", IFERROR(VLOOKUP(B4,Sheet1!A:C,3,FALSE),"Number not found"))</f>
        <v>0</v>
      </c>
      <c r="E4" s="1171" t="str">
        <f>IF(ISBLANK(B4),"",IF(ISTEXT(D4),"!",IF(D4=0,"None in collection",IF(D4&gt;C4,"No","Need More"))))</f>
        <v>None in collection</v>
      </c>
      <c r="F4" s="1171">
        <f>IF(ISBLANK(B4),"",IF(C4&gt;D4,C4-D4,""))</f>
        <v>1</v>
      </c>
      <c r="G4" s="1171"/>
      <c r="H4" s="1171"/>
      <c r="I4" s="1172">
        <v>310</v>
      </c>
      <c r="J4" s="1172">
        <v>1</v>
      </c>
      <c r="K4" s="1171">
        <f>IF(ISBLANK(I4), "", IFERROR(VLOOKUP(I4,Sheet2!A:C,3,FALSE),"Number not found"))</f>
        <v>0</v>
      </c>
      <c r="L4" s="1171">
        <f>IF(ISBLANK(I4), "", IFERROR(VLOOKUP(I4,Sheet2!A:D,4,FALSE),"Number not found"))</f>
        <v>20</v>
      </c>
      <c r="M4" s="1171" t="str">
        <f>IF(ISBLANK(I4),"",IF(ISTEXT(K4),"!",IF(K4=0,"None in collection",IF(K4&gt;J4,"No","Need More"))))</f>
        <v>None in collection</v>
      </c>
      <c r="N4" s="1171">
        <f>IF(ISBLANK(I4),"",IF(J4&gt;K4,J4-K4,""))</f>
        <v>1</v>
      </c>
    </row>
    <row r="5" spans="2:14">
      <c r="B5" s="1172"/>
      <c r="C5" s="1172"/>
      <c r="D5" s="1171" t="str">
        <f>IF(ISBLANK(B5), "", IFERROR(VLOOKUP(B5,Sheet1!A:C,3,FALSE),"Number not found"))</f>
        <v/>
      </c>
      <c r="E5" s="1171" t="str">
        <f t="shared" ref="E5:E35" si="0">IF(ISBLANK(B5),"",IF(ISTEXT(D5),"!",IF(D5=0,"None in collection",IF(D5&gt;C5,"No","Need More"))))</f>
        <v/>
      </c>
      <c r="F5" s="1171" t="str">
        <f t="shared" ref="F5:F35" si="1">IF(ISBLANK(B5),"",IF(C5&gt;D5,C5-D5,""))</f>
        <v/>
      </c>
      <c r="G5" s="1171"/>
      <c r="H5" s="1171"/>
      <c r="I5" s="1172"/>
      <c r="J5" s="1172"/>
      <c r="K5" s="1171" t="str">
        <f>IF(ISBLANK(I5), "", IFERROR(VLOOKUP(I5,Sheet2!A:C,3,FALSE),"Number not found"))</f>
        <v/>
      </c>
      <c r="L5" s="1171" t="str">
        <f>IF(ISBLANK(I5), "", IFERROR(VLOOKUP(I5,Sheet2!A:D,4,FALSE),"Number not found"))</f>
        <v/>
      </c>
      <c r="M5" s="1171" t="str">
        <f t="shared" ref="M5:M35" si="2">IF(ISBLANK(I5),"",IF(ISTEXT(K5),"!",IF(K5=0,"None in collection",IF(K5&gt;J5,"No","Need More"))))</f>
        <v/>
      </c>
      <c r="N5" s="1171" t="str">
        <f t="shared" ref="N5:N35" si="3">IF(ISBLANK(I5),"",IF(J5&gt;K5,J5-K5,""))</f>
        <v/>
      </c>
    </row>
    <row r="6" spans="2:14">
      <c r="B6" s="1172"/>
      <c r="C6" s="1172"/>
      <c r="D6" s="1171" t="str">
        <f>IF(ISBLANK(B6), "", IFERROR(VLOOKUP(B6,Sheet1!A:C,3,FALSE),"Number not found"))</f>
        <v/>
      </c>
      <c r="E6" s="1171" t="str">
        <f t="shared" si="0"/>
        <v/>
      </c>
      <c r="F6" s="1171" t="str">
        <f t="shared" si="1"/>
        <v/>
      </c>
      <c r="G6" s="1171"/>
      <c r="H6" s="1171"/>
      <c r="I6" s="1172"/>
      <c r="J6" s="1172"/>
      <c r="K6" s="1171" t="str">
        <f>IF(ISBLANK(I6), "", IFERROR(VLOOKUP(I6,Sheet2!A:C,3,FALSE),"Number not found"))</f>
        <v/>
      </c>
      <c r="L6" s="1171" t="str">
        <f>IF(ISBLANK(I6), "", IFERROR(VLOOKUP(I6,Sheet2!A:D,4,FALSE),"Number not found"))</f>
        <v/>
      </c>
      <c r="M6" s="1171" t="str">
        <f t="shared" si="2"/>
        <v/>
      </c>
      <c r="N6" s="1171" t="str">
        <f t="shared" si="3"/>
        <v/>
      </c>
    </row>
    <row r="7" spans="2:14">
      <c r="B7" s="1172"/>
      <c r="C7" s="1172"/>
      <c r="D7" s="1171" t="str">
        <f>IF(ISBLANK(B7), "", IFERROR(VLOOKUP(B7,Sheet1!A:C,3,FALSE),"Number not found"))</f>
        <v/>
      </c>
      <c r="E7" s="1171" t="str">
        <f t="shared" si="0"/>
        <v/>
      </c>
      <c r="F7" s="1171" t="str">
        <f t="shared" si="1"/>
        <v/>
      </c>
      <c r="G7" s="1171"/>
      <c r="H7" s="1171"/>
      <c r="I7" s="1172"/>
      <c r="J7" s="1172"/>
      <c r="K7" s="1171" t="str">
        <f>IF(ISBLANK(I7), "", IFERROR(VLOOKUP(I7,Sheet2!A:C,3,FALSE),"Number not found"))</f>
        <v/>
      </c>
      <c r="L7" s="1171" t="str">
        <f>IF(ISBLANK(I7), "", IFERROR(VLOOKUP(I7,Sheet2!A:D,4,FALSE),"Number not found"))</f>
        <v/>
      </c>
      <c r="M7" s="1171" t="str">
        <f t="shared" si="2"/>
        <v/>
      </c>
      <c r="N7" s="1171" t="str">
        <f t="shared" si="3"/>
        <v/>
      </c>
    </row>
    <row r="8" spans="2:14">
      <c r="B8" s="1172"/>
      <c r="C8" s="1172"/>
      <c r="D8" s="1171" t="str">
        <f>IF(ISBLANK(B8), "", IFERROR(VLOOKUP(B8,Sheet1!A:C,3,FALSE),"Number not found"))</f>
        <v/>
      </c>
      <c r="E8" s="1171" t="str">
        <f t="shared" si="0"/>
        <v/>
      </c>
      <c r="F8" s="1171" t="str">
        <f t="shared" si="1"/>
        <v/>
      </c>
      <c r="G8" s="1171"/>
      <c r="H8" s="1171"/>
      <c r="I8" s="1172"/>
      <c r="J8" s="1172"/>
      <c r="K8" s="1171" t="str">
        <f>IF(ISBLANK(I8), "", IFERROR(VLOOKUP(I8,Sheet2!A:C,3,FALSE),"Number not found"))</f>
        <v/>
      </c>
      <c r="L8" s="1171" t="str">
        <f>IF(ISBLANK(I8), "", IFERROR(VLOOKUP(I8,Sheet2!A:D,4,FALSE),"Number not found"))</f>
        <v/>
      </c>
      <c r="M8" s="1171" t="str">
        <f t="shared" si="2"/>
        <v/>
      </c>
      <c r="N8" s="1171" t="str">
        <f t="shared" si="3"/>
        <v/>
      </c>
    </row>
    <row r="9" spans="2:14">
      <c r="B9" s="1172"/>
      <c r="C9" s="1172"/>
      <c r="D9" s="1171" t="str">
        <f>IF(ISBLANK(B9), "", IFERROR(VLOOKUP(B9,Sheet1!A:C,3,FALSE),"Number not found"))</f>
        <v/>
      </c>
      <c r="E9" s="1171" t="str">
        <f t="shared" si="0"/>
        <v/>
      </c>
      <c r="F9" s="1171" t="str">
        <f t="shared" si="1"/>
        <v/>
      </c>
      <c r="G9" s="1171"/>
      <c r="H9" s="1171"/>
      <c r="I9" s="1172"/>
      <c r="J9" s="1172"/>
      <c r="K9" s="1171" t="str">
        <f>IF(ISBLANK(I9), "", IFERROR(VLOOKUP(I9,Sheet2!A:C,3,FALSE),"Number not found"))</f>
        <v/>
      </c>
      <c r="L9" s="1171" t="str">
        <f>IF(ISBLANK(I9), "", IFERROR(VLOOKUP(I9,Sheet2!A:D,4,FALSE),"Number not found"))</f>
        <v/>
      </c>
      <c r="M9" s="1171" t="str">
        <f t="shared" si="2"/>
        <v/>
      </c>
      <c r="N9" s="1171" t="str">
        <f t="shared" si="3"/>
        <v/>
      </c>
    </row>
    <row r="10" spans="2:14">
      <c r="B10" s="1172"/>
      <c r="C10" s="1172"/>
      <c r="D10" s="1171" t="str">
        <f>IF(ISBLANK(B10), "", IFERROR(VLOOKUP(B10,Sheet1!A:C,3,FALSE),"Number not found"))</f>
        <v/>
      </c>
      <c r="E10" s="1171" t="str">
        <f t="shared" si="0"/>
        <v/>
      </c>
      <c r="F10" s="1171" t="str">
        <f t="shared" si="1"/>
        <v/>
      </c>
      <c r="G10" s="1171"/>
      <c r="H10" s="1171"/>
      <c r="I10" s="1172"/>
      <c r="J10" s="1172"/>
      <c r="K10" s="1171" t="str">
        <f>IF(ISBLANK(I10), "", IFERROR(VLOOKUP(I10,Sheet2!A:C,3,FALSE),"Number not found"))</f>
        <v/>
      </c>
      <c r="L10" s="1171" t="str">
        <f>IF(ISBLANK(I10), "", IFERROR(VLOOKUP(I10,Sheet2!A:D,4,FALSE),"Number not found"))</f>
        <v/>
      </c>
      <c r="M10" s="1171" t="str">
        <f t="shared" si="2"/>
        <v/>
      </c>
      <c r="N10" s="1171" t="str">
        <f t="shared" si="3"/>
        <v/>
      </c>
    </row>
    <row r="11" spans="2:14">
      <c r="B11" s="1172"/>
      <c r="C11" s="1172"/>
      <c r="D11" s="1171" t="str">
        <f>IF(ISBLANK(B11), "", IFERROR(VLOOKUP(B11,Sheet1!A:C,3,FALSE),"Number not found"))</f>
        <v/>
      </c>
      <c r="E11" s="1171" t="str">
        <f t="shared" si="0"/>
        <v/>
      </c>
      <c r="F11" s="1171" t="str">
        <f t="shared" si="1"/>
        <v/>
      </c>
      <c r="G11" s="1171"/>
      <c r="H11" s="1171"/>
      <c r="I11" s="1172"/>
      <c r="J11" s="1172"/>
      <c r="K11" s="1171" t="str">
        <f>IF(ISBLANK(I11), "", IFERROR(VLOOKUP(I11,Sheet2!A:C,3,FALSE),"Number not found"))</f>
        <v/>
      </c>
      <c r="L11" s="1171" t="str">
        <f>IF(ISBLANK(I11), "", IFERROR(VLOOKUP(I11,Sheet2!A:D,4,FALSE),"Number not found"))</f>
        <v/>
      </c>
      <c r="M11" s="1171" t="str">
        <f t="shared" si="2"/>
        <v/>
      </c>
      <c r="N11" s="1171" t="str">
        <f t="shared" si="3"/>
        <v/>
      </c>
    </row>
    <row r="12" spans="2:14">
      <c r="B12" s="1172"/>
      <c r="C12" s="1172"/>
      <c r="D12" s="1171" t="str">
        <f>IF(ISBLANK(B12), "", IFERROR(VLOOKUP(B12,Sheet1!A:C,3,FALSE),"Number not found"))</f>
        <v/>
      </c>
      <c r="E12" s="1171" t="str">
        <f t="shared" si="0"/>
        <v/>
      </c>
      <c r="F12" s="1171" t="str">
        <f t="shared" si="1"/>
        <v/>
      </c>
      <c r="G12" s="1171"/>
      <c r="H12" s="1171"/>
      <c r="I12" s="1172"/>
      <c r="J12" s="1172"/>
      <c r="K12" s="1171" t="str">
        <f>IF(ISBLANK(I12), "", IFERROR(VLOOKUP(I12,Sheet2!A:C,3,FALSE),"Number not found"))</f>
        <v/>
      </c>
      <c r="L12" s="1171" t="str">
        <f>IF(ISBLANK(I12), "", IFERROR(VLOOKUP(I12,Sheet2!A:D,4,FALSE),"Number not found"))</f>
        <v/>
      </c>
      <c r="M12" s="1171" t="str">
        <f t="shared" si="2"/>
        <v/>
      </c>
      <c r="N12" s="1171" t="str">
        <f t="shared" si="3"/>
        <v/>
      </c>
    </row>
    <row r="13" spans="2:14">
      <c r="B13" s="1172"/>
      <c r="C13" s="1172"/>
      <c r="D13" s="1171" t="str">
        <f>IF(ISBLANK(B13), "", IFERROR(VLOOKUP(B13,Sheet1!A:C,3,FALSE),"Number not found"))</f>
        <v/>
      </c>
      <c r="E13" s="1171" t="str">
        <f t="shared" si="0"/>
        <v/>
      </c>
      <c r="F13" s="1171" t="str">
        <f t="shared" si="1"/>
        <v/>
      </c>
      <c r="G13" s="1171"/>
      <c r="H13" s="1171"/>
      <c r="I13" s="1172"/>
      <c r="J13" s="1172"/>
      <c r="K13" s="1171" t="str">
        <f>IF(ISBLANK(I13), "", IFERROR(VLOOKUP(I13,Sheet2!A:C,3,FALSE),"Number not found"))</f>
        <v/>
      </c>
      <c r="L13" s="1171" t="str">
        <f>IF(ISBLANK(I13), "", IFERROR(VLOOKUP(I13,Sheet2!A:D,4,FALSE),"Number not found"))</f>
        <v/>
      </c>
      <c r="M13" s="1171" t="str">
        <f t="shared" si="2"/>
        <v/>
      </c>
      <c r="N13" s="1171" t="str">
        <f t="shared" si="3"/>
        <v/>
      </c>
    </row>
    <row r="14" spans="2:14">
      <c r="B14" s="1172"/>
      <c r="C14" s="1172"/>
      <c r="D14" s="1171" t="str">
        <f>IF(ISBLANK(B14), "", IFERROR(VLOOKUP(B14,Sheet1!A:C,3,FALSE),"Number not found"))</f>
        <v/>
      </c>
      <c r="E14" s="1171" t="str">
        <f t="shared" si="0"/>
        <v/>
      </c>
      <c r="F14" s="1171" t="str">
        <f t="shared" si="1"/>
        <v/>
      </c>
      <c r="G14" s="1171"/>
      <c r="H14" s="1171"/>
      <c r="I14" s="1172"/>
      <c r="J14" s="1172"/>
      <c r="K14" s="1171" t="str">
        <f>IF(ISBLANK(I14), "", IFERROR(VLOOKUP(I14,Sheet2!A:C,3,FALSE),"Number not found"))</f>
        <v/>
      </c>
      <c r="L14" s="1171" t="str">
        <f>IF(ISBLANK(I14), "", IFERROR(VLOOKUP(I14,Sheet2!A:D,4,FALSE),"Number not found"))</f>
        <v/>
      </c>
      <c r="M14" s="1171" t="str">
        <f t="shared" si="2"/>
        <v/>
      </c>
      <c r="N14" s="1171" t="str">
        <f t="shared" si="3"/>
        <v/>
      </c>
    </row>
    <row r="15" spans="2:14">
      <c r="B15" s="1172"/>
      <c r="C15" s="1172"/>
      <c r="D15" s="1171" t="str">
        <f>IF(ISBLANK(B15), "", IFERROR(VLOOKUP(B15,Sheet1!A:C,3,FALSE),"Number not found"))</f>
        <v/>
      </c>
      <c r="E15" s="1171" t="str">
        <f t="shared" si="0"/>
        <v/>
      </c>
      <c r="F15" s="1171" t="str">
        <f t="shared" si="1"/>
        <v/>
      </c>
      <c r="G15" s="1171"/>
      <c r="H15" s="1171"/>
      <c r="I15" s="1172"/>
      <c r="J15" s="1172"/>
      <c r="K15" s="1171" t="str">
        <f>IF(ISBLANK(I15), "", IFERROR(VLOOKUP(I15,Sheet2!A:C,3,FALSE),"Number not found"))</f>
        <v/>
      </c>
      <c r="L15" s="1171" t="str">
        <f>IF(ISBLANK(I15), "", IFERROR(VLOOKUP(I15,Sheet2!A:D,4,FALSE),"Number not found"))</f>
        <v/>
      </c>
      <c r="M15" s="1171" t="str">
        <f t="shared" si="2"/>
        <v/>
      </c>
      <c r="N15" s="1171" t="str">
        <f t="shared" si="3"/>
        <v/>
      </c>
    </row>
    <row r="16" spans="2:14">
      <c r="B16" s="1172"/>
      <c r="C16" s="1172"/>
      <c r="D16" s="1171" t="str">
        <f>IF(ISBLANK(B16), "", IFERROR(VLOOKUP(B16,Sheet1!A:C,3,FALSE),"Number not found"))</f>
        <v/>
      </c>
      <c r="E16" s="1171" t="str">
        <f t="shared" si="0"/>
        <v/>
      </c>
      <c r="F16" s="1171" t="str">
        <f t="shared" si="1"/>
        <v/>
      </c>
      <c r="G16" s="1171"/>
      <c r="H16" s="1171"/>
      <c r="I16" s="1172"/>
      <c r="J16" s="1172"/>
      <c r="K16" s="1171" t="str">
        <f>IF(ISBLANK(I16), "", IFERROR(VLOOKUP(I16,Sheet2!A:C,3,FALSE),"Number not found"))</f>
        <v/>
      </c>
      <c r="L16" s="1171" t="str">
        <f>IF(ISBLANK(I16), "", IFERROR(VLOOKUP(I16,Sheet2!A:D,4,FALSE),"Number not found"))</f>
        <v/>
      </c>
      <c r="M16" s="1171" t="str">
        <f t="shared" si="2"/>
        <v/>
      </c>
      <c r="N16" s="1171" t="str">
        <f t="shared" si="3"/>
        <v/>
      </c>
    </row>
    <row r="17" spans="2:14">
      <c r="B17" s="1172"/>
      <c r="C17" s="1172"/>
      <c r="D17" s="1171" t="str">
        <f>IF(ISBLANK(B17), "", IFERROR(VLOOKUP(B17,Sheet1!A:C,3,FALSE),"Number not found"))</f>
        <v/>
      </c>
      <c r="E17" s="1171" t="str">
        <f t="shared" si="0"/>
        <v/>
      </c>
      <c r="F17" s="1171" t="str">
        <f t="shared" si="1"/>
        <v/>
      </c>
      <c r="G17" s="1171"/>
      <c r="H17" s="1171"/>
      <c r="I17" s="1172"/>
      <c r="J17" s="1172"/>
      <c r="K17" s="1171" t="str">
        <f>IF(ISBLANK(I17), "", IFERROR(VLOOKUP(I17,Sheet2!A:C,3,FALSE),"Number not found"))</f>
        <v/>
      </c>
      <c r="L17" s="1171" t="str">
        <f>IF(ISBLANK(I17), "", IFERROR(VLOOKUP(I17,Sheet2!A:D,4,FALSE),"Number not found"))</f>
        <v/>
      </c>
      <c r="M17" s="1171" t="str">
        <f t="shared" si="2"/>
        <v/>
      </c>
      <c r="N17" s="1171" t="str">
        <f t="shared" si="3"/>
        <v/>
      </c>
    </row>
    <row r="18" spans="2:14">
      <c r="B18" s="1172"/>
      <c r="C18" s="1172"/>
      <c r="D18" s="1171" t="str">
        <f>IF(ISBLANK(B18), "", IFERROR(VLOOKUP(B18,Sheet1!A:C,3,FALSE),"Number not found"))</f>
        <v/>
      </c>
      <c r="E18" s="1171" t="str">
        <f t="shared" si="0"/>
        <v/>
      </c>
      <c r="F18" s="1171" t="str">
        <f t="shared" si="1"/>
        <v/>
      </c>
      <c r="G18" s="1171"/>
      <c r="H18" s="1171"/>
      <c r="I18" s="1172"/>
      <c r="J18" s="1172"/>
      <c r="K18" s="1171" t="str">
        <f>IF(ISBLANK(I18), "", IFERROR(VLOOKUP(I18,Sheet2!A:C,3,FALSE),"Number not found"))</f>
        <v/>
      </c>
      <c r="L18" s="1171" t="str">
        <f>IF(ISBLANK(I18), "", IFERROR(VLOOKUP(I18,Sheet2!A:D,4,FALSE),"Number not found"))</f>
        <v/>
      </c>
      <c r="M18" s="1171" t="str">
        <f t="shared" si="2"/>
        <v/>
      </c>
      <c r="N18" s="1171" t="str">
        <f t="shared" si="3"/>
        <v/>
      </c>
    </row>
    <row r="19" spans="2:14">
      <c r="B19" s="1172"/>
      <c r="C19" s="1172"/>
      <c r="D19" s="1171" t="str">
        <f>IF(ISBLANK(B19), "", IFERROR(VLOOKUP(B19,Sheet1!A:C,3,FALSE),"Number not found"))</f>
        <v/>
      </c>
      <c r="E19" s="1171" t="str">
        <f t="shared" si="0"/>
        <v/>
      </c>
      <c r="F19" s="1171" t="str">
        <f t="shared" si="1"/>
        <v/>
      </c>
      <c r="G19" s="1171"/>
      <c r="H19" s="1171"/>
      <c r="I19" s="1172"/>
      <c r="J19" s="1172"/>
      <c r="K19" s="1171" t="str">
        <f>IF(ISBLANK(I19), "", IFERROR(VLOOKUP(I19,Sheet2!A:C,3,FALSE),"Number not found"))</f>
        <v/>
      </c>
      <c r="L19" s="1171" t="str">
        <f>IF(ISBLANK(I19), "", IFERROR(VLOOKUP(I19,Sheet2!A:D,4,FALSE),"Number not found"))</f>
        <v/>
      </c>
      <c r="M19" s="1171" t="str">
        <f t="shared" si="2"/>
        <v/>
      </c>
      <c r="N19" s="1171" t="str">
        <f t="shared" si="3"/>
        <v/>
      </c>
    </row>
    <row r="20" spans="2:14">
      <c r="B20" s="1172"/>
      <c r="C20" s="1172"/>
      <c r="D20" s="1171" t="str">
        <f>IF(ISBLANK(B20), "", IFERROR(VLOOKUP(B20,Sheet1!A:C,3,FALSE),"Number not found"))</f>
        <v/>
      </c>
      <c r="E20" s="1171" t="str">
        <f t="shared" si="0"/>
        <v/>
      </c>
      <c r="F20" s="1171" t="str">
        <f t="shared" si="1"/>
        <v/>
      </c>
      <c r="G20" s="1171"/>
      <c r="H20" s="1171"/>
      <c r="I20" s="1172"/>
      <c r="J20" s="1172"/>
      <c r="K20" s="1171" t="str">
        <f>IF(ISBLANK(I20), "", IFERROR(VLOOKUP(I20,Sheet2!A:C,3,FALSE),"Number not found"))</f>
        <v/>
      </c>
      <c r="L20" s="1171" t="str">
        <f>IF(ISBLANK(I20), "", IFERROR(VLOOKUP(I20,Sheet2!A:D,4,FALSE),"Number not found"))</f>
        <v/>
      </c>
      <c r="M20" s="1171" t="str">
        <f t="shared" si="2"/>
        <v/>
      </c>
      <c r="N20" s="1171" t="str">
        <f t="shared" si="3"/>
        <v/>
      </c>
    </row>
    <row r="21" spans="2:14">
      <c r="B21" s="1172"/>
      <c r="C21" s="1172"/>
      <c r="D21" s="1171" t="str">
        <f>IF(ISBLANK(B21), "", IFERROR(VLOOKUP(B21,Sheet1!A:C,3,FALSE),"Number not found"))</f>
        <v/>
      </c>
      <c r="E21" s="1171" t="str">
        <f t="shared" si="0"/>
        <v/>
      </c>
      <c r="F21" s="1171" t="str">
        <f t="shared" si="1"/>
        <v/>
      </c>
      <c r="G21" s="1171"/>
      <c r="H21" s="1171"/>
      <c r="I21" s="1172"/>
      <c r="J21" s="1172"/>
      <c r="K21" s="1171" t="str">
        <f>IF(ISBLANK(I21), "", IFERROR(VLOOKUP(I21,Sheet2!A:C,3,FALSE),"Number not found"))</f>
        <v/>
      </c>
      <c r="L21" s="1171" t="str">
        <f>IF(ISBLANK(I21), "", IFERROR(VLOOKUP(I21,Sheet2!A:D,4,FALSE),"Number not found"))</f>
        <v/>
      </c>
      <c r="M21" s="1171" t="str">
        <f t="shared" si="2"/>
        <v/>
      </c>
      <c r="N21" s="1171" t="str">
        <f t="shared" si="3"/>
        <v/>
      </c>
    </row>
    <row r="22" spans="2:14">
      <c r="B22" s="1172"/>
      <c r="C22" s="1172"/>
      <c r="D22" s="1171" t="str">
        <f>IF(ISBLANK(B22), "", IFERROR(VLOOKUP(B22,Sheet1!A:C,3,FALSE),"Number not found"))</f>
        <v/>
      </c>
      <c r="E22" s="1171" t="str">
        <f t="shared" si="0"/>
        <v/>
      </c>
      <c r="F22" s="1171" t="str">
        <f t="shared" si="1"/>
        <v/>
      </c>
      <c r="G22" s="1171"/>
      <c r="H22" s="1171"/>
      <c r="I22" s="1172"/>
      <c r="J22" s="1172"/>
      <c r="K22" s="1171" t="str">
        <f>IF(ISBLANK(I22), "", IFERROR(VLOOKUP(I22,Sheet2!A:C,3,FALSE),"Number not found"))</f>
        <v/>
      </c>
      <c r="L22" s="1171" t="str">
        <f>IF(ISBLANK(I22), "", IFERROR(VLOOKUP(I22,Sheet2!A:D,4,FALSE),"Number not found"))</f>
        <v/>
      </c>
      <c r="M22" s="1171" t="str">
        <f t="shared" si="2"/>
        <v/>
      </c>
      <c r="N22" s="1171" t="str">
        <f t="shared" si="3"/>
        <v/>
      </c>
    </row>
    <row r="23" spans="2:14">
      <c r="B23" s="1172"/>
      <c r="C23" s="1172"/>
      <c r="D23" s="1171" t="str">
        <f>IF(ISBLANK(B23), "", IFERROR(VLOOKUP(B23,Sheet1!A:C,3,FALSE),"Number not found"))</f>
        <v/>
      </c>
      <c r="E23" s="1171" t="str">
        <f t="shared" si="0"/>
        <v/>
      </c>
      <c r="F23" s="1171" t="str">
        <f t="shared" si="1"/>
        <v/>
      </c>
      <c r="G23" s="1171"/>
      <c r="H23" s="1171"/>
      <c r="I23" s="1172"/>
      <c r="J23" s="1172"/>
      <c r="K23" s="1171" t="str">
        <f>IF(ISBLANK(I23), "", IFERROR(VLOOKUP(I23,Sheet2!A:C,3,FALSE),"Number not found"))</f>
        <v/>
      </c>
      <c r="L23" s="1171" t="str">
        <f>IF(ISBLANK(I23), "", IFERROR(VLOOKUP(I23,Sheet2!A:D,4,FALSE),"Number not found"))</f>
        <v/>
      </c>
      <c r="M23" s="1171" t="str">
        <f t="shared" si="2"/>
        <v/>
      </c>
      <c r="N23" s="1171" t="str">
        <f t="shared" si="3"/>
        <v/>
      </c>
    </row>
    <row r="24" spans="2:14">
      <c r="B24" s="1172"/>
      <c r="C24" s="1172"/>
      <c r="D24" s="1171" t="str">
        <f>IF(ISBLANK(B24), "", IFERROR(VLOOKUP(B24,Sheet1!A:C,3,FALSE),"Number not found"))</f>
        <v/>
      </c>
      <c r="E24" s="1171" t="str">
        <f t="shared" si="0"/>
        <v/>
      </c>
      <c r="F24" s="1171" t="str">
        <f t="shared" si="1"/>
        <v/>
      </c>
      <c r="G24" s="1171"/>
      <c r="H24" s="1171"/>
      <c r="I24" s="1172"/>
      <c r="J24" s="1172"/>
      <c r="K24" s="1171" t="str">
        <f>IF(ISBLANK(I24), "", IFERROR(VLOOKUP(I24,Sheet2!A:C,3,FALSE),"Number not found"))</f>
        <v/>
      </c>
      <c r="L24" s="1171" t="str">
        <f>IF(ISBLANK(I24), "", IFERROR(VLOOKUP(I24,Sheet2!A:D,4,FALSE),"Number not found"))</f>
        <v/>
      </c>
      <c r="M24" s="1171" t="str">
        <f t="shared" si="2"/>
        <v/>
      </c>
      <c r="N24" s="1171" t="str">
        <f t="shared" si="3"/>
        <v/>
      </c>
    </row>
    <row r="25" spans="2:14">
      <c r="B25" s="1172"/>
      <c r="C25" s="1172"/>
      <c r="D25" s="1171" t="str">
        <f>IF(ISBLANK(B25), "", IFERROR(VLOOKUP(B25,Sheet1!A:C,3,FALSE),"Number not found"))</f>
        <v/>
      </c>
      <c r="E25" s="1171" t="str">
        <f t="shared" si="0"/>
        <v/>
      </c>
      <c r="F25" s="1171" t="str">
        <f t="shared" si="1"/>
        <v/>
      </c>
      <c r="G25" s="1171"/>
      <c r="H25" s="1171"/>
      <c r="I25" s="1172"/>
      <c r="J25" s="1172"/>
      <c r="K25" s="1171" t="str">
        <f>IF(ISBLANK(I25), "", IFERROR(VLOOKUP(I25,Sheet2!A:C,3,FALSE),"Number not found"))</f>
        <v/>
      </c>
      <c r="L25" s="1171" t="str">
        <f>IF(ISBLANK(I25), "", IFERROR(VLOOKUP(I25,Sheet2!A:D,4,FALSE),"Number not found"))</f>
        <v/>
      </c>
      <c r="M25" s="1171" t="str">
        <f t="shared" si="2"/>
        <v/>
      </c>
      <c r="N25" s="1171" t="str">
        <f t="shared" si="3"/>
        <v/>
      </c>
    </row>
    <row r="26" spans="2:14">
      <c r="B26" s="1172"/>
      <c r="C26" s="1172"/>
      <c r="D26" s="1171" t="str">
        <f>IF(ISBLANK(B26), "", IFERROR(VLOOKUP(B26,Sheet1!A:C,3,FALSE),"Number not found"))</f>
        <v/>
      </c>
      <c r="E26" s="1171" t="str">
        <f t="shared" si="0"/>
        <v/>
      </c>
      <c r="F26" s="1171" t="str">
        <f t="shared" si="1"/>
        <v/>
      </c>
      <c r="G26" s="1171"/>
      <c r="H26" s="1171"/>
      <c r="I26" s="1172"/>
      <c r="J26" s="1172"/>
      <c r="K26" s="1171" t="str">
        <f>IF(ISBLANK(I26), "", IFERROR(VLOOKUP(I26,Sheet2!A:C,3,FALSE),"Number not found"))</f>
        <v/>
      </c>
      <c r="L26" s="1171" t="str">
        <f>IF(ISBLANK(I26), "", IFERROR(VLOOKUP(I26,Sheet2!A:D,4,FALSE),"Number not found"))</f>
        <v/>
      </c>
      <c r="M26" s="1171" t="str">
        <f t="shared" si="2"/>
        <v/>
      </c>
      <c r="N26" s="1171" t="str">
        <f t="shared" si="3"/>
        <v/>
      </c>
    </row>
    <row r="27" spans="2:14">
      <c r="B27" s="1172"/>
      <c r="C27" s="1172"/>
      <c r="D27" s="1171" t="str">
        <f>IF(ISBLANK(B27), "", IFERROR(VLOOKUP(B27,Sheet1!A:C,3,FALSE),"Number not found"))</f>
        <v/>
      </c>
      <c r="E27" s="1171" t="str">
        <f t="shared" si="0"/>
        <v/>
      </c>
      <c r="F27" s="1171" t="str">
        <f t="shared" si="1"/>
        <v/>
      </c>
      <c r="G27" s="1171"/>
      <c r="H27" s="1171"/>
      <c r="I27" s="1172"/>
      <c r="J27" s="1172"/>
      <c r="K27" s="1171" t="str">
        <f>IF(ISBLANK(I27), "", IFERROR(VLOOKUP(I27,Sheet2!A:C,3,FALSE),"Number not found"))</f>
        <v/>
      </c>
      <c r="L27" s="1171" t="str">
        <f>IF(ISBLANK(I27), "", IFERROR(VLOOKUP(I27,Sheet2!A:D,4,FALSE),"Number not found"))</f>
        <v/>
      </c>
      <c r="M27" s="1171" t="str">
        <f t="shared" si="2"/>
        <v/>
      </c>
      <c r="N27" s="1171" t="str">
        <f t="shared" si="3"/>
        <v/>
      </c>
    </row>
    <row r="28" spans="2:14">
      <c r="B28" s="1172"/>
      <c r="C28" s="1172"/>
      <c r="D28" s="1171" t="str">
        <f>IF(ISBLANK(B28), "", IFERROR(VLOOKUP(B28,Sheet1!A:C,3,FALSE),"Number not found"))</f>
        <v/>
      </c>
      <c r="E28" s="1171" t="str">
        <f t="shared" si="0"/>
        <v/>
      </c>
      <c r="F28" s="1171" t="str">
        <f t="shared" si="1"/>
        <v/>
      </c>
      <c r="G28" s="1171"/>
      <c r="H28" s="1171"/>
      <c r="I28" s="1172"/>
      <c r="J28" s="1172"/>
      <c r="K28" s="1171" t="str">
        <f>IF(ISBLANK(I28), "", IFERROR(VLOOKUP(I28,Sheet2!A:C,3,FALSE),"Number not found"))</f>
        <v/>
      </c>
      <c r="L28" s="1171" t="str">
        <f>IF(ISBLANK(I28), "", IFERROR(VLOOKUP(I28,Sheet2!A:D,4,FALSE),"Number not found"))</f>
        <v/>
      </c>
      <c r="M28" s="1171" t="str">
        <f t="shared" si="2"/>
        <v/>
      </c>
      <c r="N28" s="1171" t="str">
        <f t="shared" si="3"/>
        <v/>
      </c>
    </row>
    <row r="29" spans="2:14">
      <c r="B29" s="1172"/>
      <c r="C29" s="1172"/>
      <c r="D29" s="1171" t="str">
        <f>IF(ISBLANK(B29), "", IFERROR(VLOOKUP(B29,Sheet1!A:C,3,FALSE),"Number not found"))</f>
        <v/>
      </c>
      <c r="E29" s="1171" t="str">
        <f t="shared" si="0"/>
        <v/>
      </c>
      <c r="F29" s="1171" t="str">
        <f t="shared" si="1"/>
        <v/>
      </c>
      <c r="G29" s="1171"/>
      <c r="H29" s="1171"/>
      <c r="I29" s="1172"/>
      <c r="J29" s="1172"/>
      <c r="K29" s="1171" t="str">
        <f>IF(ISBLANK(I29), "", IFERROR(VLOOKUP(I29,Sheet2!A:C,3,FALSE),"Number not found"))</f>
        <v/>
      </c>
      <c r="L29" s="1171" t="str">
        <f>IF(ISBLANK(I29), "", IFERROR(VLOOKUP(I29,Sheet2!A:D,4,FALSE),"Number not found"))</f>
        <v/>
      </c>
      <c r="M29" s="1171" t="str">
        <f t="shared" si="2"/>
        <v/>
      </c>
      <c r="N29" s="1171" t="str">
        <f t="shared" si="3"/>
        <v/>
      </c>
    </row>
    <row r="30" spans="2:14">
      <c r="B30" s="1172"/>
      <c r="C30" s="1172"/>
      <c r="D30" s="1171" t="str">
        <f>IF(ISBLANK(B30), "", IFERROR(VLOOKUP(B30,Sheet1!A:C,3,FALSE),"Number not found"))</f>
        <v/>
      </c>
      <c r="E30" s="1171" t="str">
        <f t="shared" si="0"/>
        <v/>
      </c>
      <c r="F30" s="1171" t="str">
        <f t="shared" si="1"/>
        <v/>
      </c>
      <c r="G30" s="1171"/>
      <c r="H30" s="1171"/>
      <c r="I30" s="1172"/>
      <c r="J30" s="1172"/>
      <c r="K30" s="1171" t="str">
        <f>IF(ISBLANK(I30), "", IFERROR(VLOOKUP(I30,Sheet2!A:C,3,FALSE),"Number not found"))</f>
        <v/>
      </c>
      <c r="L30" s="1171" t="str">
        <f>IF(ISBLANK(I30), "", IFERROR(VLOOKUP(I30,Sheet2!A:D,4,FALSE),"Number not found"))</f>
        <v/>
      </c>
      <c r="M30" s="1171" t="str">
        <f t="shared" si="2"/>
        <v/>
      </c>
      <c r="N30" s="1171" t="str">
        <f t="shared" si="3"/>
        <v/>
      </c>
    </row>
    <row r="31" spans="2:14">
      <c r="B31" s="1172"/>
      <c r="C31" s="1172"/>
      <c r="D31" s="1171" t="str">
        <f>IF(ISBLANK(B31), "", IFERROR(VLOOKUP(B31,Sheet1!A:C,3,FALSE),"Number not found"))</f>
        <v/>
      </c>
      <c r="E31" s="1171" t="str">
        <f t="shared" si="0"/>
        <v/>
      </c>
      <c r="F31" s="1171" t="str">
        <f t="shared" si="1"/>
        <v/>
      </c>
      <c r="G31" s="1171"/>
      <c r="H31" s="1171"/>
      <c r="I31" s="1172"/>
      <c r="J31" s="1172"/>
      <c r="K31" s="1171" t="str">
        <f>IF(ISBLANK(I31), "", IFERROR(VLOOKUP(I31,Sheet2!A:C,3,FALSE),"Number not found"))</f>
        <v/>
      </c>
      <c r="L31" s="1171" t="str">
        <f>IF(ISBLANK(I31), "", IFERROR(VLOOKUP(I31,Sheet2!A:D,4,FALSE),"Number not found"))</f>
        <v/>
      </c>
      <c r="M31" s="1171" t="str">
        <f t="shared" si="2"/>
        <v/>
      </c>
      <c r="N31" s="1171" t="str">
        <f t="shared" si="3"/>
        <v/>
      </c>
    </row>
    <row r="32" spans="2:14">
      <c r="B32" s="1172"/>
      <c r="C32" s="1172"/>
      <c r="D32" s="1171" t="str">
        <f>IF(ISBLANK(B32), "", IFERROR(VLOOKUP(B32,Sheet1!A:C,3,FALSE),"Number not found"))</f>
        <v/>
      </c>
      <c r="E32" s="1171" t="str">
        <f t="shared" si="0"/>
        <v/>
      </c>
      <c r="F32" s="1171" t="str">
        <f t="shared" si="1"/>
        <v/>
      </c>
      <c r="G32" s="1171"/>
      <c r="H32" s="1171"/>
      <c r="I32" s="1172"/>
      <c r="J32" s="1172"/>
      <c r="K32" s="1171" t="str">
        <f>IF(ISBLANK(I32), "", IFERROR(VLOOKUP(I32,Sheet2!A:C,3,FALSE),"Number not found"))</f>
        <v/>
      </c>
      <c r="L32" s="1171" t="str">
        <f>IF(ISBLANK(I32), "", IFERROR(VLOOKUP(I32,Sheet2!A:D,4,FALSE),"Number not found"))</f>
        <v/>
      </c>
      <c r="M32" s="1171" t="str">
        <f t="shared" si="2"/>
        <v/>
      </c>
      <c r="N32" s="1171" t="str">
        <f t="shared" si="3"/>
        <v/>
      </c>
    </row>
    <row r="33" spans="2:14">
      <c r="B33" s="1172"/>
      <c r="C33" s="1172"/>
      <c r="D33" s="1171" t="str">
        <f>IF(ISBLANK(B33), "", IFERROR(VLOOKUP(B33,Sheet1!A:C,3,FALSE),"Number not found"))</f>
        <v/>
      </c>
      <c r="E33" s="1171" t="str">
        <f t="shared" si="0"/>
        <v/>
      </c>
      <c r="F33" s="1171" t="str">
        <f t="shared" si="1"/>
        <v/>
      </c>
      <c r="G33" s="1171"/>
      <c r="H33" s="1171"/>
      <c r="I33" s="1172"/>
      <c r="J33" s="1172"/>
      <c r="K33" s="1171" t="str">
        <f>IF(ISBLANK(I33), "", IFERROR(VLOOKUP(I33,Sheet2!A:C,3,FALSE),"Number not found"))</f>
        <v/>
      </c>
      <c r="L33" s="1171" t="str">
        <f>IF(ISBLANK(I33), "", IFERROR(VLOOKUP(I33,Sheet2!A:D,4,FALSE),"Number not found"))</f>
        <v/>
      </c>
      <c r="M33" s="1171" t="str">
        <f t="shared" si="2"/>
        <v/>
      </c>
      <c r="N33" s="1171" t="str">
        <f t="shared" si="3"/>
        <v/>
      </c>
    </row>
    <row r="34" spans="2:14">
      <c r="B34" s="1172"/>
      <c r="C34" s="1172"/>
      <c r="D34" s="1171" t="str">
        <f>IF(ISBLANK(B34), "", IFERROR(VLOOKUP(B34,Sheet1!A:C,3,FALSE),"Number not found"))</f>
        <v/>
      </c>
      <c r="E34" s="1171" t="str">
        <f t="shared" si="0"/>
        <v/>
      </c>
      <c r="F34" s="1171" t="str">
        <f t="shared" si="1"/>
        <v/>
      </c>
      <c r="G34" s="1171"/>
      <c r="H34" s="1171"/>
      <c r="I34" s="1172"/>
      <c r="J34" s="1172"/>
      <c r="K34" s="1171" t="str">
        <f>IF(ISBLANK(I34), "", IFERROR(VLOOKUP(I34,Sheet2!A:C,3,FALSE),"Number not found"))</f>
        <v/>
      </c>
      <c r="L34" s="1171" t="str">
        <f>IF(ISBLANK(I34), "", IFERROR(VLOOKUP(I34,Sheet2!A:D,4,FALSE),"Number not found"))</f>
        <v/>
      </c>
      <c r="M34" s="1171" t="str">
        <f t="shared" si="2"/>
        <v/>
      </c>
      <c r="N34" s="1171" t="str">
        <f t="shared" si="3"/>
        <v/>
      </c>
    </row>
    <row r="35" spans="2:14">
      <c r="B35" s="1172"/>
      <c r="C35" s="1172"/>
      <c r="D35" s="1171" t="str">
        <f>IF(ISBLANK(B35), "", IFERROR(VLOOKUP(B35,Sheet1!A:C,3,FALSE),"Number not found"))</f>
        <v/>
      </c>
      <c r="E35" s="1171" t="str">
        <f t="shared" si="0"/>
        <v/>
      </c>
      <c r="F35" s="1171" t="str">
        <f t="shared" si="1"/>
        <v/>
      </c>
      <c r="G35" s="1171"/>
      <c r="H35" s="1171"/>
      <c r="I35" s="1172"/>
      <c r="J35" s="1172"/>
      <c r="K35" s="1171" t="str">
        <f>IF(ISBLANK(I35), "", IFERROR(VLOOKUP(I35,Sheet2!A:C,3,FALSE),"Number not found"))</f>
        <v/>
      </c>
      <c r="L35" s="1171" t="str">
        <f>IF(ISBLANK(I35), "", IFERROR(VLOOKUP(I35,Sheet2!A:D,4,FALSE),"Number not found"))</f>
        <v/>
      </c>
      <c r="M35" s="1171" t="str">
        <f t="shared" si="2"/>
        <v/>
      </c>
      <c r="N35" s="1171" t="str">
        <f t="shared" si="3"/>
        <v/>
      </c>
    </row>
    <row r="36" spans="2:14">
      <c r="B36" s="1172"/>
      <c r="C36" s="1172"/>
      <c r="D36" s="1171" t="str">
        <f>IF(ISBLANK(B36), "", IFERROR(VLOOKUP(B36,Sheet1!A:C,3,FALSE),"Number not found"))</f>
        <v/>
      </c>
      <c r="E36" s="1171" t="str">
        <f t="shared" ref="E36:E62" si="4">IF(ISBLANK(B36),"",IF(ISTEXT(D36),"!",IF(D36=0,"None in collection",IF(D36&gt;C36,"No","Need More"))))</f>
        <v/>
      </c>
      <c r="F36" s="1171" t="str">
        <f t="shared" ref="F36:F62" si="5">IF(ISBLANK(B36),"",IF(C36&gt;D36,C36-D36,""))</f>
        <v/>
      </c>
      <c r="G36" s="1171"/>
      <c r="H36" s="1171"/>
      <c r="I36" s="1172"/>
      <c r="J36" s="1172"/>
      <c r="K36" s="1171" t="str">
        <f>IF(ISBLANK(I36), "", IFERROR(VLOOKUP(I36,Sheet2!A:C,3,FALSE),"Number not found"))</f>
        <v/>
      </c>
      <c r="L36" s="1171" t="str">
        <f>IF(ISBLANK(I36), "", IFERROR(VLOOKUP(I36,Sheet2!A:D,4,FALSE),"Number not found"))</f>
        <v/>
      </c>
      <c r="M36" s="1171" t="str">
        <f t="shared" ref="M36:M62" si="6">IF(ISBLANK(I36),"",IF(ISTEXT(K36),"!",IF(K36=0,"None in collection",IF(K36&gt;J36,"No","Need More"))))</f>
        <v/>
      </c>
      <c r="N36" s="1171" t="str">
        <f t="shared" ref="N36:N62" si="7">IF(ISBLANK(I36),"",IF(J36&gt;K36,J36-K36,""))</f>
        <v/>
      </c>
    </row>
    <row r="37" spans="2:14">
      <c r="B37" s="1172"/>
      <c r="C37" s="1172"/>
      <c r="D37" s="1171" t="str">
        <f>IF(ISBLANK(B37), "", IFERROR(VLOOKUP(B37,Sheet1!A:C,3,FALSE),"Number not found"))</f>
        <v/>
      </c>
      <c r="E37" s="1171" t="str">
        <f t="shared" si="4"/>
        <v/>
      </c>
      <c r="F37" s="1171" t="str">
        <f t="shared" si="5"/>
        <v/>
      </c>
      <c r="G37" s="1171"/>
      <c r="H37" s="1171"/>
      <c r="I37" s="1172"/>
      <c r="J37" s="1172"/>
      <c r="K37" s="1171" t="str">
        <f>IF(ISBLANK(I37), "", IFERROR(VLOOKUP(I37,Sheet2!A:C,3,FALSE),"Number not found"))</f>
        <v/>
      </c>
      <c r="L37" s="1171" t="str">
        <f>IF(ISBLANK(I37), "", IFERROR(VLOOKUP(I37,Sheet2!A:D,4,FALSE),"Number not found"))</f>
        <v/>
      </c>
      <c r="M37" s="1171" t="str">
        <f t="shared" si="6"/>
        <v/>
      </c>
      <c r="N37" s="1171" t="str">
        <f t="shared" si="7"/>
        <v/>
      </c>
    </row>
    <row r="38" spans="2:14">
      <c r="B38" s="1172"/>
      <c r="C38" s="1172"/>
      <c r="D38" s="1171" t="str">
        <f>IF(ISBLANK(B38), "", IFERROR(VLOOKUP(B38,Sheet1!A:C,3,FALSE),"Number not found"))</f>
        <v/>
      </c>
      <c r="E38" s="1171" t="str">
        <f t="shared" si="4"/>
        <v/>
      </c>
      <c r="F38" s="1171" t="str">
        <f t="shared" si="5"/>
        <v/>
      </c>
      <c r="G38" s="1171"/>
      <c r="H38" s="1171"/>
      <c r="I38" s="1172"/>
      <c r="J38" s="1172"/>
      <c r="K38" s="1171" t="str">
        <f>IF(ISBLANK(I38), "", IFERROR(VLOOKUP(I38,Sheet2!A:C,3,FALSE),"Number not found"))</f>
        <v/>
      </c>
      <c r="L38" s="1171" t="str">
        <f>IF(ISBLANK(I38), "", IFERROR(VLOOKUP(I38,Sheet2!A:D,4,FALSE),"Number not found"))</f>
        <v/>
      </c>
      <c r="M38" s="1171" t="str">
        <f t="shared" si="6"/>
        <v/>
      </c>
      <c r="N38" s="1171" t="str">
        <f t="shared" si="7"/>
        <v/>
      </c>
    </row>
    <row r="39" spans="2:14">
      <c r="B39" s="1172"/>
      <c r="C39" s="1172"/>
      <c r="D39" s="1171" t="str">
        <f>IF(ISBLANK(B39), "", IFERROR(VLOOKUP(B39,Sheet1!A:C,3,FALSE),"Number not found"))</f>
        <v/>
      </c>
      <c r="E39" s="1171" t="str">
        <f t="shared" si="4"/>
        <v/>
      </c>
      <c r="F39" s="1171" t="str">
        <f t="shared" si="5"/>
        <v/>
      </c>
      <c r="G39" s="1171"/>
      <c r="H39" s="1171"/>
      <c r="I39" s="1172"/>
      <c r="J39" s="1172"/>
      <c r="K39" s="1171" t="str">
        <f>IF(ISBLANK(I39), "", IFERROR(VLOOKUP(I39,Sheet2!A:C,3,FALSE),"Number not found"))</f>
        <v/>
      </c>
      <c r="L39" s="1171" t="str">
        <f>IF(ISBLANK(I39), "", IFERROR(VLOOKUP(I39,Sheet2!A:D,4,FALSE),"Number not found"))</f>
        <v/>
      </c>
      <c r="M39" s="1171" t="str">
        <f t="shared" si="6"/>
        <v/>
      </c>
      <c r="N39" s="1171" t="str">
        <f t="shared" si="7"/>
        <v/>
      </c>
    </row>
    <row r="40" spans="2:14">
      <c r="B40" s="1172"/>
      <c r="C40" s="1172"/>
      <c r="D40" s="1171" t="str">
        <f>IF(ISBLANK(B40), "", IFERROR(VLOOKUP(B40,Sheet1!A:C,3,FALSE),"Number not found"))</f>
        <v/>
      </c>
      <c r="E40" s="1171" t="str">
        <f t="shared" si="4"/>
        <v/>
      </c>
      <c r="F40" s="1171" t="str">
        <f t="shared" si="5"/>
        <v/>
      </c>
      <c r="G40" s="1171"/>
      <c r="H40" s="1171"/>
      <c r="I40" s="1172"/>
      <c r="J40" s="1172"/>
      <c r="K40" s="1171" t="str">
        <f>IF(ISBLANK(I40), "", IFERROR(VLOOKUP(I40,Sheet2!A:C,3,FALSE),"Number not found"))</f>
        <v/>
      </c>
      <c r="L40" s="1171" t="str">
        <f>IF(ISBLANK(I40), "", IFERROR(VLOOKUP(I40,Sheet2!A:D,4,FALSE),"Number not found"))</f>
        <v/>
      </c>
      <c r="M40" s="1171" t="str">
        <f t="shared" si="6"/>
        <v/>
      </c>
      <c r="N40" s="1171" t="str">
        <f t="shared" si="7"/>
        <v/>
      </c>
    </row>
    <row r="41" spans="2:14">
      <c r="B41" s="1172"/>
      <c r="C41" s="1172"/>
      <c r="D41" s="1171" t="str">
        <f>IF(ISBLANK(B41), "", IFERROR(VLOOKUP(B41,Sheet1!A:C,3,FALSE),"Number not found"))</f>
        <v/>
      </c>
      <c r="E41" s="1171" t="str">
        <f t="shared" si="4"/>
        <v/>
      </c>
      <c r="F41" s="1171" t="str">
        <f t="shared" si="5"/>
        <v/>
      </c>
      <c r="G41" s="1171"/>
      <c r="H41" s="1171"/>
      <c r="I41" s="1172"/>
      <c r="J41" s="1172"/>
      <c r="K41" s="1171" t="str">
        <f>IF(ISBLANK(I41), "", IFERROR(VLOOKUP(I41,Sheet2!A:C,3,FALSE),"Number not found"))</f>
        <v/>
      </c>
      <c r="L41" s="1171" t="str">
        <f>IF(ISBLANK(I41), "", IFERROR(VLOOKUP(I41,Sheet2!A:D,4,FALSE),"Number not found"))</f>
        <v/>
      </c>
      <c r="M41" s="1171" t="str">
        <f t="shared" si="6"/>
        <v/>
      </c>
      <c r="N41" s="1171" t="str">
        <f t="shared" si="7"/>
        <v/>
      </c>
    </row>
    <row r="42" spans="2:14">
      <c r="B42" s="1172"/>
      <c r="C42" s="1172"/>
      <c r="D42" s="1171" t="str">
        <f>IF(ISBLANK(B42), "", IFERROR(VLOOKUP(B42,Sheet1!A:C,3,FALSE),"Number not found"))</f>
        <v/>
      </c>
      <c r="E42" s="1171" t="str">
        <f t="shared" si="4"/>
        <v/>
      </c>
      <c r="F42" s="1171" t="str">
        <f t="shared" si="5"/>
        <v/>
      </c>
      <c r="G42" s="1171"/>
      <c r="H42" s="1171"/>
      <c r="I42" s="1172"/>
      <c r="J42" s="1172"/>
      <c r="K42" s="1171" t="str">
        <f>IF(ISBLANK(I42), "", IFERROR(VLOOKUP(I42,Sheet2!A:C,3,FALSE),"Number not found"))</f>
        <v/>
      </c>
      <c r="L42" s="1171" t="str">
        <f>IF(ISBLANK(I42), "", IFERROR(VLOOKUP(I42,Sheet2!A:D,4,FALSE),"Number not found"))</f>
        <v/>
      </c>
      <c r="M42" s="1171" t="str">
        <f t="shared" si="6"/>
        <v/>
      </c>
      <c r="N42" s="1171" t="str">
        <f t="shared" si="7"/>
        <v/>
      </c>
    </row>
    <row r="43" spans="2:14">
      <c r="B43" s="1172"/>
      <c r="C43" s="1172"/>
      <c r="D43" s="1171" t="str">
        <f>IF(ISBLANK(B43), "", IFERROR(VLOOKUP(B43,Sheet1!A:C,3,FALSE),"Number not found"))</f>
        <v/>
      </c>
      <c r="E43" s="1171" t="str">
        <f t="shared" si="4"/>
        <v/>
      </c>
      <c r="F43" s="1171" t="str">
        <f t="shared" si="5"/>
        <v/>
      </c>
      <c r="G43" s="1171"/>
      <c r="H43" s="1171"/>
      <c r="I43" s="1172"/>
      <c r="J43" s="1172"/>
      <c r="K43" s="1171" t="str">
        <f>IF(ISBLANK(I43), "", IFERROR(VLOOKUP(I43,Sheet2!A:C,3,FALSE),"Number not found"))</f>
        <v/>
      </c>
      <c r="L43" s="1171" t="str">
        <f>IF(ISBLANK(I43), "", IFERROR(VLOOKUP(I43,Sheet2!A:D,4,FALSE),"Number not found"))</f>
        <v/>
      </c>
      <c r="M43" s="1171" t="str">
        <f t="shared" si="6"/>
        <v/>
      </c>
      <c r="N43" s="1171" t="str">
        <f t="shared" si="7"/>
        <v/>
      </c>
    </row>
    <row r="44" spans="2:14">
      <c r="B44" s="1172"/>
      <c r="C44" s="1172"/>
      <c r="D44" s="1171" t="str">
        <f>IF(ISBLANK(B44), "", IFERROR(VLOOKUP(B44,Sheet1!A:C,3,FALSE),"Number not found"))</f>
        <v/>
      </c>
      <c r="E44" s="1171" t="str">
        <f t="shared" si="4"/>
        <v/>
      </c>
      <c r="F44" s="1171" t="str">
        <f t="shared" si="5"/>
        <v/>
      </c>
      <c r="G44" s="1171"/>
      <c r="H44" s="1171"/>
      <c r="I44" s="1172"/>
      <c r="J44" s="1172"/>
      <c r="K44" s="1171" t="str">
        <f>IF(ISBLANK(I44), "", IFERROR(VLOOKUP(I44,Sheet2!A:C,3,FALSE),"Number not found"))</f>
        <v/>
      </c>
      <c r="L44" s="1171" t="str">
        <f>IF(ISBLANK(I44), "", IFERROR(VLOOKUP(I44,Sheet2!A:D,4,FALSE),"Number not found"))</f>
        <v/>
      </c>
      <c r="M44" s="1171" t="str">
        <f t="shared" si="6"/>
        <v/>
      </c>
      <c r="N44" s="1171" t="str">
        <f t="shared" si="7"/>
        <v/>
      </c>
    </row>
    <row r="45" spans="2:14">
      <c r="B45" s="1172"/>
      <c r="C45" s="1172"/>
      <c r="D45" s="1171" t="str">
        <f>IF(ISBLANK(B45), "", IFERROR(VLOOKUP(B45,Sheet1!A:C,3,FALSE),"Number not found"))</f>
        <v/>
      </c>
      <c r="E45" s="1171" t="str">
        <f t="shared" si="4"/>
        <v/>
      </c>
      <c r="F45" s="1171" t="str">
        <f t="shared" si="5"/>
        <v/>
      </c>
      <c r="G45" s="1171"/>
      <c r="H45" s="1171"/>
      <c r="I45" s="1172"/>
      <c r="J45" s="1172"/>
      <c r="K45" s="1171" t="str">
        <f>IF(ISBLANK(I45), "", IFERROR(VLOOKUP(I45,Sheet2!A:C,3,FALSE),"Number not found"))</f>
        <v/>
      </c>
      <c r="L45" s="1171" t="str">
        <f>IF(ISBLANK(I45), "", IFERROR(VLOOKUP(I45,Sheet2!A:D,4,FALSE),"Number not found"))</f>
        <v/>
      </c>
      <c r="M45" s="1171" t="str">
        <f t="shared" si="6"/>
        <v/>
      </c>
      <c r="N45" s="1171" t="str">
        <f t="shared" si="7"/>
        <v/>
      </c>
    </row>
    <row r="46" spans="2:14">
      <c r="B46" s="1172"/>
      <c r="C46" s="1172"/>
      <c r="D46" s="1171" t="str">
        <f>IF(ISBLANK(B46), "", IFERROR(VLOOKUP(B46,Sheet1!A:C,3,FALSE),"Number not found"))</f>
        <v/>
      </c>
      <c r="E46" s="1171" t="str">
        <f t="shared" si="4"/>
        <v/>
      </c>
      <c r="F46" s="1171" t="str">
        <f t="shared" si="5"/>
        <v/>
      </c>
      <c r="G46" s="1171"/>
      <c r="H46" s="1171"/>
      <c r="I46" s="1172"/>
      <c r="J46" s="1172"/>
      <c r="K46" s="1171" t="str">
        <f>IF(ISBLANK(I46), "", IFERROR(VLOOKUP(I46,Sheet2!A:C,3,FALSE),"Number not found"))</f>
        <v/>
      </c>
      <c r="L46" s="1171" t="str">
        <f>IF(ISBLANK(I46), "", IFERROR(VLOOKUP(I46,Sheet2!A:D,4,FALSE),"Number not found"))</f>
        <v/>
      </c>
      <c r="M46" s="1171" t="str">
        <f t="shared" si="6"/>
        <v/>
      </c>
      <c r="N46" s="1171" t="str">
        <f t="shared" si="7"/>
        <v/>
      </c>
    </row>
    <row r="47" spans="2:14">
      <c r="B47" s="1172"/>
      <c r="C47" s="1172"/>
      <c r="D47" s="1171" t="str">
        <f>IF(ISBLANK(B47), "", IFERROR(VLOOKUP(B47,Sheet1!A:C,3,FALSE),"Number not found"))</f>
        <v/>
      </c>
      <c r="E47" s="1171" t="str">
        <f t="shared" si="4"/>
        <v/>
      </c>
      <c r="F47" s="1171" t="str">
        <f t="shared" si="5"/>
        <v/>
      </c>
      <c r="G47" s="1171"/>
      <c r="H47" s="1171"/>
      <c r="I47" s="1172"/>
      <c r="J47" s="1172"/>
      <c r="K47" s="1171" t="str">
        <f>IF(ISBLANK(I47), "", IFERROR(VLOOKUP(I47,Sheet2!A:C,3,FALSE),"Number not found"))</f>
        <v/>
      </c>
      <c r="L47" s="1171" t="str">
        <f>IF(ISBLANK(I47), "", IFERROR(VLOOKUP(I47,Sheet2!A:D,4,FALSE),"Number not found"))</f>
        <v/>
      </c>
      <c r="M47" s="1171" t="str">
        <f t="shared" si="6"/>
        <v/>
      </c>
      <c r="N47" s="1171" t="str">
        <f t="shared" si="7"/>
        <v/>
      </c>
    </row>
    <row r="48" spans="2:14">
      <c r="B48" s="1172"/>
      <c r="C48" s="1172"/>
      <c r="D48" s="1171" t="str">
        <f>IF(ISBLANK(B48), "", IFERROR(VLOOKUP(B48,Sheet1!A:C,3,FALSE),"Number not found"))</f>
        <v/>
      </c>
      <c r="E48" s="1171" t="str">
        <f t="shared" si="4"/>
        <v/>
      </c>
      <c r="F48" s="1171" t="str">
        <f t="shared" si="5"/>
        <v/>
      </c>
      <c r="G48" s="1171"/>
      <c r="H48" s="1171"/>
      <c r="I48" s="1172"/>
      <c r="J48" s="1172"/>
      <c r="K48" s="1171" t="str">
        <f>IF(ISBLANK(I48), "", IFERROR(VLOOKUP(I48,Sheet2!A:C,3,FALSE),"Number not found"))</f>
        <v/>
      </c>
      <c r="L48" s="1171" t="str">
        <f>IF(ISBLANK(I48), "", IFERROR(VLOOKUP(I48,Sheet2!A:D,4,FALSE),"Number not found"))</f>
        <v/>
      </c>
      <c r="M48" s="1171" t="str">
        <f t="shared" si="6"/>
        <v/>
      </c>
      <c r="N48" s="1171" t="str">
        <f t="shared" si="7"/>
        <v/>
      </c>
    </row>
    <row r="49" spans="2:14">
      <c r="B49" s="1172"/>
      <c r="C49" s="1172"/>
      <c r="D49" s="1171" t="str">
        <f>IF(ISBLANK(B49), "", IFERROR(VLOOKUP(B49,Sheet1!A:C,3,FALSE),"Number not found"))</f>
        <v/>
      </c>
      <c r="E49" s="1171" t="str">
        <f t="shared" si="4"/>
        <v/>
      </c>
      <c r="F49" s="1171" t="str">
        <f t="shared" si="5"/>
        <v/>
      </c>
      <c r="G49" s="1171"/>
      <c r="H49" s="1171"/>
      <c r="I49" s="1172"/>
      <c r="J49" s="1172"/>
      <c r="K49" s="1171" t="str">
        <f>IF(ISBLANK(I49), "", IFERROR(VLOOKUP(I49,Sheet2!A:C,3,FALSE),"Number not found"))</f>
        <v/>
      </c>
      <c r="L49" s="1171" t="str">
        <f>IF(ISBLANK(I49), "", IFERROR(VLOOKUP(I49,Sheet2!A:D,4,FALSE),"Number not found"))</f>
        <v/>
      </c>
      <c r="M49" s="1171" t="str">
        <f t="shared" si="6"/>
        <v/>
      </c>
      <c r="N49" s="1171" t="str">
        <f t="shared" si="7"/>
        <v/>
      </c>
    </row>
    <row r="50" spans="2:14">
      <c r="B50" s="1172"/>
      <c r="C50" s="1172"/>
      <c r="D50" s="1171" t="str">
        <f>IF(ISBLANK(B50), "", IFERROR(VLOOKUP(B50,Sheet1!A:C,3,FALSE),"Number not found"))</f>
        <v/>
      </c>
      <c r="E50" s="1171" t="str">
        <f t="shared" si="4"/>
        <v/>
      </c>
      <c r="F50" s="1171" t="str">
        <f t="shared" si="5"/>
        <v/>
      </c>
      <c r="G50" s="1171"/>
      <c r="H50" s="1171"/>
      <c r="I50" s="1172"/>
      <c r="J50" s="1172"/>
      <c r="K50" s="1171" t="str">
        <f>IF(ISBLANK(I50), "", IFERROR(VLOOKUP(I50,Sheet2!A:C,3,FALSE),"Number not found"))</f>
        <v/>
      </c>
      <c r="L50" s="1171" t="str">
        <f>IF(ISBLANK(I50), "", IFERROR(VLOOKUP(I50,Sheet2!A:D,4,FALSE),"Number not found"))</f>
        <v/>
      </c>
      <c r="M50" s="1171" t="str">
        <f t="shared" si="6"/>
        <v/>
      </c>
      <c r="N50" s="1171" t="str">
        <f t="shared" si="7"/>
        <v/>
      </c>
    </row>
    <row r="51" spans="2:14">
      <c r="B51" s="1172"/>
      <c r="C51" s="1172"/>
      <c r="D51" s="1171" t="str">
        <f>IF(ISBLANK(B51), "", IFERROR(VLOOKUP(B51,Sheet1!A:C,3,FALSE),"Number not found"))</f>
        <v/>
      </c>
      <c r="E51" s="1171" t="str">
        <f t="shared" si="4"/>
        <v/>
      </c>
      <c r="F51" s="1171" t="str">
        <f t="shared" si="5"/>
        <v/>
      </c>
      <c r="G51" s="1171"/>
      <c r="H51" s="1171"/>
      <c r="I51" s="1172"/>
      <c r="J51" s="1172"/>
      <c r="K51" s="1171" t="str">
        <f>IF(ISBLANK(I51), "", IFERROR(VLOOKUP(I51,Sheet2!A:C,3,FALSE),"Number not found"))</f>
        <v/>
      </c>
      <c r="L51" s="1171" t="str">
        <f>IF(ISBLANK(I51), "", IFERROR(VLOOKUP(I51,Sheet2!A:D,4,FALSE),"Number not found"))</f>
        <v/>
      </c>
      <c r="M51" s="1171" t="str">
        <f t="shared" si="6"/>
        <v/>
      </c>
      <c r="N51" s="1171" t="str">
        <f t="shared" si="7"/>
        <v/>
      </c>
    </row>
    <row r="52" spans="2:14">
      <c r="B52" s="1172"/>
      <c r="C52" s="1172"/>
      <c r="D52" s="1171" t="str">
        <f>IF(ISBLANK(B52), "", IFERROR(VLOOKUP(B52,Sheet1!A:C,3,FALSE),"Number not found"))</f>
        <v/>
      </c>
      <c r="E52" s="1171" t="str">
        <f t="shared" si="4"/>
        <v/>
      </c>
      <c r="F52" s="1171" t="str">
        <f t="shared" si="5"/>
        <v/>
      </c>
      <c r="G52" s="1171"/>
      <c r="H52" s="1171"/>
      <c r="I52" s="1172"/>
      <c r="J52" s="1172"/>
      <c r="K52" s="1171" t="str">
        <f>IF(ISBLANK(I52), "", IFERROR(VLOOKUP(I52,Sheet2!A:C,3,FALSE),"Number not found"))</f>
        <v/>
      </c>
      <c r="L52" s="1171" t="str">
        <f>IF(ISBLANK(I52), "", IFERROR(VLOOKUP(I52,Sheet2!A:D,4,FALSE),"Number not found"))</f>
        <v/>
      </c>
      <c r="M52" s="1171" t="str">
        <f t="shared" si="6"/>
        <v/>
      </c>
      <c r="N52" s="1171" t="str">
        <f t="shared" si="7"/>
        <v/>
      </c>
    </row>
    <row r="53" spans="2:14">
      <c r="B53" s="1172"/>
      <c r="C53" s="1172"/>
      <c r="D53" s="1171" t="str">
        <f>IF(ISBLANK(B53), "", IFERROR(VLOOKUP(B53,Sheet1!A:C,3,FALSE),"Number not found"))</f>
        <v/>
      </c>
      <c r="E53" s="1171" t="str">
        <f t="shared" si="4"/>
        <v/>
      </c>
      <c r="F53" s="1171" t="str">
        <f t="shared" si="5"/>
        <v/>
      </c>
      <c r="G53" s="1171"/>
      <c r="H53" s="1171"/>
      <c r="I53" s="1172"/>
      <c r="J53" s="1172"/>
      <c r="K53" s="1171" t="str">
        <f>IF(ISBLANK(I53), "", IFERROR(VLOOKUP(I53,Sheet2!A:C,3,FALSE),"Number not found"))</f>
        <v/>
      </c>
      <c r="L53" s="1171" t="str">
        <f>IF(ISBLANK(I53), "", IFERROR(VLOOKUP(I53,Sheet2!A:D,4,FALSE),"Number not found"))</f>
        <v/>
      </c>
      <c r="M53" s="1171" t="str">
        <f t="shared" si="6"/>
        <v/>
      </c>
      <c r="N53" s="1171" t="str">
        <f t="shared" si="7"/>
        <v/>
      </c>
    </row>
    <row r="54" spans="2:14">
      <c r="B54" s="1172"/>
      <c r="C54" s="1172"/>
      <c r="D54" s="1171" t="str">
        <f>IF(ISBLANK(B54), "", IFERROR(VLOOKUP(B54,Sheet1!A:C,3,FALSE),"Number not found"))</f>
        <v/>
      </c>
      <c r="E54" s="1171" t="str">
        <f t="shared" si="4"/>
        <v/>
      </c>
      <c r="F54" s="1171" t="str">
        <f t="shared" si="5"/>
        <v/>
      </c>
      <c r="G54" s="1171"/>
      <c r="H54" s="1171"/>
      <c r="I54" s="1172"/>
      <c r="J54" s="1172"/>
      <c r="K54" s="1171" t="str">
        <f>IF(ISBLANK(I54), "", IFERROR(VLOOKUP(I54,Sheet2!A:C,3,FALSE),"Number not found"))</f>
        <v/>
      </c>
      <c r="L54" s="1171" t="str">
        <f>IF(ISBLANK(I54), "", IFERROR(VLOOKUP(I54,Sheet2!A:D,4,FALSE),"Number not found"))</f>
        <v/>
      </c>
      <c r="M54" s="1171" t="str">
        <f t="shared" si="6"/>
        <v/>
      </c>
      <c r="N54" s="1171" t="str">
        <f t="shared" si="7"/>
        <v/>
      </c>
    </row>
    <row r="55" spans="2:14">
      <c r="B55" s="1172"/>
      <c r="C55" s="1172"/>
      <c r="D55" s="1171" t="str">
        <f>IF(ISBLANK(B55), "", IFERROR(VLOOKUP(B55,Sheet1!A:C,3,FALSE),"Number not found"))</f>
        <v/>
      </c>
      <c r="E55" s="1171" t="str">
        <f t="shared" si="4"/>
        <v/>
      </c>
      <c r="F55" s="1171" t="str">
        <f t="shared" si="5"/>
        <v/>
      </c>
      <c r="G55" s="1171"/>
      <c r="H55" s="1171"/>
      <c r="I55" s="1172"/>
      <c r="J55" s="1172"/>
      <c r="K55" s="1171" t="str">
        <f>IF(ISBLANK(I55), "", IFERROR(VLOOKUP(I55,Sheet2!A:C,3,FALSE),"Number not found"))</f>
        <v/>
      </c>
      <c r="L55" s="1171" t="str">
        <f>IF(ISBLANK(I55), "", IFERROR(VLOOKUP(I55,Sheet2!A:D,4,FALSE),"Number not found"))</f>
        <v/>
      </c>
      <c r="M55" s="1171" t="str">
        <f t="shared" si="6"/>
        <v/>
      </c>
      <c r="N55" s="1171" t="str">
        <f t="shared" si="7"/>
        <v/>
      </c>
    </row>
    <row r="56" spans="2:14">
      <c r="B56" s="1172"/>
      <c r="C56" s="1172"/>
      <c r="D56" s="1171" t="str">
        <f>IF(ISBLANK(B56), "", IFERROR(VLOOKUP(B56,Sheet1!A:C,3,FALSE),"Number not found"))</f>
        <v/>
      </c>
      <c r="E56" s="1171" t="str">
        <f t="shared" si="4"/>
        <v/>
      </c>
      <c r="F56" s="1171" t="str">
        <f t="shared" si="5"/>
        <v/>
      </c>
      <c r="G56" s="1171"/>
      <c r="H56" s="1171"/>
      <c r="I56" s="1172"/>
      <c r="J56" s="1172"/>
      <c r="K56" s="1171" t="str">
        <f>IF(ISBLANK(I56), "", IFERROR(VLOOKUP(I56,Sheet2!A:C,3,FALSE),"Number not found"))</f>
        <v/>
      </c>
      <c r="L56" s="1171" t="str">
        <f>IF(ISBLANK(I56), "", IFERROR(VLOOKUP(I56,Sheet2!A:D,4,FALSE),"Number not found"))</f>
        <v/>
      </c>
      <c r="M56" s="1171" t="str">
        <f t="shared" si="6"/>
        <v/>
      </c>
      <c r="N56" s="1171" t="str">
        <f t="shared" si="7"/>
        <v/>
      </c>
    </row>
    <row r="57" spans="2:14">
      <c r="B57" s="1172"/>
      <c r="C57" s="1172"/>
      <c r="D57" s="1171" t="str">
        <f>IF(ISBLANK(B57), "", IFERROR(VLOOKUP(B57,Sheet1!A:C,3,FALSE),"Number not found"))</f>
        <v/>
      </c>
      <c r="E57" s="1171" t="str">
        <f t="shared" si="4"/>
        <v/>
      </c>
      <c r="F57" s="1171" t="str">
        <f t="shared" si="5"/>
        <v/>
      </c>
      <c r="G57" s="1171"/>
      <c r="H57" s="1171"/>
      <c r="I57" s="1172"/>
      <c r="J57" s="1172"/>
      <c r="K57" s="1171" t="str">
        <f>IF(ISBLANK(I57), "", IFERROR(VLOOKUP(I57,Sheet2!A:C,3,FALSE),"Number not found"))</f>
        <v/>
      </c>
      <c r="L57" s="1171" t="str">
        <f>IF(ISBLANK(I57), "", IFERROR(VLOOKUP(I57,Sheet2!A:D,4,FALSE),"Number not found"))</f>
        <v/>
      </c>
      <c r="M57" s="1171" t="str">
        <f t="shared" si="6"/>
        <v/>
      </c>
      <c r="N57" s="1171" t="str">
        <f t="shared" si="7"/>
        <v/>
      </c>
    </row>
    <row r="58" spans="2:14">
      <c r="B58" s="1172"/>
      <c r="C58" s="1172"/>
      <c r="D58" s="1171" t="str">
        <f>IF(ISBLANK(B58), "", IFERROR(VLOOKUP(B58,Sheet1!A:C,3,FALSE),"Number not found"))</f>
        <v/>
      </c>
      <c r="E58" s="1171" t="str">
        <f t="shared" si="4"/>
        <v/>
      </c>
      <c r="F58" s="1171" t="str">
        <f t="shared" si="5"/>
        <v/>
      </c>
      <c r="G58" s="1171"/>
      <c r="H58" s="1171"/>
      <c r="I58" s="1172"/>
      <c r="J58" s="1172"/>
      <c r="K58" s="1171" t="str">
        <f>IF(ISBLANK(I58), "", IFERROR(VLOOKUP(I58,Sheet2!A:C,3,FALSE),"Number not found"))</f>
        <v/>
      </c>
      <c r="L58" s="1171" t="str">
        <f>IF(ISBLANK(I58), "", IFERROR(VLOOKUP(I58,Sheet2!A:D,4,FALSE),"Number not found"))</f>
        <v/>
      </c>
      <c r="M58" s="1171" t="str">
        <f t="shared" si="6"/>
        <v/>
      </c>
      <c r="N58" s="1171" t="str">
        <f t="shared" si="7"/>
        <v/>
      </c>
    </row>
    <row r="59" spans="2:14">
      <c r="B59" s="1172"/>
      <c r="C59" s="1172"/>
      <c r="D59" s="1171" t="str">
        <f>IF(ISBLANK(B59), "", IFERROR(VLOOKUP(B59,Sheet1!A:C,3,FALSE),"Number not found"))</f>
        <v/>
      </c>
      <c r="E59" s="1171" t="str">
        <f t="shared" si="4"/>
        <v/>
      </c>
      <c r="F59" s="1171" t="str">
        <f t="shared" si="5"/>
        <v/>
      </c>
      <c r="G59" s="1171"/>
      <c r="H59" s="1171"/>
      <c r="I59" s="1172"/>
      <c r="J59" s="1172"/>
      <c r="K59" s="1171" t="str">
        <f>IF(ISBLANK(I59), "", IFERROR(VLOOKUP(I59,Sheet2!A:C,3,FALSE),"Number not found"))</f>
        <v/>
      </c>
      <c r="L59" s="1171" t="str">
        <f>IF(ISBLANK(I59), "", IFERROR(VLOOKUP(I59,Sheet2!A:D,4,FALSE),"Number not found"))</f>
        <v/>
      </c>
      <c r="M59" s="1171" t="str">
        <f t="shared" si="6"/>
        <v/>
      </c>
      <c r="N59" s="1171" t="str">
        <f t="shared" si="7"/>
        <v/>
      </c>
    </row>
    <row r="60" spans="2:14">
      <c r="B60" s="1172"/>
      <c r="C60" s="1172"/>
      <c r="D60" s="1171" t="str">
        <f>IF(ISBLANK(B60), "", IFERROR(VLOOKUP(B60,Sheet1!A:C,3,FALSE),"Number not found"))</f>
        <v/>
      </c>
      <c r="E60" s="1171" t="str">
        <f t="shared" si="4"/>
        <v/>
      </c>
      <c r="F60" s="1171" t="str">
        <f t="shared" si="5"/>
        <v/>
      </c>
      <c r="G60" s="1171"/>
      <c r="H60" s="1171"/>
      <c r="I60" s="1172"/>
      <c r="J60" s="1172"/>
      <c r="K60" s="1171" t="str">
        <f>IF(ISBLANK(I60), "", IFERROR(VLOOKUP(I60,Sheet2!A:C,3,FALSE),"Number not found"))</f>
        <v/>
      </c>
      <c r="L60" s="1171" t="str">
        <f>IF(ISBLANK(I60), "", IFERROR(VLOOKUP(I60,Sheet2!A:D,4,FALSE),"Number not found"))</f>
        <v/>
      </c>
      <c r="M60" s="1171" t="str">
        <f t="shared" si="6"/>
        <v/>
      </c>
      <c r="N60" s="1171" t="str">
        <f t="shared" si="7"/>
        <v/>
      </c>
    </row>
    <row r="61" spans="2:14">
      <c r="B61" s="1172"/>
      <c r="C61" s="1172"/>
      <c r="D61" s="1171" t="str">
        <f>IF(ISBLANK(B61), "", IFERROR(VLOOKUP(B61,Sheet1!A:C,3,FALSE),"Number not found"))</f>
        <v/>
      </c>
      <c r="E61" s="1171" t="str">
        <f t="shared" si="4"/>
        <v/>
      </c>
      <c r="F61" s="1171" t="str">
        <f t="shared" si="5"/>
        <v/>
      </c>
      <c r="G61" s="1171"/>
      <c r="H61" s="1171"/>
      <c r="I61" s="1172"/>
      <c r="J61" s="1172"/>
      <c r="K61" s="1171" t="str">
        <f>IF(ISBLANK(I61), "", IFERROR(VLOOKUP(I61,Sheet2!A:C,3,FALSE),"Number not found"))</f>
        <v/>
      </c>
      <c r="L61" s="1171" t="str">
        <f>IF(ISBLANK(I61), "", IFERROR(VLOOKUP(I61,Sheet2!A:D,4,FALSE),"Number not found"))</f>
        <v/>
      </c>
      <c r="M61" s="1171" t="str">
        <f t="shared" si="6"/>
        <v/>
      </c>
      <c r="N61" s="1171" t="str">
        <f t="shared" si="7"/>
        <v/>
      </c>
    </row>
    <row r="62" spans="2:14">
      <c r="B62" s="1172"/>
      <c r="C62" s="1172"/>
      <c r="D62" s="1171" t="str">
        <f>IF(ISBLANK(B62), "", IFERROR(VLOOKUP(B62,Sheet1!A:C,3,FALSE),"Number not found"))</f>
        <v/>
      </c>
      <c r="E62" s="1171" t="str">
        <f t="shared" si="4"/>
        <v/>
      </c>
      <c r="F62" s="1171" t="str">
        <f t="shared" si="5"/>
        <v/>
      </c>
      <c r="G62" s="1171"/>
      <c r="H62" s="1171"/>
      <c r="I62" s="1172"/>
      <c r="J62" s="1172"/>
      <c r="K62" s="1171" t="str">
        <f>IF(ISBLANK(I62), "", IFERROR(VLOOKUP(I62,Sheet2!A:C,3,FALSE),"Number not found"))</f>
        <v/>
      </c>
      <c r="L62" s="1171" t="str">
        <f>IF(ISBLANK(I62), "", IFERROR(VLOOKUP(I62,Sheet2!A:D,4,FALSE),"Number not found"))</f>
        <v/>
      </c>
      <c r="M62" s="1171" t="str">
        <f t="shared" si="6"/>
        <v/>
      </c>
      <c r="N62" s="1171" t="str">
        <f t="shared" si="7"/>
        <v/>
      </c>
    </row>
  </sheetData>
  <sheetProtection algorithmName="SHA-512" hashValue="oCeUR0aSd1QP8r6mD2BRsSmQl/R5AOZ7BaIxnvaf4HZZTLkYCPydnV+QD5uPmgDnIPNUaR0CjBf3htOO6TgHUw==" saltValue="V3asjr55KENZiesVV8PQSw==" spinCount="100000" sheet="1" objects="1" scenarios="1"/>
  <mergeCells count="2">
    <mergeCell ref="B2:F2"/>
    <mergeCell ref="I2:N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91BF-4267-4A10-AAC1-B4A7538BC053}">
  <sheetPr>
    <tabColor theme="4"/>
  </sheetPr>
  <dimension ref="B1:L27"/>
  <sheetViews>
    <sheetView workbookViewId="0">
      <selection activeCell="R21" sqref="R21"/>
    </sheetView>
  </sheetViews>
  <sheetFormatPr baseColWidth="10" defaultColWidth="8.83203125" defaultRowHeight="16"/>
  <cols>
    <col min="1" max="2" width="8.83203125" style="1094"/>
    <col min="3" max="3" width="10.5" style="1094" customWidth="1"/>
    <col min="4" max="16384" width="8.83203125" style="1094"/>
  </cols>
  <sheetData>
    <row r="1" spans="2:12" ht="17" thickBot="1"/>
    <row r="2" spans="2:12">
      <c r="B2" s="2144" t="s">
        <v>1184</v>
      </c>
      <c r="C2" s="2145"/>
      <c r="D2" s="2145"/>
      <c r="E2" s="2145"/>
      <c r="F2" s="2145"/>
      <c r="G2" s="2145"/>
      <c r="H2" s="2145"/>
      <c r="I2" s="2145"/>
      <c r="J2" s="2145"/>
      <c r="K2" s="2145"/>
      <c r="L2" s="2146"/>
    </row>
    <row r="3" spans="2:12" ht="17" thickBot="1">
      <c r="B3" s="2156"/>
      <c r="C3" s="2157"/>
      <c r="D3" s="2157"/>
      <c r="E3" s="2157"/>
      <c r="F3" s="2157"/>
      <c r="G3" s="2157"/>
      <c r="H3" s="2157"/>
      <c r="I3" s="2157"/>
      <c r="J3" s="2157"/>
      <c r="K3" s="2157"/>
      <c r="L3" s="2158"/>
    </row>
    <row r="4" spans="2:12">
      <c r="B4" s="1076"/>
      <c r="C4" s="1077"/>
      <c r="D4" s="1077"/>
      <c r="E4" s="1077"/>
      <c r="F4" s="1077"/>
      <c r="G4" s="1077"/>
      <c r="H4" s="1077"/>
      <c r="I4" s="1077"/>
      <c r="J4" s="1077"/>
      <c r="K4" s="1077"/>
      <c r="L4" s="1078"/>
    </row>
    <row r="5" spans="2:12" ht="17" thickBot="1">
      <c r="B5" s="1072"/>
      <c r="C5" s="1073"/>
      <c r="D5" s="1073"/>
      <c r="E5" s="1073"/>
      <c r="F5" s="1073"/>
      <c r="G5" s="1073" t="s">
        <v>1185</v>
      </c>
      <c r="H5" s="1073"/>
      <c r="I5" s="1073"/>
      <c r="J5" s="1073"/>
      <c r="K5" s="1073"/>
      <c r="L5" s="1079"/>
    </row>
    <row r="6" spans="2:12" ht="17" thickBot="1">
      <c r="B6" s="1072"/>
      <c r="C6" s="1073"/>
      <c r="D6" s="1073"/>
      <c r="E6" s="1801">
        <v>100</v>
      </c>
      <c r="F6" s="1081" t="s">
        <v>1186</v>
      </c>
      <c r="G6" s="1073"/>
      <c r="H6" s="1801">
        <v>100</v>
      </c>
      <c r="I6" s="1081" t="s">
        <v>1181</v>
      </c>
      <c r="J6" s="1081"/>
      <c r="K6" s="1081"/>
      <c r="L6" s="1079"/>
    </row>
    <row r="7" spans="2:12" ht="17" thickBot="1">
      <c r="B7" s="1074"/>
      <c r="C7" s="1075"/>
      <c r="D7" s="1075"/>
      <c r="E7" s="1075"/>
      <c r="F7" s="1075"/>
      <c r="G7" s="1075"/>
      <c r="H7" s="1075"/>
      <c r="I7" s="1075"/>
      <c r="J7" s="1075"/>
      <c r="K7" s="1075"/>
      <c r="L7" s="1080"/>
    </row>
    <row r="8" spans="2:12">
      <c r="B8" s="1084"/>
      <c r="C8" s="1085"/>
      <c r="D8" s="1085"/>
      <c r="E8" s="1085"/>
      <c r="F8" s="1085"/>
      <c r="G8" s="1085"/>
      <c r="H8" s="1085"/>
      <c r="I8" s="1085"/>
      <c r="J8" s="1085"/>
      <c r="K8" s="1085"/>
      <c r="L8" s="1086"/>
    </row>
    <row r="9" spans="2:12">
      <c r="B9" s="1087"/>
      <c r="C9" s="2155" t="s">
        <v>1182</v>
      </c>
      <c r="D9" s="2155"/>
      <c r="E9" s="1088" t="s">
        <v>1191</v>
      </c>
      <c r="F9" s="1088" t="s">
        <v>1192</v>
      </c>
      <c r="G9" s="1088" t="s">
        <v>1201</v>
      </c>
      <c r="H9" s="1088" t="s">
        <v>1194</v>
      </c>
      <c r="I9" s="1088" t="s">
        <v>1193</v>
      </c>
      <c r="J9" s="1088" t="s">
        <v>1195</v>
      </c>
      <c r="K9" s="1088" t="s">
        <v>1196</v>
      </c>
      <c r="L9" s="1089"/>
    </row>
    <row r="10" spans="2:12">
      <c r="B10" s="1090"/>
      <c r="C10" s="1091"/>
      <c r="D10" s="1092"/>
      <c r="E10" s="1092"/>
      <c r="F10" s="1092"/>
      <c r="G10" s="1092"/>
      <c r="H10" s="1092"/>
      <c r="I10" s="1092"/>
      <c r="J10" s="1092"/>
      <c r="K10" s="1092"/>
      <c r="L10" s="1093"/>
    </row>
    <row r="11" spans="2:12">
      <c r="B11" s="1087"/>
      <c r="C11" s="2155" t="s">
        <v>1197</v>
      </c>
      <c r="D11" s="2155"/>
      <c r="L11" s="1089"/>
    </row>
    <row r="12" spans="2:12">
      <c r="B12" s="1072"/>
      <c r="C12" s="2159" t="s">
        <v>1188</v>
      </c>
      <c r="D12" s="2159"/>
      <c r="E12" s="1099">
        <f>E14*2.54</f>
        <v>23.090909090909093</v>
      </c>
      <c r="F12" s="1099">
        <f t="shared" ref="F12" si="0">F14*2.54</f>
        <v>18.142857142857142</v>
      </c>
      <c r="G12" s="1099">
        <f t="shared" ref="G12:K12" si="1">G14*2.54</f>
        <v>15.875</v>
      </c>
      <c r="H12" s="1099">
        <f t="shared" si="1"/>
        <v>14.111111111111111</v>
      </c>
      <c r="I12" s="1099">
        <f t="shared" si="1"/>
        <v>12.7</v>
      </c>
      <c r="J12" s="1099">
        <f t="shared" si="1"/>
        <v>11.545454545454547</v>
      </c>
      <c r="K12" s="1099">
        <f t="shared" si="1"/>
        <v>10.583333333333334</v>
      </c>
      <c r="L12" s="1089"/>
    </row>
    <row r="13" spans="2:12">
      <c r="B13" s="1072"/>
      <c r="C13" s="2159" t="s">
        <v>1187</v>
      </c>
      <c r="D13" s="2159"/>
      <c r="E13" s="1099">
        <f>E15*2.54</f>
        <v>23.090909090909093</v>
      </c>
      <c r="F13" s="1099">
        <f t="shared" ref="F13" si="2">F15*2.54</f>
        <v>18.142857142857142</v>
      </c>
      <c r="G13" s="1099">
        <f t="shared" ref="G13:K13" si="3">G15*2.54</f>
        <v>15.875</v>
      </c>
      <c r="H13" s="1099">
        <f t="shared" si="3"/>
        <v>14.111111111111111</v>
      </c>
      <c r="I13" s="1099">
        <f t="shared" si="3"/>
        <v>12.7</v>
      </c>
      <c r="J13" s="1099">
        <f t="shared" si="3"/>
        <v>11.545454545454547</v>
      </c>
      <c r="K13" s="1099">
        <f t="shared" si="3"/>
        <v>10.583333333333334</v>
      </c>
      <c r="L13" s="1089"/>
    </row>
    <row r="14" spans="2:12">
      <c r="B14" s="1072"/>
      <c r="C14" s="2159" t="s">
        <v>1189</v>
      </c>
      <c r="D14" s="2159"/>
      <c r="E14" s="1099">
        <f>$E$6/11</f>
        <v>9.0909090909090917</v>
      </c>
      <c r="F14" s="1099">
        <f>$E$6/14</f>
        <v>7.1428571428571432</v>
      </c>
      <c r="G14" s="1099">
        <f>$E$6/16</f>
        <v>6.25</v>
      </c>
      <c r="H14" s="1099">
        <f>$E$6/18</f>
        <v>5.5555555555555554</v>
      </c>
      <c r="I14" s="1099">
        <f>$E$6/20</f>
        <v>5</v>
      </c>
      <c r="J14" s="1099">
        <f>$E$6/22</f>
        <v>4.5454545454545459</v>
      </c>
      <c r="K14" s="1099">
        <f>$E$6/24</f>
        <v>4.166666666666667</v>
      </c>
      <c r="L14" s="1089"/>
    </row>
    <row r="15" spans="2:12">
      <c r="B15" s="1072"/>
      <c r="C15" s="2159" t="s">
        <v>1190</v>
      </c>
      <c r="D15" s="2159"/>
      <c r="E15" s="1099">
        <f>$H$6/11</f>
        <v>9.0909090909090917</v>
      </c>
      <c r="F15" s="1099">
        <f>$H$6/14</f>
        <v>7.1428571428571432</v>
      </c>
      <c r="G15" s="1099">
        <f>$H$6/16</f>
        <v>6.25</v>
      </c>
      <c r="H15" s="1099">
        <f>$H$6/18</f>
        <v>5.5555555555555554</v>
      </c>
      <c r="I15" s="1099">
        <f>$H$6/20</f>
        <v>5</v>
      </c>
      <c r="J15" s="1099">
        <f>$H$6/22</f>
        <v>4.5454545454545459</v>
      </c>
      <c r="K15" s="1099">
        <f>$H$6/24</f>
        <v>4.166666666666667</v>
      </c>
      <c r="L15" s="1089"/>
    </row>
    <row r="16" spans="2:12">
      <c r="B16" s="1095"/>
      <c r="C16" s="1092"/>
      <c r="D16" s="1092"/>
      <c r="E16" s="1092"/>
      <c r="F16" s="1092"/>
      <c r="G16" s="1092"/>
      <c r="H16" s="1092"/>
      <c r="I16" s="1092"/>
      <c r="J16" s="1092"/>
      <c r="K16" s="1092"/>
      <c r="L16" s="1093"/>
    </row>
    <row r="17" spans="2:12">
      <c r="B17" s="1087"/>
      <c r="C17" s="2155" t="s">
        <v>1183</v>
      </c>
      <c r="D17" s="2155"/>
      <c r="L17" s="1089"/>
    </row>
    <row r="18" spans="2:12">
      <c r="B18" s="1072"/>
      <c r="C18" s="2159" t="s">
        <v>1188</v>
      </c>
      <c r="D18" s="2159"/>
      <c r="E18" s="1099">
        <f>E20*2.54</f>
        <v>38.330909090909095</v>
      </c>
      <c r="F18" s="1099">
        <f t="shared" ref="F18" si="4">F20*2.54</f>
        <v>33.382857142857141</v>
      </c>
      <c r="G18" s="1099">
        <f t="shared" ref="G18:K18" si="5">G20*2.54</f>
        <v>31.115000000000002</v>
      </c>
      <c r="H18" s="1099">
        <f t="shared" si="5"/>
        <v>29.351111111111113</v>
      </c>
      <c r="I18" s="1099">
        <f t="shared" si="5"/>
        <v>27.94</v>
      </c>
      <c r="J18" s="1099">
        <f t="shared" si="5"/>
        <v>26.785454545454549</v>
      </c>
      <c r="K18" s="1099">
        <f t="shared" si="5"/>
        <v>25.823333333333338</v>
      </c>
      <c r="L18" s="1089"/>
    </row>
    <row r="19" spans="2:12">
      <c r="B19" s="1072"/>
      <c r="C19" s="2159" t="s">
        <v>1187</v>
      </c>
      <c r="D19" s="2159"/>
      <c r="E19" s="1099">
        <f>E21*2.54</f>
        <v>38.330909090909095</v>
      </c>
      <c r="F19" s="1099">
        <f t="shared" ref="F19" si="6">F21*2.54</f>
        <v>33.382857142857141</v>
      </c>
      <c r="G19" s="1099">
        <f t="shared" ref="G19:K19" si="7">G21*2.54</f>
        <v>31.115000000000002</v>
      </c>
      <c r="H19" s="1099">
        <f t="shared" si="7"/>
        <v>29.351111111111113</v>
      </c>
      <c r="I19" s="1099">
        <f t="shared" si="7"/>
        <v>27.94</v>
      </c>
      <c r="J19" s="1099">
        <f t="shared" si="7"/>
        <v>26.785454545454549</v>
      </c>
      <c r="K19" s="1099">
        <f t="shared" si="7"/>
        <v>25.823333333333338</v>
      </c>
      <c r="L19" s="1089"/>
    </row>
    <row r="20" spans="2:12">
      <c r="B20" s="1072"/>
      <c r="C20" s="2159" t="s">
        <v>1189</v>
      </c>
      <c r="D20" s="2159"/>
      <c r="E20" s="1099">
        <f>($E$6/11)+6</f>
        <v>15.090909090909092</v>
      </c>
      <c r="F20" s="1099">
        <f>($E$6/14)+6</f>
        <v>13.142857142857142</v>
      </c>
      <c r="G20" s="1099">
        <f>($E$6/16)+6</f>
        <v>12.25</v>
      </c>
      <c r="H20" s="1099">
        <f>($E$6/18)+6</f>
        <v>11.555555555555555</v>
      </c>
      <c r="I20" s="1099">
        <f>($E$6/20)+6</f>
        <v>11</v>
      </c>
      <c r="J20" s="1099">
        <f>($E$6/22)+6</f>
        <v>10.545454545454547</v>
      </c>
      <c r="K20" s="1099">
        <f>($E$6/24)+6</f>
        <v>10.166666666666668</v>
      </c>
      <c r="L20" s="1089"/>
    </row>
    <row r="21" spans="2:12">
      <c r="B21" s="1072"/>
      <c r="C21" s="2159" t="s">
        <v>1190</v>
      </c>
      <c r="D21" s="2159"/>
      <c r="E21" s="1099">
        <f>($H$6/11)+6</f>
        <v>15.090909090909092</v>
      </c>
      <c r="F21" s="1099">
        <f>($H$6/14)+6</f>
        <v>13.142857142857142</v>
      </c>
      <c r="G21" s="1099">
        <f>($H$6/16)+6</f>
        <v>12.25</v>
      </c>
      <c r="H21" s="1099">
        <f>($H$6/18)+6</f>
        <v>11.555555555555555</v>
      </c>
      <c r="I21" s="1099">
        <f>($H$6/20)+6</f>
        <v>11</v>
      </c>
      <c r="J21" s="1099">
        <f>($H$6/22)+6</f>
        <v>10.545454545454547</v>
      </c>
      <c r="K21" s="1099">
        <f>($H$6/24)+6</f>
        <v>10.166666666666668</v>
      </c>
      <c r="L21" s="1089"/>
    </row>
    <row r="22" spans="2:12">
      <c r="B22" s="1095"/>
      <c r="C22" s="1092"/>
      <c r="D22" s="1092"/>
      <c r="E22" s="1092"/>
      <c r="F22" s="1092"/>
      <c r="G22" s="1092"/>
      <c r="H22" s="1092"/>
      <c r="I22" s="1092"/>
      <c r="J22" s="1092"/>
      <c r="K22" s="1092"/>
      <c r="L22" s="1093"/>
    </row>
    <row r="23" spans="2:12">
      <c r="B23" s="1100"/>
      <c r="C23" s="2160" t="s">
        <v>1202</v>
      </c>
      <c r="D23" s="2160"/>
      <c r="L23" s="1089"/>
    </row>
    <row r="24" spans="2:12">
      <c r="B24" s="1072"/>
      <c r="C24" s="2159" t="s">
        <v>1198</v>
      </c>
      <c r="D24" s="2159"/>
      <c r="E24" s="1101">
        <v>22</v>
      </c>
      <c r="F24" s="1101">
        <v>24</v>
      </c>
      <c r="G24" s="1101">
        <v>26</v>
      </c>
      <c r="H24" s="1101">
        <v>28</v>
      </c>
      <c r="I24" s="1101" t="s">
        <v>1203</v>
      </c>
      <c r="J24" s="1101" t="s">
        <v>1204</v>
      </c>
      <c r="K24" s="1101" t="s">
        <v>1205</v>
      </c>
      <c r="L24" s="1089"/>
    </row>
    <row r="25" spans="2:12">
      <c r="B25" s="1072"/>
      <c r="C25" s="2159" t="s">
        <v>1199</v>
      </c>
      <c r="D25" s="2159"/>
      <c r="E25" s="1101">
        <v>3</v>
      </c>
      <c r="F25" s="1101">
        <v>2</v>
      </c>
      <c r="G25" s="1101">
        <v>2</v>
      </c>
      <c r="H25" s="1101">
        <v>2</v>
      </c>
      <c r="I25" s="1101">
        <v>1</v>
      </c>
      <c r="J25" s="1101">
        <v>1</v>
      </c>
      <c r="K25" s="1101">
        <v>1</v>
      </c>
      <c r="L25" s="1089"/>
    </row>
    <row r="26" spans="2:12">
      <c r="B26" s="1072"/>
      <c r="C26" s="2159" t="s">
        <v>1200</v>
      </c>
      <c r="D26" s="2159"/>
      <c r="E26" s="1101">
        <v>2</v>
      </c>
      <c r="F26" s="1101">
        <v>2</v>
      </c>
      <c r="G26" s="1101">
        <v>1</v>
      </c>
      <c r="H26" s="1101">
        <v>1</v>
      </c>
      <c r="I26" s="1101">
        <v>1</v>
      </c>
      <c r="J26" s="1101">
        <v>1</v>
      </c>
      <c r="K26" s="1101">
        <v>1</v>
      </c>
      <c r="L26" s="1089"/>
    </row>
    <row r="27" spans="2:12" ht="17" thickBot="1">
      <c r="B27" s="1096"/>
      <c r="C27" s="1097"/>
      <c r="D27" s="1097"/>
      <c r="E27" s="1097"/>
      <c r="F27" s="1097"/>
      <c r="G27" s="1097"/>
      <c r="H27" s="1097"/>
      <c r="I27" s="1097"/>
      <c r="J27" s="1097"/>
      <c r="K27" s="1097"/>
      <c r="L27" s="1098"/>
    </row>
  </sheetData>
  <sheetProtection algorithmName="SHA-512" hashValue="Riio75utw2SW3o8j/xUoeJ9ljDFcQUOoKuYBbwTsDeM7Fp42+wawrQ8w1V5dcaKtiCZymNv6ytSiQ5xpmBYrPw==" saltValue="BtqXxmHZey9GvGbsVbut8w==" spinCount="100000" sheet="1" objects="1" scenarios="1"/>
  <mergeCells count="16">
    <mergeCell ref="C17:D17"/>
    <mergeCell ref="C26:D26"/>
    <mergeCell ref="C24:D24"/>
    <mergeCell ref="C20:D20"/>
    <mergeCell ref="C18:D18"/>
    <mergeCell ref="C19:D19"/>
    <mergeCell ref="C21:D21"/>
    <mergeCell ref="C25:D25"/>
    <mergeCell ref="C23:D23"/>
    <mergeCell ref="C9:D9"/>
    <mergeCell ref="C11:D11"/>
    <mergeCell ref="B2:L3"/>
    <mergeCell ref="C15:D15"/>
    <mergeCell ref="C13:D13"/>
    <mergeCell ref="C12:D12"/>
    <mergeCell ref="C14:D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04EA-FA86-47DB-8903-255F33792916}">
  <sheetPr>
    <tabColor theme="4"/>
  </sheetPr>
  <dimension ref="A1:AD61"/>
  <sheetViews>
    <sheetView workbookViewId="0">
      <selection activeCell="E11" sqref="E11:F11"/>
    </sheetView>
  </sheetViews>
  <sheetFormatPr baseColWidth="10" defaultColWidth="8.83203125" defaultRowHeight="16"/>
  <cols>
    <col min="1" max="1" width="8.83203125" style="1094"/>
    <col min="4" max="4" width="2.33203125" customWidth="1"/>
    <col min="7" max="7" width="2.33203125" customWidth="1"/>
    <col min="10" max="10" width="2.33203125" customWidth="1"/>
    <col min="13" max="30" width="8.83203125" style="1094"/>
  </cols>
  <sheetData>
    <row r="1" spans="2:12" s="1094" customFormat="1" ht="17" thickBot="1"/>
    <row r="2" spans="2:12">
      <c r="B2" s="2175" t="s">
        <v>1175</v>
      </c>
      <c r="C2" s="2176"/>
      <c r="D2" s="2176"/>
      <c r="E2" s="2176"/>
      <c r="F2" s="2176"/>
      <c r="G2" s="2176"/>
      <c r="H2" s="2176"/>
      <c r="I2" s="2176"/>
      <c r="J2" s="2176"/>
      <c r="K2" s="2176"/>
      <c r="L2" s="2177"/>
    </row>
    <row r="3" spans="2:12" ht="17" thickBot="1">
      <c r="B3" s="2178"/>
      <c r="C3" s="2179"/>
      <c r="D3" s="2179"/>
      <c r="E3" s="2179"/>
      <c r="F3" s="2179"/>
      <c r="G3" s="2179"/>
      <c r="H3" s="2179"/>
      <c r="I3" s="2179"/>
      <c r="J3" s="2179"/>
      <c r="K3" s="2179"/>
      <c r="L3" s="2180"/>
    </row>
    <row r="4" spans="2:12" ht="17" thickBot="1">
      <c r="B4" s="1076"/>
      <c r="C4" s="1077"/>
      <c r="D4" s="1082"/>
      <c r="E4" s="1077"/>
      <c r="F4" s="1077"/>
      <c r="G4" s="1077" t="s">
        <v>1172</v>
      </c>
      <c r="H4" s="1077"/>
      <c r="I4" s="1077"/>
      <c r="J4" s="1082"/>
      <c r="K4" s="1077"/>
      <c r="L4" s="1078"/>
    </row>
    <row r="5" spans="2:12" ht="17" thickBot="1">
      <c r="B5" s="1072"/>
      <c r="C5" s="1073"/>
      <c r="D5" s="1073"/>
      <c r="E5" s="1801">
        <v>14</v>
      </c>
      <c r="F5" s="1081" t="s">
        <v>1173</v>
      </c>
      <c r="G5" s="1073"/>
      <c r="H5" s="1801">
        <v>2</v>
      </c>
      <c r="I5" s="1081" t="s">
        <v>1174</v>
      </c>
      <c r="J5" s="1081"/>
      <c r="K5" s="1081"/>
      <c r="L5" s="1079"/>
    </row>
    <row r="6" spans="2:12" ht="17" thickBot="1">
      <c r="B6" s="1074"/>
      <c r="C6" s="1075"/>
      <c r="D6" s="566"/>
      <c r="E6" s="1075"/>
      <c r="F6" s="1075"/>
      <c r="G6" s="566"/>
      <c r="H6" s="1075"/>
      <c r="I6" s="1075"/>
      <c r="J6" s="566"/>
      <c r="K6" s="1075"/>
      <c r="L6" s="1080"/>
    </row>
    <row r="7" spans="2:12" ht="26.25" customHeight="1" thickBot="1">
      <c r="B7" s="2184" t="s">
        <v>1075</v>
      </c>
      <c r="C7" s="2183"/>
      <c r="D7" s="1083"/>
      <c r="E7" s="2183" t="s">
        <v>1176</v>
      </c>
      <c r="F7" s="2183"/>
      <c r="G7" s="1083"/>
      <c r="H7" s="2181" t="s">
        <v>1177</v>
      </c>
      <c r="I7" s="2181"/>
      <c r="J7" s="1083"/>
      <c r="K7" s="2181" t="s">
        <v>1178</v>
      </c>
      <c r="L7" s="2182"/>
    </row>
    <row r="8" spans="2:12">
      <c r="B8" s="2185">
        <v>310</v>
      </c>
      <c r="C8" s="2174"/>
      <c r="D8" s="1798"/>
      <c r="E8" s="2174">
        <v>1000</v>
      </c>
      <c r="F8" s="2174"/>
      <c r="G8" s="1077"/>
      <c r="H8" s="2172">
        <f>IF(ISBLANK(B8), "", E8/(VLOOKUP(E5,'Calc Hidden'!$B$6:$C$18,2,FALSE)/H5))</f>
        <v>0.5714285714285714</v>
      </c>
      <c r="I8" s="2172"/>
      <c r="J8" s="1077"/>
      <c r="K8" s="2186">
        <f>IF(ISBLANK(B8), "", ROUNDUP(H8,0))</f>
        <v>1</v>
      </c>
      <c r="L8" s="2187"/>
    </row>
    <row r="9" spans="2:12">
      <c r="B9" s="2170"/>
      <c r="C9" s="2169"/>
      <c r="D9" s="1799"/>
      <c r="E9" s="2169"/>
      <c r="F9" s="2169"/>
      <c r="G9" s="1073"/>
      <c r="H9" s="2163" t="str">
        <f>IF(ISBLANK(B9), "", E9/(VLOOKUP($E$5,'Calc Hidden'!$B$6:$C$18,2,FALSE)/$H$5))</f>
        <v/>
      </c>
      <c r="I9" s="2164"/>
      <c r="J9" s="1073"/>
      <c r="K9" s="2161" t="str">
        <f>IF(ISBLANK(B9), "", ROUNDUP(H9,0))</f>
        <v/>
      </c>
      <c r="L9" s="2162"/>
    </row>
    <row r="10" spans="2:12">
      <c r="B10" s="2170"/>
      <c r="C10" s="2169"/>
      <c r="D10" s="1799"/>
      <c r="E10" s="2169"/>
      <c r="F10" s="2169"/>
      <c r="G10" s="1073"/>
      <c r="H10" s="2163" t="str">
        <f>IF(ISBLANK(B10), "", E10/(VLOOKUP($E$5,'Calc Hidden'!$B$6:$C$18,2,FALSE)/$H$5))</f>
        <v/>
      </c>
      <c r="I10" s="2164"/>
      <c r="J10" s="1073"/>
      <c r="K10" s="2161" t="str">
        <f t="shared" ref="K10:K33" si="0">IF(ISBLANK(B10), "", ROUNDUP(H10,0))</f>
        <v/>
      </c>
      <c r="L10" s="2162"/>
    </row>
    <row r="11" spans="2:12">
      <c r="B11" s="2170"/>
      <c r="C11" s="2169"/>
      <c r="D11" s="1799"/>
      <c r="E11" s="2169"/>
      <c r="F11" s="2169"/>
      <c r="G11" s="1073"/>
      <c r="H11" s="2163" t="str">
        <f>IF(ISBLANK(B11), "", E11/(VLOOKUP($E$5,'Calc Hidden'!$B$6:$C$18,2,FALSE)/$H$5))</f>
        <v/>
      </c>
      <c r="I11" s="2164"/>
      <c r="J11" s="1073"/>
      <c r="K11" s="2161" t="str">
        <f t="shared" si="0"/>
        <v/>
      </c>
      <c r="L11" s="2162"/>
    </row>
    <row r="12" spans="2:12">
      <c r="B12" s="2170"/>
      <c r="C12" s="2169"/>
      <c r="D12" s="1799"/>
      <c r="E12" s="2169"/>
      <c r="F12" s="2169"/>
      <c r="G12" s="1073"/>
      <c r="H12" s="2163" t="str">
        <f>IF(ISBLANK(B12), "", E12/(VLOOKUP($E$5,'Calc Hidden'!$B$6:$C$18,2,FALSE)/$H$5))</f>
        <v/>
      </c>
      <c r="I12" s="2164"/>
      <c r="J12" s="1073"/>
      <c r="K12" s="2161" t="str">
        <f t="shared" si="0"/>
        <v/>
      </c>
      <c r="L12" s="2162"/>
    </row>
    <row r="13" spans="2:12">
      <c r="B13" s="2170"/>
      <c r="C13" s="2169"/>
      <c r="D13" s="1799"/>
      <c r="E13" s="2169"/>
      <c r="F13" s="2169"/>
      <c r="G13" s="1073"/>
      <c r="H13" s="2163" t="str">
        <f>IF(ISBLANK(B13), "", E13/(VLOOKUP($E$5,'Calc Hidden'!$B$6:$C$18,2,FALSE)/$H$5))</f>
        <v/>
      </c>
      <c r="I13" s="2164"/>
      <c r="J13" s="1073"/>
      <c r="K13" s="2161" t="str">
        <f t="shared" si="0"/>
        <v/>
      </c>
      <c r="L13" s="2162"/>
    </row>
    <row r="14" spans="2:12">
      <c r="B14" s="2170"/>
      <c r="C14" s="2169"/>
      <c r="D14" s="1799"/>
      <c r="E14" s="2169"/>
      <c r="F14" s="2169"/>
      <c r="G14" s="1073"/>
      <c r="H14" s="2163" t="str">
        <f>IF(ISBLANK(B14), "", E14/(VLOOKUP($E$5,'Calc Hidden'!$B$6:$C$18,2,FALSE)/$H$5))</f>
        <v/>
      </c>
      <c r="I14" s="2164"/>
      <c r="J14" s="1073"/>
      <c r="K14" s="2161" t="str">
        <f t="shared" si="0"/>
        <v/>
      </c>
      <c r="L14" s="2162"/>
    </row>
    <row r="15" spans="2:12">
      <c r="B15" s="2170"/>
      <c r="C15" s="2169"/>
      <c r="D15" s="1799"/>
      <c r="E15" s="2169"/>
      <c r="F15" s="2169"/>
      <c r="G15" s="1073"/>
      <c r="H15" s="2163" t="str">
        <f>IF(ISBLANK(B15), "", E15/(VLOOKUP($E$5,'Calc Hidden'!$B$6:$C$18,2,FALSE)/$H$5))</f>
        <v/>
      </c>
      <c r="I15" s="2164"/>
      <c r="J15" s="1073"/>
      <c r="K15" s="2161" t="str">
        <f t="shared" si="0"/>
        <v/>
      </c>
      <c r="L15" s="2162"/>
    </row>
    <row r="16" spans="2:12">
      <c r="B16" s="2170"/>
      <c r="C16" s="2169"/>
      <c r="D16" s="1799"/>
      <c r="E16" s="2169"/>
      <c r="F16" s="2169"/>
      <c r="G16" s="1073"/>
      <c r="H16" s="2163" t="str">
        <f>IF(ISBLANK(B16), "", E16/(VLOOKUP($E$5,'Calc Hidden'!$B$6:$C$18,2,FALSE)/$H$5))</f>
        <v/>
      </c>
      <c r="I16" s="2164"/>
      <c r="J16" s="1073"/>
      <c r="K16" s="2161" t="str">
        <f t="shared" si="0"/>
        <v/>
      </c>
      <c r="L16" s="2162"/>
    </row>
    <row r="17" spans="2:12">
      <c r="B17" s="2170"/>
      <c r="C17" s="2169"/>
      <c r="D17" s="1799"/>
      <c r="E17" s="2169"/>
      <c r="F17" s="2169"/>
      <c r="G17" s="1073"/>
      <c r="H17" s="2163" t="str">
        <f>IF(ISBLANK(B17), "", E17/(VLOOKUP($E$5,'Calc Hidden'!$B$6:$C$18,2,FALSE)/$H$5))</f>
        <v/>
      </c>
      <c r="I17" s="2164"/>
      <c r="J17" s="1073"/>
      <c r="K17" s="2161" t="str">
        <f t="shared" si="0"/>
        <v/>
      </c>
      <c r="L17" s="2162"/>
    </row>
    <row r="18" spans="2:12">
      <c r="B18" s="2170"/>
      <c r="C18" s="2169"/>
      <c r="D18" s="1799"/>
      <c r="E18" s="2169"/>
      <c r="F18" s="2169"/>
      <c r="G18" s="1073"/>
      <c r="H18" s="2163" t="str">
        <f>IF(ISBLANK(B18), "", E18/(VLOOKUP($E$5,'Calc Hidden'!$B$6:$C$18,2,FALSE)/$H$5))</f>
        <v/>
      </c>
      <c r="I18" s="2164"/>
      <c r="J18" s="1073"/>
      <c r="K18" s="2161" t="str">
        <f t="shared" si="0"/>
        <v/>
      </c>
      <c r="L18" s="2162"/>
    </row>
    <row r="19" spans="2:12">
      <c r="B19" s="2170"/>
      <c r="C19" s="2169"/>
      <c r="D19" s="1799"/>
      <c r="E19" s="2169"/>
      <c r="F19" s="2169"/>
      <c r="G19" s="1073"/>
      <c r="H19" s="2163" t="str">
        <f>IF(ISBLANK(B19), "", E19/(VLOOKUP($E$5,'Calc Hidden'!$B$6:$C$18,2,FALSE)/$H$5))</f>
        <v/>
      </c>
      <c r="I19" s="2164"/>
      <c r="J19" s="1073"/>
      <c r="K19" s="2161" t="str">
        <f t="shared" si="0"/>
        <v/>
      </c>
      <c r="L19" s="2162"/>
    </row>
    <row r="20" spans="2:12">
      <c r="B20" s="2170"/>
      <c r="C20" s="2169"/>
      <c r="D20" s="1799"/>
      <c r="E20" s="2169"/>
      <c r="F20" s="2169"/>
      <c r="G20" s="1073"/>
      <c r="H20" s="2163" t="str">
        <f>IF(ISBLANK(B20), "", E20/(VLOOKUP($E$5,'Calc Hidden'!$B$6:$C$18,2,FALSE)/$H$5))</f>
        <v/>
      </c>
      <c r="I20" s="2164"/>
      <c r="J20" s="1073"/>
      <c r="K20" s="2161" t="str">
        <f t="shared" si="0"/>
        <v/>
      </c>
      <c r="L20" s="2162"/>
    </row>
    <row r="21" spans="2:12">
      <c r="B21" s="2170"/>
      <c r="C21" s="2169"/>
      <c r="D21" s="1799"/>
      <c r="E21" s="2169"/>
      <c r="F21" s="2169"/>
      <c r="G21" s="1073"/>
      <c r="H21" s="2163" t="str">
        <f>IF(ISBLANK(B21), "", E21/(VLOOKUP($E$5,'Calc Hidden'!$B$6:$C$18,2,FALSE)/$H$5))</f>
        <v/>
      </c>
      <c r="I21" s="2164"/>
      <c r="J21" s="1073"/>
      <c r="K21" s="2161" t="str">
        <f t="shared" si="0"/>
        <v/>
      </c>
      <c r="L21" s="2162"/>
    </row>
    <row r="22" spans="2:12">
      <c r="B22" s="2170"/>
      <c r="C22" s="2169"/>
      <c r="D22" s="1799"/>
      <c r="E22" s="2169"/>
      <c r="F22" s="2169"/>
      <c r="G22" s="1073"/>
      <c r="H22" s="2163" t="str">
        <f>IF(ISBLANK(B22), "", E22/(VLOOKUP($E$5,'Calc Hidden'!$B$6:$C$18,2,FALSE)/$H$5))</f>
        <v/>
      </c>
      <c r="I22" s="2164"/>
      <c r="J22" s="1073"/>
      <c r="K22" s="2161" t="str">
        <f t="shared" si="0"/>
        <v/>
      </c>
      <c r="L22" s="2162"/>
    </row>
    <row r="23" spans="2:12">
      <c r="B23" s="2170"/>
      <c r="C23" s="2169"/>
      <c r="D23" s="1799"/>
      <c r="E23" s="2169"/>
      <c r="F23" s="2169"/>
      <c r="G23" s="1073"/>
      <c r="H23" s="2163" t="str">
        <f>IF(ISBLANK(B23), "", E23/(VLOOKUP($E$5,'Calc Hidden'!$B$6:$C$18,2,FALSE)/$H$5))</f>
        <v/>
      </c>
      <c r="I23" s="2164"/>
      <c r="J23" s="1073"/>
      <c r="K23" s="2161" t="str">
        <f t="shared" si="0"/>
        <v/>
      </c>
      <c r="L23" s="2162"/>
    </row>
    <row r="24" spans="2:12">
      <c r="B24" s="2170"/>
      <c r="C24" s="2169"/>
      <c r="D24" s="1799"/>
      <c r="E24" s="2169"/>
      <c r="F24" s="2169"/>
      <c r="G24" s="1073"/>
      <c r="H24" s="2163" t="str">
        <f>IF(ISBLANK(B24), "", E24/(VLOOKUP($E$5,'Calc Hidden'!$B$6:$C$18,2,FALSE)/$H$5))</f>
        <v/>
      </c>
      <c r="I24" s="2164"/>
      <c r="J24" s="1073"/>
      <c r="K24" s="2161" t="str">
        <f t="shared" si="0"/>
        <v/>
      </c>
      <c r="L24" s="2162"/>
    </row>
    <row r="25" spans="2:12">
      <c r="B25" s="2170"/>
      <c r="C25" s="2169"/>
      <c r="D25" s="1799"/>
      <c r="E25" s="2169"/>
      <c r="F25" s="2169"/>
      <c r="G25" s="1073"/>
      <c r="H25" s="2163" t="str">
        <f>IF(ISBLANK(B25), "", E25/(VLOOKUP($E$5,'Calc Hidden'!$B$6:$C$18,2,FALSE)/$H$5))</f>
        <v/>
      </c>
      <c r="I25" s="2164"/>
      <c r="J25" s="1073"/>
      <c r="K25" s="2161" t="str">
        <f t="shared" si="0"/>
        <v/>
      </c>
      <c r="L25" s="2162"/>
    </row>
    <row r="26" spans="2:12">
      <c r="B26" s="2170"/>
      <c r="C26" s="2169"/>
      <c r="D26" s="1799"/>
      <c r="E26" s="2169"/>
      <c r="F26" s="2169"/>
      <c r="G26" s="1073"/>
      <c r="H26" s="2163" t="str">
        <f>IF(ISBLANK(B26), "", E26/(VLOOKUP($E$5,'Calc Hidden'!$B$6:$C$18,2,FALSE)/$H$5))</f>
        <v/>
      </c>
      <c r="I26" s="2164"/>
      <c r="J26" s="1073"/>
      <c r="K26" s="2161" t="str">
        <f t="shared" si="0"/>
        <v/>
      </c>
      <c r="L26" s="2162"/>
    </row>
    <row r="27" spans="2:12">
      <c r="B27" s="2170"/>
      <c r="C27" s="2169"/>
      <c r="D27" s="1799"/>
      <c r="E27" s="2169"/>
      <c r="F27" s="2169"/>
      <c r="G27" s="1073"/>
      <c r="H27" s="2163" t="str">
        <f>IF(ISBLANK(B27), "", E27/(VLOOKUP($E$5,'Calc Hidden'!$B$6:$C$18,2,FALSE)/$H$5))</f>
        <v/>
      </c>
      <c r="I27" s="2164"/>
      <c r="J27" s="1073"/>
      <c r="K27" s="2161" t="str">
        <f t="shared" si="0"/>
        <v/>
      </c>
      <c r="L27" s="2162"/>
    </row>
    <row r="28" spans="2:12">
      <c r="B28" s="2170"/>
      <c r="C28" s="2169"/>
      <c r="D28" s="1799"/>
      <c r="E28" s="2169"/>
      <c r="F28" s="2169"/>
      <c r="G28" s="1073"/>
      <c r="H28" s="2163" t="str">
        <f>IF(ISBLANK(B28), "", E28/(VLOOKUP($E$5,'Calc Hidden'!$B$6:$C$18,2,FALSE)/$H$5))</f>
        <v/>
      </c>
      <c r="I28" s="2164"/>
      <c r="J28" s="1073"/>
      <c r="K28" s="2161" t="str">
        <f t="shared" si="0"/>
        <v/>
      </c>
      <c r="L28" s="2162"/>
    </row>
    <row r="29" spans="2:12">
      <c r="B29" s="2170"/>
      <c r="C29" s="2169"/>
      <c r="D29" s="1799"/>
      <c r="E29" s="2169"/>
      <c r="F29" s="2169"/>
      <c r="G29" s="1073"/>
      <c r="H29" s="2163" t="str">
        <f>IF(ISBLANK(B29), "", E29/(VLOOKUP($E$5,'Calc Hidden'!$B$6:$C$18,2,FALSE)/$H$5))</f>
        <v/>
      </c>
      <c r="I29" s="2164"/>
      <c r="J29" s="1073"/>
      <c r="K29" s="2161" t="str">
        <f t="shared" si="0"/>
        <v/>
      </c>
      <c r="L29" s="2162"/>
    </row>
    <row r="30" spans="2:12">
      <c r="B30" s="2170"/>
      <c r="C30" s="2169"/>
      <c r="D30" s="1799"/>
      <c r="E30" s="2169"/>
      <c r="F30" s="2169"/>
      <c r="G30" s="1073"/>
      <c r="H30" s="2163" t="str">
        <f>IF(ISBLANK(B30), "", E30/(VLOOKUP($E$5,'Calc Hidden'!$B$6:$C$18,2,FALSE)/$H$5))</f>
        <v/>
      </c>
      <c r="I30" s="2164"/>
      <c r="J30" s="1073"/>
      <c r="K30" s="2161" t="str">
        <f t="shared" si="0"/>
        <v/>
      </c>
      <c r="L30" s="2162"/>
    </row>
    <row r="31" spans="2:12">
      <c r="B31" s="2170"/>
      <c r="C31" s="2169"/>
      <c r="D31" s="1799"/>
      <c r="E31" s="2169"/>
      <c r="F31" s="2169"/>
      <c r="G31" s="1073"/>
      <c r="H31" s="2163" t="str">
        <f>IF(ISBLANK(B31), "", E31/(VLOOKUP($E$5,'Calc Hidden'!$B$6:$C$18,2,FALSE)/$H$5))</f>
        <v/>
      </c>
      <c r="I31" s="2164"/>
      <c r="J31" s="1073"/>
      <c r="K31" s="2161" t="str">
        <f t="shared" si="0"/>
        <v/>
      </c>
      <c r="L31" s="2162"/>
    </row>
    <row r="32" spans="2:12">
      <c r="B32" s="2170"/>
      <c r="C32" s="2169"/>
      <c r="D32" s="1799"/>
      <c r="E32" s="2169"/>
      <c r="F32" s="2169"/>
      <c r="G32" s="1073"/>
      <c r="H32" s="2163" t="str">
        <f>IF(ISBLANK(B32), "", E32/(VLOOKUP($E$5,'Calc Hidden'!$B$6:$C$18,2,FALSE)/$H$5))</f>
        <v/>
      </c>
      <c r="I32" s="2164"/>
      <c r="J32" s="1073"/>
      <c r="K32" s="2161" t="str">
        <f t="shared" si="0"/>
        <v/>
      </c>
      <c r="L32" s="2162"/>
    </row>
    <row r="33" spans="2:12" ht="17" thickBot="1">
      <c r="B33" s="2173"/>
      <c r="C33" s="2171"/>
      <c r="D33" s="1800"/>
      <c r="E33" s="2171"/>
      <c r="F33" s="2171"/>
      <c r="G33" s="1075"/>
      <c r="H33" s="2165" t="str">
        <f>IF(ISBLANK(B33), "", E33/(VLOOKUP($E$5,'Calc Hidden'!$B$6:$C$18,2,FALSE)/$H$5))</f>
        <v/>
      </c>
      <c r="I33" s="2166"/>
      <c r="J33" s="1075"/>
      <c r="K33" s="2167" t="str">
        <f t="shared" si="0"/>
        <v/>
      </c>
      <c r="L33" s="2168"/>
    </row>
    <row r="34" spans="2:12" s="1094" customFormat="1"/>
    <row r="35" spans="2:12" s="1094" customFormat="1"/>
    <row r="36" spans="2:12" s="1094" customFormat="1"/>
    <row r="37" spans="2:12" s="1094" customFormat="1"/>
    <row r="38" spans="2:12" s="1094" customFormat="1"/>
    <row r="39" spans="2:12" s="1094" customFormat="1"/>
    <row r="40" spans="2:12" s="1094" customFormat="1"/>
    <row r="41" spans="2:12" s="1094" customFormat="1"/>
    <row r="42" spans="2:12" s="1094" customFormat="1"/>
    <row r="43" spans="2:12" s="1094" customFormat="1"/>
    <row r="44" spans="2:12" s="1094" customFormat="1"/>
    <row r="45" spans="2:12" s="1094" customFormat="1"/>
    <row r="46" spans="2:12" s="1094" customFormat="1"/>
    <row r="47" spans="2:12" s="1094" customFormat="1"/>
    <row r="48" spans="2:12" s="1094" customFormat="1"/>
    <row r="49" s="1094" customFormat="1"/>
    <row r="50" s="1094" customFormat="1"/>
    <row r="51" s="1094" customFormat="1"/>
    <row r="52" s="1094" customFormat="1"/>
    <row r="53" s="1094" customFormat="1"/>
    <row r="54" s="1094" customFormat="1"/>
    <row r="55" s="1094" customFormat="1"/>
    <row r="56" s="1094" customFormat="1"/>
    <row r="57" s="1094" customFormat="1"/>
    <row r="58" s="1094" customFormat="1"/>
    <row r="59" s="1094" customFormat="1"/>
    <row r="60" s="1094" customFormat="1"/>
    <row r="61" s="1094" customFormat="1"/>
  </sheetData>
  <sheetProtection algorithmName="SHA-512" hashValue="OaMHRTlYsXmVMPnqbL3oAF5LPXF16zsZxXtcAfQFubXOY7VHMoIaRloCDvaX3lgbITSJ7XKVXdQtsw2ACQKpvw==" saltValue="Wwm6HpfzXtmXKDNI1mKdpg==" spinCount="100000" sheet="1" objects="1" scenarios="1"/>
  <mergeCells count="109">
    <mergeCell ref="B2:L3"/>
    <mergeCell ref="K7:L7"/>
    <mergeCell ref="H7:I7"/>
    <mergeCell ref="E7:F7"/>
    <mergeCell ref="B7:C7"/>
    <mergeCell ref="B8:C8"/>
    <mergeCell ref="B17:C17"/>
    <mergeCell ref="B18:C18"/>
    <mergeCell ref="B19:C19"/>
    <mergeCell ref="K12:L12"/>
    <mergeCell ref="K11:L11"/>
    <mergeCell ref="K10:L10"/>
    <mergeCell ref="K9:L9"/>
    <mergeCell ref="K8:L8"/>
    <mergeCell ref="K18:L18"/>
    <mergeCell ref="K17:L17"/>
    <mergeCell ref="K16:L16"/>
    <mergeCell ref="K15:L15"/>
    <mergeCell ref="K14:L14"/>
    <mergeCell ref="K13:L13"/>
    <mergeCell ref="B9:C9"/>
    <mergeCell ref="B10:C10"/>
    <mergeCell ref="B11:C11"/>
    <mergeCell ref="B12:C12"/>
    <mergeCell ref="B13:C13"/>
    <mergeCell ref="B14:C14"/>
    <mergeCell ref="B33:C33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E29:F29"/>
    <mergeCell ref="E30:F30"/>
    <mergeCell ref="B20:C20"/>
    <mergeCell ref="E31:F31"/>
    <mergeCell ref="E32:F32"/>
    <mergeCell ref="E33:F33"/>
    <mergeCell ref="H8:I8"/>
    <mergeCell ref="H9:I9"/>
    <mergeCell ref="H10:I10"/>
    <mergeCell ref="H11:I11"/>
    <mergeCell ref="H12:I12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1:I31"/>
    <mergeCell ref="H32:I32"/>
    <mergeCell ref="H33:I33"/>
    <mergeCell ref="K33:L33"/>
    <mergeCell ref="K32:L32"/>
    <mergeCell ref="K31:L31"/>
    <mergeCell ref="H25:I25"/>
    <mergeCell ref="H26:I26"/>
    <mergeCell ref="H27:I27"/>
    <mergeCell ref="H28:I28"/>
    <mergeCell ref="H29:I29"/>
    <mergeCell ref="H30:I30"/>
    <mergeCell ref="K24:L24"/>
    <mergeCell ref="K23:L23"/>
    <mergeCell ref="K22:L22"/>
    <mergeCell ref="K21:L21"/>
    <mergeCell ref="K20:L20"/>
    <mergeCell ref="K19:L19"/>
    <mergeCell ref="K30:L30"/>
    <mergeCell ref="K29:L29"/>
    <mergeCell ref="K28:L28"/>
    <mergeCell ref="K27:L27"/>
    <mergeCell ref="K26:L26"/>
    <mergeCell ref="K25:L2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F6A6E-6C14-F44F-937A-D593D6E41B74}">
  <sheetPr>
    <tabColor theme="4"/>
  </sheetPr>
  <dimension ref="B3:C18"/>
  <sheetViews>
    <sheetView workbookViewId="0">
      <selection activeCell="J19" sqref="J19"/>
    </sheetView>
  </sheetViews>
  <sheetFormatPr baseColWidth="10" defaultColWidth="11" defaultRowHeight="16"/>
  <sheetData>
    <row r="3" spans="2:3">
      <c r="B3" s="1062" t="s">
        <v>1179</v>
      </c>
      <c r="C3" s="1062" t="s">
        <v>1180</v>
      </c>
    </row>
    <row r="4" spans="2:3">
      <c r="B4">
        <v>8</v>
      </c>
      <c r="C4">
        <v>2000</v>
      </c>
    </row>
    <row r="5" spans="2:3">
      <c r="B5">
        <v>9</v>
      </c>
      <c r="C5">
        <v>2000</v>
      </c>
    </row>
    <row r="6" spans="2:3">
      <c r="B6">
        <v>10</v>
      </c>
      <c r="C6">
        <v>2500</v>
      </c>
    </row>
    <row r="7" spans="2:3">
      <c r="B7">
        <v>11</v>
      </c>
      <c r="C7">
        <v>2750</v>
      </c>
    </row>
    <row r="8" spans="2:3">
      <c r="B8">
        <v>12</v>
      </c>
      <c r="C8">
        <v>3000</v>
      </c>
    </row>
    <row r="9" spans="2:3">
      <c r="B9">
        <v>13</v>
      </c>
      <c r="C9">
        <v>3250</v>
      </c>
    </row>
    <row r="10" spans="2:3">
      <c r="B10">
        <v>14</v>
      </c>
      <c r="C10">
        <v>3500</v>
      </c>
    </row>
    <row r="11" spans="2:3">
      <c r="B11">
        <v>15</v>
      </c>
      <c r="C11">
        <v>3700</v>
      </c>
    </row>
    <row r="12" spans="2:3">
      <c r="B12">
        <v>16</v>
      </c>
      <c r="C12">
        <v>3900</v>
      </c>
    </row>
    <row r="13" spans="2:3">
      <c r="B13">
        <v>17</v>
      </c>
      <c r="C13">
        <v>4300</v>
      </c>
    </row>
    <row r="14" spans="2:3">
      <c r="B14">
        <v>18</v>
      </c>
      <c r="C14">
        <v>4500</v>
      </c>
    </row>
    <row r="15" spans="2:3">
      <c r="B15">
        <v>19</v>
      </c>
      <c r="C15">
        <v>4750</v>
      </c>
    </row>
    <row r="16" spans="2:3">
      <c r="B16">
        <v>20</v>
      </c>
      <c r="C16">
        <v>5000</v>
      </c>
    </row>
    <row r="17" spans="2:3">
      <c r="B17">
        <v>21</v>
      </c>
      <c r="C17">
        <v>5250</v>
      </c>
    </row>
    <row r="18" spans="2:3">
      <c r="B18">
        <v>22</v>
      </c>
      <c r="C18">
        <v>5500</v>
      </c>
    </row>
  </sheetData>
  <sheetProtection algorithmName="SHA-512" hashValue="X486Ra+y9qLEPdAFdc923g2iz0QsDThbKYmSnbJ0XsTglhhYgQojtZNqHWSHvFDyp4b09JPV0r7V8CrkZmMisg==" saltValue="jgmhurUYezNrHoIm0HqHKg==" spinCount="100000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AC26-8C53-446F-81B2-99DBCAE0267C}">
  <sheetPr>
    <tabColor theme="4"/>
  </sheetPr>
  <dimension ref="B1:K490"/>
  <sheetViews>
    <sheetView workbookViewId="0">
      <selection activeCell="R18" sqref="R18"/>
    </sheetView>
  </sheetViews>
  <sheetFormatPr baseColWidth="10" defaultColWidth="8.83203125" defaultRowHeight="16"/>
  <cols>
    <col min="1" max="1" width="8.83203125" style="1111"/>
    <col min="2" max="11" width="13.33203125" style="1110" customWidth="1"/>
    <col min="12" max="16384" width="8.83203125" style="1111"/>
  </cols>
  <sheetData>
    <row r="1" spans="2:11" ht="17" thickBot="1"/>
    <row r="2" spans="2:11" ht="29" thickBot="1">
      <c r="B2" s="1749" t="s">
        <v>1085</v>
      </c>
      <c r="C2" s="1749" t="s">
        <v>1086</v>
      </c>
      <c r="D2" s="1749" t="s">
        <v>1087</v>
      </c>
      <c r="E2" s="1749" t="s">
        <v>1088</v>
      </c>
      <c r="F2" s="1749" t="s">
        <v>1089</v>
      </c>
      <c r="G2" s="1749" t="s">
        <v>1090</v>
      </c>
      <c r="H2" s="1749" t="s">
        <v>1091</v>
      </c>
      <c r="I2" s="1749" t="s">
        <v>1092</v>
      </c>
      <c r="J2" s="1749" t="s">
        <v>1093</v>
      </c>
      <c r="K2" s="1750" t="s">
        <v>1633</v>
      </c>
    </row>
    <row r="3" spans="2:11" ht="18" thickBot="1">
      <c r="B3" s="1751" t="s">
        <v>47</v>
      </c>
      <c r="C3" s="1752">
        <v>1</v>
      </c>
      <c r="D3" s="1752">
        <v>2500</v>
      </c>
      <c r="E3" s="1752">
        <v>1001</v>
      </c>
      <c r="F3" s="1752">
        <v>45002</v>
      </c>
      <c r="G3" s="1752">
        <v>1</v>
      </c>
      <c r="H3" s="1752" t="s">
        <v>1094</v>
      </c>
      <c r="I3" s="1752" t="s">
        <v>1094</v>
      </c>
      <c r="J3" s="1752">
        <v>5760</v>
      </c>
      <c r="K3" s="1753" t="s">
        <v>1094</v>
      </c>
    </row>
    <row r="4" spans="2:11" ht="18" thickBot="1">
      <c r="B4" s="1754" t="s">
        <v>1095</v>
      </c>
      <c r="C4" s="1755">
        <v>2</v>
      </c>
      <c r="D4" s="1755">
        <v>500</v>
      </c>
      <c r="E4" s="1755">
        <v>1001</v>
      </c>
      <c r="F4" s="1755">
        <v>4501</v>
      </c>
      <c r="G4" s="1755">
        <v>1000</v>
      </c>
      <c r="H4" s="1755">
        <v>2402</v>
      </c>
      <c r="I4" s="1755" t="s">
        <v>1096</v>
      </c>
      <c r="J4" s="1755">
        <v>100</v>
      </c>
      <c r="K4" s="1756" t="s">
        <v>1094</v>
      </c>
    </row>
    <row r="5" spans="2:11" ht="18" thickBot="1">
      <c r="B5" s="1754" t="s">
        <v>44</v>
      </c>
      <c r="C5" s="1755">
        <v>387</v>
      </c>
      <c r="D5" s="1755">
        <v>305</v>
      </c>
      <c r="E5" s="1755">
        <v>1002</v>
      </c>
      <c r="F5" s="1755">
        <v>45000</v>
      </c>
      <c r="G5" s="1755">
        <v>4000</v>
      </c>
      <c r="H5" s="1755" t="s">
        <v>44</v>
      </c>
      <c r="I5" s="1755">
        <v>988</v>
      </c>
      <c r="J5" s="1755">
        <v>5555</v>
      </c>
      <c r="K5" s="1756" t="s">
        <v>1094</v>
      </c>
    </row>
    <row r="6" spans="2:11" ht="18" thickBot="1">
      <c r="B6" s="1757" t="s">
        <v>1758</v>
      </c>
      <c r="C6" s="1755">
        <v>388</v>
      </c>
      <c r="D6" s="1755" t="s">
        <v>1094</v>
      </c>
      <c r="E6" s="1755" t="s">
        <v>1094</v>
      </c>
      <c r="F6" s="1755" t="s">
        <v>1094</v>
      </c>
      <c r="G6" s="1755" t="s">
        <v>1094</v>
      </c>
      <c r="H6" s="1755" t="s">
        <v>1094</v>
      </c>
      <c r="I6" s="1755" t="s">
        <v>1094</v>
      </c>
      <c r="J6" s="1755" t="s">
        <v>1094</v>
      </c>
      <c r="K6" s="1756" t="s">
        <v>1094</v>
      </c>
    </row>
    <row r="7" spans="2:11" ht="18" thickBot="1">
      <c r="B7" s="1757" t="s">
        <v>1759</v>
      </c>
      <c r="C7" s="1755">
        <v>389</v>
      </c>
      <c r="D7" s="1755" t="s">
        <v>1094</v>
      </c>
      <c r="E7" s="1755" t="s">
        <v>1094</v>
      </c>
      <c r="F7" s="1755" t="s">
        <v>1094</v>
      </c>
      <c r="G7" s="1755" t="s">
        <v>1094</v>
      </c>
      <c r="H7" s="1755" t="s">
        <v>1094</v>
      </c>
      <c r="I7" s="1755" t="s">
        <v>1094</v>
      </c>
      <c r="J7" s="1755" t="s">
        <v>1094</v>
      </c>
      <c r="K7" s="1756" t="s">
        <v>1094</v>
      </c>
    </row>
    <row r="8" spans="2:11" ht="18" thickBot="1">
      <c r="B8" s="1757" t="s">
        <v>1760</v>
      </c>
      <c r="C8" s="1755">
        <v>399</v>
      </c>
      <c r="D8" s="1755" t="s">
        <v>1094</v>
      </c>
      <c r="E8" s="1755" t="s">
        <v>1094</v>
      </c>
      <c r="F8" s="1755" t="s">
        <v>1094</v>
      </c>
      <c r="G8" s="1755" t="s">
        <v>1094</v>
      </c>
      <c r="H8" s="1755" t="s">
        <v>1094</v>
      </c>
      <c r="I8" s="1755" t="s">
        <v>1094</v>
      </c>
      <c r="J8" s="1755" t="s">
        <v>1094</v>
      </c>
      <c r="K8" s="1756" t="s">
        <v>1094</v>
      </c>
    </row>
    <row r="9" spans="2:11" ht="18" thickBot="1">
      <c r="B9" s="1757" t="s">
        <v>1761</v>
      </c>
      <c r="C9" s="1755">
        <v>235</v>
      </c>
      <c r="D9" s="1755" t="s">
        <v>1094</v>
      </c>
      <c r="E9" s="1755" t="s">
        <v>1094</v>
      </c>
      <c r="F9" s="1755" t="s">
        <v>1094</v>
      </c>
      <c r="G9" s="1755" t="s">
        <v>1094</v>
      </c>
      <c r="H9" s="1755" t="s">
        <v>1094</v>
      </c>
      <c r="I9" s="1755" t="s">
        <v>1094</v>
      </c>
      <c r="J9" s="1755" t="s">
        <v>1094</v>
      </c>
      <c r="K9" s="1756" t="s">
        <v>1094</v>
      </c>
    </row>
    <row r="10" spans="2:11" ht="18" thickBot="1">
      <c r="B10" s="1757" t="s">
        <v>1762</v>
      </c>
      <c r="C10" s="1755">
        <v>933</v>
      </c>
      <c r="D10" s="1755" t="s">
        <v>1094</v>
      </c>
      <c r="E10" s="1755" t="s">
        <v>1094</v>
      </c>
      <c r="F10" s="1755" t="s">
        <v>1094</v>
      </c>
      <c r="G10" s="1755" t="s">
        <v>1094</v>
      </c>
      <c r="H10" s="1755" t="s">
        <v>1094</v>
      </c>
      <c r="I10" s="1755" t="s">
        <v>1094</v>
      </c>
      <c r="J10" s="1755" t="s">
        <v>1094</v>
      </c>
      <c r="K10" s="1756" t="s">
        <v>1094</v>
      </c>
    </row>
    <row r="11" spans="2:11" ht="18" thickBot="1">
      <c r="B11" s="1757" t="s">
        <v>1763</v>
      </c>
      <c r="C11" s="1755">
        <v>376</v>
      </c>
      <c r="D11" s="1755" t="s">
        <v>1094</v>
      </c>
      <c r="E11" s="1755" t="s">
        <v>1094</v>
      </c>
      <c r="F11" s="1755" t="s">
        <v>1094</v>
      </c>
      <c r="G11" s="1755" t="s">
        <v>1094</v>
      </c>
      <c r="H11" s="1755" t="s">
        <v>1094</v>
      </c>
      <c r="I11" s="1755" t="s">
        <v>1094</v>
      </c>
      <c r="J11" s="1755" t="s">
        <v>1094</v>
      </c>
      <c r="K11" s="1756" t="s">
        <v>1094</v>
      </c>
    </row>
    <row r="12" spans="2:11" ht="18" thickBot="1">
      <c r="B12" s="1757" t="s">
        <v>1764</v>
      </c>
      <c r="C12" s="1755">
        <v>378</v>
      </c>
      <c r="D12" s="1755" t="s">
        <v>1094</v>
      </c>
      <c r="E12" s="1755" t="s">
        <v>1094</v>
      </c>
      <c r="F12" s="1755" t="s">
        <v>1094</v>
      </c>
      <c r="G12" s="1755" t="s">
        <v>1094</v>
      </c>
      <c r="H12" s="1755" t="s">
        <v>1094</v>
      </c>
      <c r="I12" s="1755" t="s">
        <v>1094</v>
      </c>
      <c r="J12" s="1755" t="s">
        <v>1094</v>
      </c>
      <c r="K12" s="1756" t="s">
        <v>1094</v>
      </c>
    </row>
    <row r="13" spans="2:11" ht="18" thickBot="1">
      <c r="B13" s="1757" t="s">
        <v>1765</v>
      </c>
      <c r="C13" s="1755">
        <v>1050</v>
      </c>
      <c r="D13" s="1755" t="s">
        <v>1094</v>
      </c>
      <c r="E13" s="1755" t="s">
        <v>1094</v>
      </c>
      <c r="F13" s="1755" t="s">
        <v>1094</v>
      </c>
      <c r="G13" s="1755" t="s">
        <v>1094</v>
      </c>
      <c r="H13" s="1755" t="s">
        <v>1094</v>
      </c>
      <c r="I13" s="1755" t="s">
        <v>1094</v>
      </c>
      <c r="J13" s="1755" t="s">
        <v>1094</v>
      </c>
      <c r="K13" s="1756" t="s">
        <v>1094</v>
      </c>
    </row>
    <row r="14" spans="2:11" ht="18" thickBot="1">
      <c r="B14" s="1757" t="s">
        <v>1766</v>
      </c>
      <c r="C14" s="1755">
        <v>360</v>
      </c>
      <c r="D14" s="1755" t="s">
        <v>1094</v>
      </c>
      <c r="E14" s="1755" t="s">
        <v>1094</v>
      </c>
      <c r="F14" s="1755" t="s">
        <v>1094</v>
      </c>
      <c r="G14" s="1755" t="s">
        <v>1094</v>
      </c>
      <c r="H14" s="1755" t="s">
        <v>1094</v>
      </c>
      <c r="I14" s="1755" t="s">
        <v>1094</v>
      </c>
      <c r="J14" s="1755" t="s">
        <v>1094</v>
      </c>
      <c r="K14" s="1756" t="s">
        <v>1094</v>
      </c>
    </row>
    <row r="15" spans="2:11" ht="18" thickBot="1">
      <c r="B15" s="1757" t="s">
        <v>1767</v>
      </c>
      <c r="C15" s="1755">
        <v>259</v>
      </c>
      <c r="D15" s="1755" t="s">
        <v>1094</v>
      </c>
      <c r="E15" s="1755" t="s">
        <v>1094</v>
      </c>
      <c r="F15" s="1755" t="s">
        <v>1094</v>
      </c>
      <c r="G15" s="1755" t="s">
        <v>1094</v>
      </c>
      <c r="H15" s="1755" t="s">
        <v>1094</v>
      </c>
      <c r="I15" s="1755" t="s">
        <v>1094</v>
      </c>
      <c r="J15" s="1755" t="s">
        <v>1094</v>
      </c>
      <c r="K15" s="1756" t="s">
        <v>1094</v>
      </c>
    </row>
    <row r="16" spans="2:11" ht="18" thickBot="1">
      <c r="B16" s="1757" t="s">
        <v>1768</v>
      </c>
      <c r="C16" s="1755">
        <v>259</v>
      </c>
      <c r="D16" s="1755" t="s">
        <v>1094</v>
      </c>
      <c r="E16" s="1755" t="s">
        <v>1094</v>
      </c>
      <c r="F16" s="1755" t="s">
        <v>1094</v>
      </c>
      <c r="G16" s="1755" t="s">
        <v>1094</v>
      </c>
      <c r="H16" s="1755" t="s">
        <v>1094</v>
      </c>
      <c r="I16" s="1755" t="s">
        <v>1094</v>
      </c>
      <c r="J16" s="1755" t="s">
        <v>1094</v>
      </c>
      <c r="K16" s="1756" t="s">
        <v>1094</v>
      </c>
    </row>
    <row r="17" spans="2:11" ht="18" thickBot="1">
      <c r="B17" s="1757" t="s">
        <v>1769</v>
      </c>
      <c r="C17" s="1755" t="s">
        <v>1094</v>
      </c>
      <c r="D17" s="1755" t="s">
        <v>1094</v>
      </c>
      <c r="E17" s="1755" t="s">
        <v>1094</v>
      </c>
      <c r="F17" s="1755" t="s">
        <v>1094</v>
      </c>
      <c r="G17" s="1755" t="s">
        <v>1094</v>
      </c>
      <c r="H17" s="1755" t="s">
        <v>1094</v>
      </c>
      <c r="I17" s="1755" t="s">
        <v>1094</v>
      </c>
      <c r="J17" s="1755" t="s">
        <v>1094</v>
      </c>
      <c r="K17" s="1756" t="s">
        <v>1094</v>
      </c>
    </row>
    <row r="18" spans="2:11" ht="18" thickBot="1">
      <c r="B18" s="1757" t="s">
        <v>1770</v>
      </c>
      <c r="C18" s="1755">
        <v>1092</v>
      </c>
      <c r="D18" s="1755" t="s">
        <v>1094</v>
      </c>
      <c r="E18" s="1755" t="s">
        <v>1094</v>
      </c>
      <c r="F18" s="1755" t="s">
        <v>1094</v>
      </c>
      <c r="G18" s="1755" t="s">
        <v>1094</v>
      </c>
      <c r="H18" s="1755" t="s">
        <v>1094</v>
      </c>
      <c r="I18" s="1755" t="s">
        <v>1094</v>
      </c>
      <c r="J18" s="1755" t="s">
        <v>1094</v>
      </c>
      <c r="K18" s="1756" t="s">
        <v>1094</v>
      </c>
    </row>
    <row r="19" spans="2:11" ht="18" thickBot="1">
      <c r="B19" s="1757" t="s">
        <v>1771</v>
      </c>
      <c r="C19" s="1755">
        <v>1043</v>
      </c>
      <c r="D19" s="1755" t="s">
        <v>1094</v>
      </c>
      <c r="E19" s="1755" t="s">
        <v>1094</v>
      </c>
      <c r="F19" s="1755" t="s">
        <v>1094</v>
      </c>
      <c r="G19" s="1755" t="s">
        <v>1094</v>
      </c>
      <c r="H19" s="1755" t="s">
        <v>1094</v>
      </c>
      <c r="I19" s="1755" t="s">
        <v>1094</v>
      </c>
      <c r="J19" s="1755" t="s">
        <v>1094</v>
      </c>
      <c r="K19" s="1756" t="s">
        <v>1094</v>
      </c>
    </row>
    <row r="20" spans="2:11" ht="18" thickBot="1">
      <c r="B20" s="1757" t="s">
        <v>1772</v>
      </c>
      <c r="C20" s="1755">
        <v>253</v>
      </c>
      <c r="D20" s="1755" t="s">
        <v>1094</v>
      </c>
      <c r="E20" s="1755" t="s">
        <v>1094</v>
      </c>
      <c r="F20" s="1755" t="s">
        <v>1094</v>
      </c>
      <c r="G20" s="1755" t="s">
        <v>1094</v>
      </c>
      <c r="H20" s="1755" t="s">
        <v>1094</v>
      </c>
      <c r="I20" s="1755" t="s">
        <v>1094</v>
      </c>
      <c r="J20" s="1755" t="s">
        <v>1094</v>
      </c>
      <c r="K20" s="1756" t="s">
        <v>1094</v>
      </c>
    </row>
    <row r="21" spans="2:11" ht="18" thickBot="1">
      <c r="B21" s="1757" t="s">
        <v>1773</v>
      </c>
      <c r="C21" s="1755">
        <v>254</v>
      </c>
      <c r="D21" s="1755" t="s">
        <v>1094</v>
      </c>
      <c r="E21" s="1755" t="s">
        <v>1094</v>
      </c>
      <c r="F21" s="1755" t="s">
        <v>1094</v>
      </c>
      <c r="G21" s="1755" t="s">
        <v>1094</v>
      </c>
      <c r="H21" s="1755" t="s">
        <v>1094</v>
      </c>
      <c r="I21" s="1755" t="s">
        <v>1094</v>
      </c>
      <c r="J21" s="1755" t="s">
        <v>1094</v>
      </c>
      <c r="K21" s="1756" t="s">
        <v>1094</v>
      </c>
    </row>
    <row r="22" spans="2:11" ht="18" thickBot="1">
      <c r="B22" s="1757" t="s">
        <v>1774</v>
      </c>
      <c r="C22" s="1755">
        <v>278</v>
      </c>
      <c r="D22" s="1755" t="s">
        <v>1094</v>
      </c>
      <c r="E22" s="1755" t="s">
        <v>1094</v>
      </c>
      <c r="F22" s="1755" t="s">
        <v>1094</v>
      </c>
      <c r="G22" s="1755" t="s">
        <v>1094</v>
      </c>
      <c r="H22" s="1755" t="s">
        <v>1094</v>
      </c>
      <c r="I22" s="1755" t="s">
        <v>1094</v>
      </c>
      <c r="J22" s="1755" t="s">
        <v>1094</v>
      </c>
      <c r="K22" s="1756" t="s">
        <v>1094</v>
      </c>
    </row>
    <row r="23" spans="2:11" ht="18" thickBot="1">
      <c r="B23" s="1757" t="s">
        <v>1775</v>
      </c>
      <c r="C23" s="1755">
        <v>279</v>
      </c>
      <c r="D23" s="1755" t="s">
        <v>1094</v>
      </c>
      <c r="E23" s="1755" t="s">
        <v>1094</v>
      </c>
      <c r="F23" s="1755" t="s">
        <v>1094</v>
      </c>
      <c r="G23" s="1755" t="s">
        <v>1094</v>
      </c>
      <c r="H23" s="1755" t="s">
        <v>1094</v>
      </c>
      <c r="I23" s="1755" t="s">
        <v>1094</v>
      </c>
      <c r="J23" s="1755" t="s">
        <v>1094</v>
      </c>
      <c r="K23" s="1756" t="s">
        <v>1094</v>
      </c>
    </row>
    <row r="24" spans="2:11" ht="18" thickBot="1">
      <c r="B24" s="1757" t="s">
        <v>1776</v>
      </c>
      <c r="C24" s="1755">
        <v>311</v>
      </c>
      <c r="D24" s="1755" t="s">
        <v>1094</v>
      </c>
      <c r="E24" s="1755" t="s">
        <v>1094</v>
      </c>
      <c r="F24" s="1755" t="s">
        <v>1094</v>
      </c>
      <c r="G24" s="1755" t="s">
        <v>1094</v>
      </c>
      <c r="H24" s="1755" t="s">
        <v>1094</v>
      </c>
      <c r="I24" s="1755" t="s">
        <v>1094</v>
      </c>
      <c r="J24" s="1755" t="s">
        <v>1094</v>
      </c>
      <c r="K24" s="1756" t="s">
        <v>1094</v>
      </c>
    </row>
    <row r="25" spans="2:11" ht="18" thickBot="1">
      <c r="B25" s="1757" t="s">
        <v>1777</v>
      </c>
      <c r="C25" s="1755">
        <v>336</v>
      </c>
      <c r="D25" s="1755" t="s">
        <v>1094</v>
      </c>
      <c r="E25" s="1755" t="s">
        <v>1094</v>
      </c>
      <c r="F25" s="1755" t="s">
        <v>1094</v>
      </c>
      <c r="G25" s="1755" t="s">
        <v>1094</v>
      </c>
      <c r="H25" s="1755" t="s">
        <v>1094</v>
      </c>
      <c r="I25" s="1755" t="s">
        <v>1094</v>
      </c>
      <c r="J25" s="1755" t="s">
        <v>1094</v>
      </c>
      <c r="K25" s="1756" t="s">
        <v>1094</v>
      </c>
    </row>
    <row r="26" spans="2:11" ht="18" thickBot="1">
      <c r="B26" s="1757" t="s">
        <v>1778</v>
      </c>
      <c r="C26" s="1755">
        <v>883</v>
      </c>
      <c r="D26" s="1755" t="s">
        <v>1094</v>
      </c>
      <c r="E26" s="1755" t="s">
        <v>1094</v>
      </c>
      <c r="F26" s="1755" t="s">
        <v>1094</v>
      </c>
      <c r="G26" s="1755" t="s">
        <v>1094</v>
      </c>
      <c r="H26" s="1755" t="s">
        <v>1094</v>
      </c>
      <c r="I26" s="1755" t="s">
        <v>1094</v>
      </c>
      <c r="J26" s="1755" t="s">
        <v>1094</v>
      </c>
      <c r="K26" s="1756" t="s">
        <v>1094</v>
      </c>
    </row>
    <row r="27" spans="2:11" ht="18" thickBot="1">
      <c r="B27" s="1757" t="s">
        <v>1779</v>
      </c>
      <c r="C27" s="1755">
        <v>884</v>
      </c>
      <c r="D27" s="1755" t="s">
        <v>1094</v>
      </c>
      <c r="E27" s="1755" t="s">
        <v>1094</v>
      </c>
      <c r="F27" s="1755" t="s">
        <v>1094</v>
      </c>
      <c r="G27" s="1755" t="s">
        <v>1094</v>
      </c>
      <c r="H27" s="1755" t="s">
        <v>1094</v>
      </c>
      <c r="I27" s="1755" t="s">
        <v>1094</v>
      </c>
      <c r="J27" s="1755" t="s">
        <v>1094</v>
      </c>
      <c r="K27" s="1756" t="s">
        <v>1094</v>
      </c>
    </row>
    <row r="28" spans="2:11" ht="18" thickBot="1">
      <c r="B28" s="1757" t="s">
        <v>1780</v>
      </c>
      <c r="C28" s="1755">
        <v>271</v>
      </c>
      <c r="D28" s="1755" t="s">
        <v>1094</v>
      </c>
      <c r="E28" s="1755" t="s">
        <v>1094</v>
      </c>
      <c r="F28" s="1755" t="s">
        <v>1094</v>
      </c>
      <c r="G28" s="1755" t="s">
        <v>1094</v>
      </c>
      <c r="H28" s="1755" t="s">
        <v>1094</v>
      </c>
      <c r="I28" s="1755" t="s">
        <v>1094</v>
      </c>
      <c r="J28" s="1755" t="s">
        <v>1094</v>
      </c>
      <c r="K28" s="1756" t="s">
        <v>1094</v>
      </c>
    </row>
    <row r="29" spans="2:11" ht="18" thickBot="1">
      <c r="B29" s="1757" t="s">
        <v>1781</v>
      </c>
      <c r="C29" s="1755">
        <v>103</v>
      </c>
      <c r="D29" s="1755" t="s">
        <v>1094</v>
      </c>
      <c r="E29" s="1755" t="s">
        <v>1094</v>
      </c>
      <c r="F29" s="1755" t="s">
        <v>1094</v>
      </c>
      <c r="G29" s="1755" t="s">
        <v>1094</v>
      </c>
      <c r="H29" s="1755" t="s">
        <v>1094</v>
      </c>
      <c r="I29" s="1755" t="s">
        <v>1094</v>
      </c>
      <c r="J29" s="1755" t="s">
        <v>1094</v>
      </c>
      <c r="K29" s="1756" t="s">
        <v>1094</v>
      </c>
    </row>
    <row r="30" spans="2:11" ht="18" thickBot="1">
      <c r="B30" s="1757" t="s">
        <v>1782</v>
      </c>
      <c r="C30" s="1755">
        <v>90</v>
      </c>
      <c r="D30" s="1755" t="s">
        <v>1094</v>
      </c>
      <c r="E30" s="1755" t="s">
        <v>1094</v>
      </c>
      <c r="F30" s="1755" t="s">
        <v>1094</v>
      </c>
      <c r="G30" s="1755" t="s">
        <v>1094</v>
      </c>
      <c r="H30" s="1755" t="s">
        <v>1094</v>
      </c>
      <c r="I30" s="1755" t="s">
        <v>1094</v>
      </c>
      <c r="J30" s="1755" t="s">
        <v>1094</v>
      </c>
      <c r="K30" s="1756" t="s">
        <v>1094</v>
      </c>
    </row>
    <row r="31" spans="2:11" ht="18" thickBot="1">
      <c r="B31" s="1757" t="s">
        <v>1783</v>
      </c>
      <c r="C31" s="1755">
        <v>90</v>
      </c>
      <c r="D31" s="1755" t="s">
        <v>1094</v>
      </c>
      <c r="E31" s="1755" t="s">
        <v>1094</v>
      </c>
      <c r="F31" s="1755" t="s">
        <v>1094</v>
      </c>
      <c r="G31" s="1755" t="s">
        <v>1094</v>
      </c>
      <c r="H31" s="1755" t="s">
        <v>1094</v>
      </c>
      <c r="I31" s="1755" t="s">
        <v>1094</v>
      </c>
      <c r="J31" s="1755" t="s">
        <v>1094</v>
      </c>
      <c r="K31" s="1756" t="s">
        <v>1094</v>
      </c>
    </row>
    <row r="32" spans="2:11" ht="18" thickBot="1">
      <c r="B32" s="1757" t="s">
        <v>1784</v>
      </c>
      <c r="C32" s="1755">
        <v>1037</v>
      </c>
      <c r="D32" s="1755" t="s">
        <v>1094</v>
      </c>
      <c r="E32" s="1755" t="s">
        <v>1094</v>
      </c>
      <c r="F32" s="1755" t="s">
        <v>1094</v>
      </c>
      <c r="G32" s="1755" t="s">
        <v>1094</v>
      </c>
      <c r="H32" s="1755" t="s">
        <v>1094</v>
      </c>
      <c r="I32" s="1755" t="s">
        <v>1094</v>
      </c>
      <c r="J32" s="1755" t="s">
        <v>1094</v>
      </c>
      <c r="K32" s="1756" t="s">
        <v>1094</v>
      </c>
    </row>
    <row r="33" spans="2:11" ht="18" thickBot="1">
      <c r="B33" s="1757" t="s">
        <v>1785</v>
      </c>
      <c r="C33" s="1755">
        <v>100</v>
      </c>
      <c r="D33" s="1755" t="s">
        <v>1094</v>
      </c>
      <c r="E33" s="1755" t="s">
        <v>1094</v>
      </c>
      <c r="F33" s="1755" t="s">
        <v>1094</v>
      </c>
      <c r="G33" s="1755" t="s">
        <v>1094</v>
      </c>
      <c r="H33" s="1755" t="s">
        <v>1094</v>
      </c>
      <c r="I33" s="1755" t="s">
        <v>1094</v>
      </c>
      <c r="J33" s="1755" t="s">
        <v>1094</v>
      </c>
      <c r="K33" s="1756" t="s">
        <v>1094</v>
      </c>
    </row>
    <row r="34" spans="2:11" ht="18" thickBot="1">
      <c r="B34" s="1757" t="s">
        <v>1786</v>
      </c>
      <c r="C34" s="1755">
        <v>101</v>
      </c>
      <c r="D34" s="1755" t="s">
        <v>1094</v>
      </c>
      <c r="E34" s="1755" t="s">
        <v>1094</v>
      </c>
      <c r="F34" s="1755" t="s">
        <v>1094</v>
      </c>
      <c r="G34" s="1755" t="s">
        <v>1094</v>
      </c>
      <c r="H34" s="1755" t="s">
        <v>1094</v>
      </c>
      <c r="I34" s="1755" t="s">
        <v>1094</v>
      </c>
      <c r="J34" s="1755" t="s">
        <v>1094</v>
      </c>
      <c r="K34" s="1756" t="s">
        <v>1094</v>
      </c>
    </row>
    <row r="35" spans="2:11" ht="18" thickBot="1">
      <c r="B35" s="1757" t="s">
        <v>1787</v>
      </c>
      <c r="C35" s="1755">
        <v>109</v>
      </c>
      <c r="D35" s="1755" t="s">
        <v>1094</v>
      </c>
      <c r="E35" s="1755" t="s">
        <v>1094</v>
      </c>
      <c r="F35" s="1755" t="s">
        <v>1094</v>
      </c>
      <c r="G35" s="1755" t="s">
        <v>1094</v>
      </c>
      <c r="H35" s="1755" t="s">
        <v>1094</v>
      </c>
      <c r="I35" s="1755" t="s">
        <v>1094</v>
      </c>
      <c r="J35" s="1755" t="s">
        <v>1094</v>
      </c>
      <c r="K35" s="1756" t="s">
        <v>1094</v>
      </c>
    </row>
    <row r="36" spans="2:11" ht="18" thickBot="1">
      <c r="B36" s="1757" t="s">
        <v>1788</v>
      </c>
      <c r="C36" s="1755">
        <v>110</v>
      </c>
      <c r="D36" s="1755" t="s">
        <v>1094</v>
      </c>
      <c r="E36" s="1755" t="s">
        <v>1094</v>
      </c>
      <c r="F36" s="1755" t="s">
        <v>1094</v>
      </c>
      <c r="G36" s="1755" t="s">
        <v>1094</v>
      </c>
      <c r="H36" s="1755" t="s">
        <v>1094</v>
      </c>
      <c r="I36" s="1755" t="s">
        <v>1094</v>
      </c>
      <c r="J36" s="1755" t="s">
        <v>1094</v>
      </c>
      <c r="K36" s="1756" t="s">
        <v>1094</v>
      </c>
    </row>
    <row r="37" spans="2:11" ht="18" thickBot="1">
      <c r="B37" s="1757" t="s">
        <v>1789</v>
      </c>
      <c r="C37" s="1755">
        <v>111</v>
      </c>
      <c r="D37" s="1755" t="s">
        <v>1094</v>
      </c>
      <c r="E37" s="1755" t="s">
        <v>1094</v>
      </c>
      <c r="F37" s="1755" t="s">
        <v>1094</v>
      </c>
      <c r="G37" s="1755" t="s">
        <v>1094</v>
      </c>
      <c r="H37" s="1755" t="s">
        <v>1094</v>
      </c>
      <c r="I37" s="1755" t="s">
        <v>1094</v>
      </c>
      <c r="J37" s="1755" t="s">
        <v>1094</v>
      </c>
      <c r="K37" s="1756" t="s">
        <v>1094</v>
      </c>
    </row>
    <row r="38" spans="2:11" ht="18" thickBot="1">
      <c r="B38" s="1757" t="s">
        <v>1790</v>
      </c>
      <c r="C38" s="1755">
        <v>86</v>
      </c>
      <c r="D38" s="1755" t="s">
        <v>1094</v>
      </c>
      <c r="E38" s="1755" t="s">
        <v>1094</v>
      </c>
      <c r="F38" s="1755" t="s">
        <v>1094</v>
      </c>
      <c r="G38" s="1755" t="s">
        <v>1094</v>
      </c>
      <c r="H38" s="1755" t="s">
        <v>1094</v>
      </c>
      <c r="I38" s="1755" t="s">
        <v>1094</v>
      </c>
      <c r="J38" s="1755" t="s">
        <v>1094</v>
      </c>
      <c r="K38" s="1756" t="s">
        <v>1094</v>
      </c>
    </row>
    <row r="39" spans="2:11" ht="18" thickBot="1">
      <c r="B39" s="1757" t="s">
        <v>1791</v>
      </c>
      <c r="C39" s="1755">
        <v>89</v>
      </c>
      <c r="D39" s="1755" t="s">
        <v>1094</v>
      </c>
      <c r="E39" s="1755" t="s">
        <v>1094</v>
      </c>
      <c r="F39" s="1755" t="s">
        <v>1094</v>
      </c>
      <c r="G39" s="1755" t="s">
        <v>1094</v>
      </c>
      <c r="H39" s="1755" t="s">
        <v>1094</v>
      </c>
      <c r="I39" s="1755" t="s">
        <v>1094</v>
      </c>
      <c r="J39" s="1755" t="s">
        <v>1094</v>
      </c>
      <c r="K39" s="1756" t="s">
        <v>1094</v>
      </c>
    </row>
    <row r="40" spans="2:11" ht="18" thickBot="1">
      <c r="B40" s="1757" t="s">
        <v>1792</v>
      </c>
      <c r="C40" s="1755">
        <v>1029</v>
      </c>
      <c r="D40" s="1755" t="s">
        <v>1094</v>
      </c>
      <c r="E40" s="1755" t="s">
        <v>1094</v>
      </c>
      <c r="F40" s="1755" t="s">
        <v>1094</v>
      </c>
      <c r="G40" s="1755" t="s">
        <v>1094</v>
      </c>
      <c r="H40" s="1755" t="s">
        <v>1094</v>
      </c>
      <c r="I40" s="1755" t="s">
        <v>1094</v>
      </c>
      <c r="J40" s="1755" t="s">
        <v>1094</v>
      </c>
      <c r="K40" s="1756" t="s">
        <v>1094</v>
      </c>
    </row>
    <row r="41" spans="2:11" ht="18" thickBot="1">
      <c r="B41" s="1754">
        <v>150</v>
      </c>
      <c r="C41" s="1755">
        <v>59</v>
      </c>
      <c r="D41" s="1755" t="s">
        <v>1094</v>
      </c>
      <c r="E41" s="1755">
        <v>3047</v>
      </c>
      <c r="F41" s="1755">
        <v>45465</v>
      </c>
      <c r="G41" s="1755">
        <v>1667</v>
      </c>
      <c r="H41" s="1755">
        <v>509</v>
      </c>
      <c r="I41" s="1755">
        <v>146</v>
      </c>
      <c r="J41" s="1755">
        <v>1114</v>
      </c>
      <c r="K41" s="1756">
        <v>49</v>
      </c>
    </row>
    <row r="42" spans="2:11" ht="18" thickBot="1">
      <c r="B42" s="1754">
        <v>151</v>
      </c>
      <c r="C42" s="1755">
        <v>73</v>
      </c>
      <c r="D42" s="1755" t="s">
        <v>1094</v>
      </c>
      <c r="E42" s="1755">
        <v>3086</v>
      </c>
      <c r="F42" s="1755">
        <v>45466</v>
      </c>
      <c r="G42" s="1755">
        <v>1724</v>
      </c>
      <c r="H42" s="1755">
        <v>607</v>
      </c>
      <c r="I42" s="1755">
        <v>961</v>
      </c>
      <c r="J42" s="1755">
        <v>1032</v>
      </c>
      <c r="K42" s="1756">
        <v>44</v>
      </c>
    </row>
    <row r="43" spans="2:11" ht="18" thickBot="1">
      <c r="B43" s="1754">
        <v>152</v>
      </c>
      <c r="C43" s="1755">
        <v>969</v>
      </c>
      <c r="D43" s="1755" t="s">
        <v>1094</v>
      </c>
      <c r="E43" s="1755">
        <v>3146</v>
      </c>
      <c r="F43" s="1755">
        <v>45467</v>
      </c>
      <c r="G43" s="1755">
        <v>1975</v>
      </c>
      <c r="H43" s="1755" t="s">
        <v>1094</v>
      </c>
      <c r="I43" s="1755">
        <v>711</v>
      </c>
      <c r="J43" s="1755">
        <v>1033</v>
      </c>
      <c r="K43" s="1756">
        <v>78</v>
      </c>
    </row>
    <row r="44" spans="2:11" ht="18" thickBot="1">
      <c r="B44" s="1754">
        <v>153</v>
      </c>
      <c r="C44" s="1755">
        <v>98</v>
      </c>
      <c r="D44" s="1755" t="s">
        <v>1094</v>
      </c>
      <c r="E44" s="1755">
        <v>4303</v>
      </c>
      <c r="F44" s="1755">
        <v>45468</v>
      </c>
      <c r="G44" s="1755">
        <v>2390</v>
      </c>
      <c r="H44" s="1755" t="s">
        <v>1094</v>
      </c>
      <c r="I44" s="1755">
        <v>741</v>
      </c>
      <c r="J44" s="1755">
        <v>6104</v>
      </c>
      <c r="K44" s="1756">
        <v>116</v>
      </c>
    </row>
    <row r="45" spans="2:11" ht="18" thickBot="1">
      <c r="B45" s="1754">
        <v>154</v>
      </c>
      <c r="C45" s="1755">
        <v>873</v>
      </c>
      <c r="D45" s="1755" t="s">
        <v>1094</v>
      </c>
      <c r="E45" s="1755">
        <v>8400</v>
      </c>
      <c r="F45" s="1755">
        <v>45469</v>
      </c>
      <c r="G45" s="1755">
        <v>2595</v>
      </c>
      <c r="H45" s="1755">
        <v>2607</v>
      </c>
      <c r="I45" s="1755">
        <v>583</v>
      </c>
      <c r="J45" s="1755">
        <v>1119</v>
      </c>
      <c r="K45" s="1756">
        <v>108</v>
      </c>
    </row>
    <row r="46" spans="2:11" ht="18" thickBot="1">
      <c r="B46" s="1754">
        <v>155</v>
      </c>
      <c r="C46" s="1755">
        <v>1030</v>
      </c>
      <c r="D46" s="1755" t="s">
        <v>1094</v>
      </c>
      <c r="E46" s="1755">
        <v>7110</v>
      </c>
      <c r="F46" s="1755">
        <v>45470</v>
      </c>
      <c r="G46" s="1755">
        <v>2699</v>
      </c>
      <c r="H46" s="1755">
        <v>902</v>
      </c>
      <c r="I46" s="1755">
        <v>463</v>
      </c>
      <c r="J46" s="1755">
        <v>6104</v>
      </c>
      <c r="K46" s="1756">
        <v>128</v>
      </c>
    </row>
    <row r="47" spans="2:11" ht="18" thickBot="1">
      <c r="B47" s="1754">
        <v>156</v>
      </c>
      <c r="C47" s="1755">
        <v>118</v>
      </c>
      <c r="D47" s="1755" t="s">
        <v>1094</v>
      </c>
      <c r="E47" s="1755">
        <v>7110</v>
      </c>
      <c r="F47" s="1755">
        <v>45471</v>
      </c>
      <c r="G47" s="1755">
        <v>3060</v>
      </c>
      <c r="H47" s="1755" t="s">
        <v>1094</v>
      </c>
      <c r="I47" s="1755">
        <v>462</v>
      </c>
      <c r="J47" s="1755">
        <v>6104</v>
      </c>
      <c r="K47" s="1756">
        <v>138</v>
      </c>
    </row>
    <row r="48" spans="2:11" ht="18" thickBot="1">
      <c r="B48" s="1754">
        <v>157</v>
      </c>
      <c r="C48" s="1755">
        <v>120</v>
      </c>
      <c r="D48" s="1755" t="s">
        <v>1094</v>
      </c>
      <c r="E48" s="1755">
        <v>7976</v>
      </c>
      <c r="F48" s="1755">
        <v>45472</v>
      </c>
      <c r="G48" s="1755">
        <v>3387</v>
      </c>
      <c r="H48" s="1755">
        <v>907</v>
      </c>
      <c r="I48" s="1755">
        <v>742</v>
      </c>
      <c r="J48" s="1755">
        <v>5103</v>
      </c>
      <c r="K48" s="1756">
        <v>144</v>
      </c>
    </row>
    <row r="49" spans="2:11" ht="18" thickBot="1">
      <c r="B49" s="1754">
        <v>158</v>
      </c>
      <c r="C49" s="1755">
        <v>178</v>
      </c>
      <c r="D49" s="1755" t="s">
        <v>1094</v>
      </c>
      <c r="E49" s="1755">
        <v>7024</v>
      </c>
      <c r="F49" s="1755">
        <v>45473</v>
      </c>
      <c r="G49" s="1755">
        <v>3068</v>
      </c>
      <c r="H49" s="1755">
        <v>2702</v>
      </c>
      <c r="I49" s="1755">
        <v>823</v>
      </c>
      <c r="J49" s="1755">
        <v>5097</v>
      </c>
      <c r="K49" s="1756">
        <v>142</v>
      </c>
    </row>
    <row r="50" spans="2:11" ht="18" thickBot="1">
      <c r="B50" s="1754">
        <v>159</v>
      </c>
      <c r="C50" s="1755">
        <v>120</v>
      </c>
      <c r="D50" s="1755" t="s">
        <v>1094</v>
      </c>
      <c r="E50" s="1755">
        <v>7159</v>
      </c>
      <c r="F50" s="1755">
        <v>45474</v>
      </c>
      <c r="G50" s="1755">
        <v>2732</v>
      </c>
      <c r="H50" s="1755">
        <v>901</v>
      </c>
      <c r="I50" s="1755">
        <v>742</v>
      </c>
      <c r="J50" s="1755">
        <v>6104</v>
      </c>
      <c r="K50" s="1756">
        <v>151</v>
      </c>
    </row>
    <row r="51" spans="2:11" ht="18" thickBot="1">
      <c r="B51" s="1754">
        <v>160</v>
      </c>
      <c r="C51" s="1755">
        <v>175</v>
      </c>
      <c r="D51" s="1755" t="s">
        <v>1094</v>
      </c>
      <c r="E51" s="1755">
        <v>7051</v>
      </c>
      <c r="F51" s="1755">
        <v>45475</v>
      </c>
      <c r="G51" s="1755">
        <v>3060</v>
      </c>
      <c r="H51" s="1755" t="s">
        <v>1094</v>
      </c>
      <c r="I51" s="1755">
        <v>743</v>
      </c>
      <c r="J51" s="1755">
        <v>6104</v>
      </c>
      <c r="K51" s="1756">
        <v>152</v>
      </c>
    </row>
    <row r="52" spans="2:11" ht="18" thickBot="1">
      <c r="B52" s="1754">
        <v>161</v>
      </c>
      <c r="C52" s="1755">
        <v>176</v>
      </c>
      <c r="D52" s="1755" t="s">
        <v>1094</v>
      </c>
      <c r="E52" s="1755">
        <v>7023</v>
      </c>
      <c r="F52" s="1755">
        <v>45476</v>
      </c>
      <c r="G52" s="1755">
        <v>3060</v>
      </c>
      <c r="H52" s="1755" t="s">
        <v>1094</v>
      </c>
      <c r="I52" s="1755">
        <v>566</v>
      </c>
      <c r="J52" s="1755">
        <v>5095</v>
      </c>
      <c r="K52" s="1756">
        <v>153</v>
      </c>
    </row>
    <row r="53" spans="2:11" ht="18" thickBot="1">
      <c r="B53" s="1754">
        <v>162</v>
      </c>
      <c r="C53" s="1755">
        <v>159</v>
      </c>
      <c r="D53" s="1755" t="s">
        <v>1094</v>
      </c>
      <c r="E53" s="1755">
        <v>7053</v>
      </c>
      <c r="F53" s="1755">
        <v>45477</v>
      </c>
      <c r="G53" s="1755">
        <v>3472</v>
      </c>
      <c r="H53" s="1755">
        <v>908</v>
      </c>
      <c r="I53" s="1755" t="s">
        <v>1097</v>
      </c>
      <c r="J53" s="1755">
        <v>5091</v>
      </c>
      <c r="K53" s="1756" t="s">
        <v>1094</v>
      </c>
    </row>
    <row r="54" spans="2:11" ht="18" thickBot="1">
      <c r="B54" s="1754">
        <v>163</v>
      </c>
      <c r="C54" s="1755">
        <v>877</v>
      </c>
      <c r="D54" s="1755" t="s">
        <v>1094</v>
      </c>
      <c r="E54" s="1755">
        <v>6213</v>
      </c>
      <c r="F54" s="1755">
        <v>45478</v>
      </c>
      <c r="G54" s="1755">
        <v>4231</v>
      </c>
      <c r="H54" s="1755">
        <v>1703</v>
      </c>
      <c r="I54" s="1755">
        <v>435</v>
      </c>
      <c r="J54" s="1755">
        <v>4034</v>
      </c>
      <c r="K54" s="1756">
        <v>229</v>
      </c>
    </row>
    <row r="55" spans="2:11" ht="18" thickBot="1">
      <c r="B55" s="1754">
        <v>164</v>
      </c>
      <c r="C55" s="1755">
        <v>240</v>
      </c>
      <c r="D55" s="1755" t="s">
        <v>1094</v>
      </c>
      <c r="E55" s="1755">
        <v>6016</v>
      </c>
      <c r="F55" s="1755">
        <v>45479</v>
      </c>
      <c r="G55" s="1755">
        <v>4860</v>
      </c>
      <c r="H55" s="1755">
        <v>1209</v>
      </c>
      <c r="I55" s="1755">
        <v>423</v>
      </c>
      <c r="J55" s="1755">
        <v>4033</v>
      </c>
      <c r="K55" s="1756">
        <v>252</v>
      </c>
    </row>
    <row r="56" spans="2:11" ht="18" thickBot="1">
      <c r="B56" s="1754">
        <v>165</v>
      </c>
      <c r="C56" s="1755">
        <v>278</v>
      </c>
      <c r="D56" s="1755" t="s">
        <v>1094</v>
      </c>
      <c r="E56" s="1755">
        <v>6253</v>
      </c>
      <c r="F56" s="1755">
        <v>45480</v>
      </c>
      <c r="G56" s="1755">
        <v>4799</v>
      </c>
      <c r="H56" s="1755">
        <v>1414</v>
      </c>
      <c r="I56" s="1755">
        <v>997</v>
      </c>
      <c r="J56" s="1755">
        <v>2024</v>
      </c>
      <c r="K56" s="1756">
        <v>307</v>
      </c>
    </row>
    <row r="57" spans="2:11" ht="18" thickBot="1">
      <c r="B57" s="1754">
        <v>166</v>
      </c>
      <c r="C57" s="1755">
        <v>280</v>
      </c>
      <c r="D57" s="1755" t="s">
        <v>1094</v>
      </c>
      <c r="E57" s="1755">
        <v>6001</v>
      </c>
      <c r="F57" s="1755">
        <v>45481</v>
      </c>
      <c r="G57" s="1755">
        <v>4805</v>
      </c>
      <c r="H57" s="1755">
        <v>1308</v>
      </c>
      <c r="I57" s="1755">
        <v>332</v>
      </c>
      <c r="J57" s="1755">
        <v>7014</v>
      </c>
      <c r="K57" s="1756">
        <v>296</v>
      </c>
    </row>
    <row r="58" spans="2:11" ht="18" thickBot="1">
      <c r="B58" s="1754">
        <v>167</v>
      </c>
      <c r="C58" s="1755">
        <v>375</v>
      </c>
      <c r="D58" s="1755" t="s">
        <v>1094</v>
      </c>
      <c r="E58" s="1755">
        <v>5374</v>
      </c>
      <c r="F58" s="1755">
        <v>45482</v>
      </c>
      <c r="G58" s="1755">
        <v>7408</v>
      </c>
      <c r="H58" s="1755">
        <v>2104</v>
      </c>
      <c r="I58" s="1755">
        <v>184</v>
      </c>
      <c r="J58" s="1755">
        <v>7133</v>
      </c>
      <c r="K58" s="1756">
        <v>338</v>
      </c>
    </row>
    <row r="59" spans="2:11" ht="18" thickBot="1">
      <c r="B59" s="1754">
        <v>168</v>
      </c>
      <c r="C59" s="1755">
        <v>274</v>
      </c>
      <c r="D59" s="1755" t="s">
        <v>1094</v>
      </c>
      <c r="E59" s="1755">
        <v>8511</v>
      </c>
      <c r="F59" s="1755">
        <v>45483</v>
      </c>
      <c r="G59" s="1755">
        <v>8683</v>
      </c>
      <c r="H59" s="1755" t="s">
        <v>1094</v>
      </c>
      <c r="I59" s="1755">
        <v>561</v>
      </c>
      <c r="J59" s="1755">
        <v>5091</v>
      </c>
      <c r="K59" s="1756">
        <v>499</v>
      </c>
    </row>
    <row r="60" spans="2:11" ht="18" thickBot="1">
      <c r="B60" s="1754">
        <v>169</v>
      </c>
      <c r="C60" s="1755">
        <v>849</v>
      </c>
      <c r="D60" s="1755" t="s">
        <v>1094</v>
      </c>
      <c r="E60" s="1755">
        <v>4223</v>
      </c>
      <c r="F60" s="1755">
        <v>45484</v>
      </c>
      <c r="G60" s="1755">
        <v>8773</v>
      </c>
      <c r="H60" s="1755" t="s">
        <v>1094</v>
      </c>
      <c r="I60" s="1755">
        <v>563</v>
      </c>
      <c r="J60" s="1755">
        <v>8073</v>
      </c>
      <c r="K60" s="1756">
        <v>500</v>
      </c>
    </row>
    <row r="61" spans="2:11" ht="17" thickBot="1">
      <c r="B61" s="1754">
        <v>208</v>
      </c>
      <c r="C61" s="1755">
        <v>110</v>
      </c>
      <c r="D61" s="1755">
        <v>265</v>
      </c>
      <c r="E61" s="1755">
        <v>4301</v>
      </c>
      <c r="F61" s="1755">
        <v>45040</v>
      </c>
      <c r="G61" s="1755">
        <v>2615</v>
      </c>
      <c r="H61" s="1755">
        <v>804</v>
      </c>
      <c r="I61" s="1755">
        <v>894</v>
      </c>
      <c r="J61" s="1755">
        <v>12</v>
      </c>
      <c r="K61" s="1756">
        <v>124</v>
      </c>
    </row>
    <row r="62" spans="2:11" ht="17" thickBot="1">
      <c r="B62" s="1754">
        <v>209</v>
      </c>
      <c r="C62" s="1755">
        <v>109</v>
      </c>
      <c r="D62" s="1755">
        <v>263</v>
      </c>
      <c r="E62" s="1755">
        <v>4302</v>
      </c>
      <c r="F62" s="1755">
        <v>45041</v>
      </c>
      <c r="G62" s="1755">
        <v>2606</v>
      </c>
      <c r="H62" s="1755">
        <v>803</v>
      </c>
      <c r="I62" s="1755">
        <v>451</v>
      </c>
      <c r="J62" s="1755">
        <v>23</v>
      </c>
      <c r="K62" s="1756">
        <v>123</v>
      </c>
    </row>
    <row r="63" spans="2:11" ht="17" thickBot="1">
      <c r="B63" s="1754">
        <v>210</v>
      </c>
      <c r="C63" s="1755">
        <v>108</v>
      </c>
      <c r="D63" s="1755">
        <v>262</v>
      </c>
      <c r="E63" s="1755">
        <v>4303</v>
      </c>
      <c r="F63" s="1755">
        <v>45042</v>
      </c>
      <c r="G63" s="1755">
        <v>2606</v>
      </c>
      <c r="H63" s="1755">
        <v>802</v>
      </c>
      <c r="I63" s="1755">
        <v>885</v>
      </c>
      <c r="J63" s="1755">
        <v>3223</v>
      </c>
      <c r="K63" s="1756">
        <v>122</v>
      </c>
    </row>
    <row r="64" spans="2:11" ht="17" thickBot="1">
      <c r="B64" s="1754">
        <v>211</v>
      </c>
      <c r="C64" s="1755">
        <v>342</v>
      </c>
      <c r="D64" s="1755">
        <v>261</v>
      </c>
      <c r="E64" s="1755">
        <v>4303</v>
      </c>
      <c r="F64" s="1755">
        <v>45043</v>
      </c>
      <c r="G64" s="1755">
        <v>2687</v>
      </c>
      <c r="H64" s="1755">
        <v>801</v>
      </c>
      <c r="I64" s="1755">
        <v>891</v>
      </c>
      <c r="J64" s="1755">
        <v>93</v>
      </c>
      <c r="K64" s="1756">
        <v>121</v>
      </c>
    </row>
    <row r="65" spans="2:11" ht="18" thickBot="1">
      <c r="B65" s="1754">
        <v>221</v>
      </c>
      <c r="C65" s="1755">
        <v>897</v>
      </c>
      <c r="D65" s="1755">
        <v>655</v>
      </c>
      <c r="E65" s="1755">
        <v>3072</v>
      </c>
      <c r="F65" s="1755">
        <v>45044</v>
      </c>
      <c r="G65" s="1755">
        <v>1996</v>
      </c>
      <c r="H65" s="1755">
        <v>401</v>
      </c>
      <c r="I65" s="1755">
        <v>505</v>
      </c>
      <c r="J65" s="1755" t="s">
        <v>1098</v>
      </c>
      <c r="K65" s="1756">
        <v>82</v>
      </c>
    </row>
    <row r="66" spans="2:11" ht="17" thickBot="1">
      <c r="B66" s="1754">
        <v>223</v>
      </c>
      <c r="C66" s="1755">
        <v>895</v>
      </c>
      <c r="D66" s="1755">
        <v>653</v>
      </c>
      <c r="E66" s="1755">
        <v>3240</v>
      </c>
      <c r="F66" s="1755">
        <v>45045</v>
      </c>
      <c r="G66" s="1755">
        <v>1981</v>
      </c>
      <c r="H66" s="1755">
        <v>812</v>
      </c>
      <c r="I66" s="1755">
        <v>932</v>
      </c>
      <c r="J66" s="1755">
        <v>273</v>
      </c>
      <c r="K66" s="1756">
        <v>79</v>
      </c>
    </row>
    <row r="67" spans="2:11" ht="18" thickBot="1">
      <c r="B67" s="1754">
        <v>224</v>
      </c>
      <c r="C67" s="1755">
        <v>893</v>
      </c>
      <c r="D67" s="1755">
        <v>652</v>
      </c>
      <c r="E67" s="1755">
        <v>3068</v>
      </c>
      <c r="F67" s="1755">
        <v>45046</v>
      </c>
      <c r="G67" s="1755">
        <v>1975</v>
      </c>
      <c r="H67" s="1755" t="s">
        <v>1094</v>
      </c>
      <c r="I67" s="1755">
        <v>602</v>
      </c>
      <c r="J67" s="1755">
        <v>713</v>
      </c>
      <c r="K67" s="1756">
        <v>77</v>
      </c>
    </row>
    <row r="68" spans="2:11" ht="17" thickBot="1">
      <c r="B68" s="1754">
        <v>225</v>
      </c>
      <c r="C68" s="1755">
        <v>1026</v>
      </c>
      <c r="D68" s="1755">
        <v>651</v>
      </c>
      <c r="E68" s="1755">
        <v>3066</v>
      </c>
      <c r="F68" s="1755">
        <v>45047</v>
      </c>
      <c r="G68" s="1755">
        <v>1969</v>
      </c>
      <c r="H68" s="1755">
        <v>814</v>
      </c>
      <c r="I68" s="1755">
        <v>621</v>
      </c>
      <c r="J68" s="1755">
        <v>192</v>
      </c>
      <c r="K68" s="1756">
        <v>76</v>
      </c>
    </row>
    <row r="69" spans="2:11" ht="17" thickBot="1">
      <c r="B69" s="1754">
        <v>300</v>
      </c>
      <c r="C69" s="1755">
        <v>352</v>
      </c>
      <c r="D69" s="1755">
        <v>131</v>
      </c>
      <c r="E69" s="1755">
        <v>5356</v>
      </c>
      <c r="F69" s="1755">
        <v>45048</v>
      </c>
      <c r="G69" s="1755">
        <v>7962</v>
      </c>
      <c r="H69" s="1755">
        <v>2005</v>
      </c>
      <c r="I69" s="1755">
        <v>187</v>
      </c>
      <c r="J69" s="1755">
        <v>2122</v>
      </c>
      <c r="K69" s="1756">
        <v>403</v>
      </c>
    </row>
    <row r="70" spans="2:11" ht="17" thickBot="1">
      <c r="B70" s="1754">
        <v>301</v>
      </c>
      <c r="C70" s="1755">
        <v>1049</v>
      </c>
      <c r="D70" s="1755">
        <v>2129</v>
      </c>
      <c r="E70" s="1755">
        <v>5000</v>
      </c>
      <c r="F70" s="1755">
        <v>45049</v>
      </c>
      <c r="G70" s="1755">
        <v>7740</v>
      </c>
      <c r="H70" s="1755">
        <v>2306</v>
      </c>
      <c r="I70" s="1755">
        <v>304</v>
      </c>
      <c r="J70" s="1755">
        <v>71</v>
      </c>
      <c r="K70" s="1756">
        <v>401</v>
      </c>
    </row>
    <row r="71" spans="2:11" ht="18" thickBot="1">
      <c r="B71" s="1754">
        <v>304</v>
      </c>
      <c r="C71" s="1755">
        <v>19</v>
      </c>
      <c r="D71" s="1755">
        <v>241</v>
      </c>
      <c r="E71" s="1755">
        <v>3019</v>
      </c>
      <c r="F71" s="1755">
        <v>45050</v>
      </c>
      <c r="G71" s="1755">
        <v>1906</v>
      </c>
      <c r="H71" s="1755">
        <v>508</v>
      </c>
      <c r="I71" s="1755">
        <v>504</v>
      </c>
      <c r="J71" s="1755" t="s">
        <v>1099</v>
      </c>
      <c r="K71" s="1756" t="s">
        <v>1094</v>
      </c>
    </row>
    <row r="72" spans="2:11" ht="17" thickBot="1">
      <c r="B72" s="1754">
        <v>307</v>
      </c>
      <c r="C72" s="1755">
        <v>289</v>
      </c>
      <c r="D72" s="1755">
        <v>300</v>
      </c>
      <c r="E72" s="1755">
        <v>2288</v>
      </c>
      <c r="F72" s="1755">
        <v>45051</v>
      </c>
      <c r="G72" s="1755">
        <v>1220</v>
      </c>
      <c r="H72" s="1755">
        <v>104</v>
      </c>
      <c r="I72" s="1755">
        <v>997</v>
      </c>
      <c r="J72" s="1755">
        <v>28</v>
      </c>
      <c r="K72" s="1756">
        <v>362</v>
      </c>
    </row>
    <row r="73" spans="2:11" ht="17" thickBot="1">
      <c r="B73" s="1754">
        <v>309</v>
      </c>
      <c r="C73" s="1755">
        <v>42</v>
      </c>
      <c r="D73" s="1755">
        <v>107</v>
      </c>
      <c r="E73" s="1755">
        <v>3284</v>
      </c>
      <c r="F73" s="1755">
        <v>45052</v>
      </c>
      <c r="G73" s="1755">
        <v>1661</v>
      </c>
      <c r="H73" s="1755">
        <v>507</v>
      </c>
      <c r="I73" s="1755">
        <v>227</v>
      </c>
      <c r="J73" s="1755">
        <v>31</v>
      </c>
      <c r="K73" s="1756">
        <v>26</v>
      </c>
    </row>
    <row r="74" spans="2:11" ht="18" thickBot="1">
      <c r="B74" s="1754">
        <v>310</v>
      </c>
      <c r="C74" s="1755">
        <v>403</v>
      </c>
      <c r="D74" s="1755">
        <v>600</v>
      </c>
      <c r="E74" s="1755">
        <v>8403</v>
      </c>
      <c r="F74" s="1755">
        <v>45053</v>
      </c>
      <c r="G74" s="1755">
        <v>7</v>
      </c>
      <c r="H74" s="1755" t="s">
        <v>3</v>
      </c>
      <c r="I74" s="1755">
        <v>993</v>
      </c>
      <c r="J74" s="1755">
        <v>5</v>
      </c>
      <c r="K74" s="1756" t="s">
        <v>3</v>
      </c>
    </row>
    <row r="75" spans="2:11" ht="18" thickBot="1">
      <c r="B75" s="1754">
        <v>311</v>
      </c>
      <c r="C75" s="1755">
        <v>148</v>
      </c>
      <c r="D75" s="1755">
        <v>168</v>
      </c>
      <c r="E75" s="1755">
        <v>7980</v>
      </c>
      <c r="F75" s="1755">
        <v>45054</v>
      </c>
      <c r="G75" s="1755">
        <v>3324</v>
      </c>
      <c r="H75" s="1755">
        <v>1006</v>
      </c>
      <c r="I75" s="1755">
        <v>326</v>
      </c>
      <c r="J75" s="1755" t="s">
        <v>1100</v>
      </c>
      <c r="K75" s="1756">
        <v>203</v>
      </c>
    </row>
    <row r="76" spans="2:11" ht="18" thickBot="1">
      <c r="B76" s="1754">
        <v>312</v>
      </c>
      <c r="C76" s="1755">
        <v>979</v>
      </c>
      <c r="D76" s="1755">
        <v>166</v>
      </c>
      <c r="E76" s="1755">
        <v>7979</v>
      </c>
      <c r="F76" s="1755">
        <v>45055</v>
      </c>
      <c r="G76" s="1755">
        <v>3405</v>
      </c>
      <c r="H76" s="1755">
        <v>1005</v>
      </c>
      <c r="I76" s="1755">
        <v>853</v>
      </c>
      <c r="J76" s="1755" t="s">
        <v>1101</v>
      </c>
      <c r="K76" s="1756">
        <v>177</v>
      </c>
    </row>
    <row r="77" spans="2:11" ht="18" thickBot="1">
      <c r="B77" s="1754">
        <v>315</v>
      </c>
      <c r="C77" s="1755">
        <v>1019</v>
      </c>
      <c r="D77" s="1755">
        <v>236</v>
      </c>
      <c r="E77" s="1755">
        <v>3082</v>
      </c>
      <c r="F77" s="1755">
        <v>45056</v>
      </c>
      <c r="G77" s="1755">
        <v>2123</v>
      </c>
      <c r="H77" s="1755">
        <v>810</v>
      </c>
      <c r="I77" s="1755">
        <v>582</v>
      </c>
      <c r="J77" s="1755" t="s">
        <v>1102</v>
      </c>
      <c r="K77" s="1756">
        <v>89</v>
      </c>
    </row>
    <row r="78" spans="2:11" ht="17" thickBot="1">
      <c r="B78" s="1754">
        <v>316</v>
      </c>
      <c r="C78" s="1755">
        <v>1017</v>
      </c>
      <c r="D78" s="1755">
        <v>234</v>
      </c>
      <c r="E78" s="1755">
        <v>3081</v>
      </c>
      <c r="F78" s="1755">
        <v>45057</v>
      </c>
      <c r="G78" s="1755">
        <v>2098</v>
      </c>
      <c r="H78" s="1755">
        <v>809</v>
      </c>
      <c r="I78" s="1755">
        <v>931</v>
      </c>
      <c r="J78" s="1755">
        <v>273</v>
      </c>
      <c r="K78" s="1756">
        <v>85</v>
      </c>
    </row>
    <row r="79" spans="2:11" ht="18" thickBot="1">
      <c r="B79" s="1754">
        <v>317</v>
      </c>
      <c r="C79" s="1755">
        <v>400</v>
      </c>
      <c r="D79" s="1755">
        <v>2154</v>
      </c>
      <c r="E79" s="1755">
        <v>8512</v>
      </c>
      <c r="F79" s="1755">
        <v>45058</v>
      </c>
      <c r="G79" s="1755">
        <v>8705</v>
      </c>
      <c r="H79" s="1755">
        <v>1714</v>
      </c>
      <c r="I79" s="1755">
        <v>156</v>
      </c>
      <c r="J79" s="1755" t="s">
        <v>1103</v>
      </c>
      <c r="K79" s="1756">
        <v>507</v>
      </c>
    </row>
    <row r="80" spans="2:11" ht="18" thickBot="1">
      <c r="B80" s="1754">
        <v>318</v>
      </c>
      <c r="C80" s="1755">
        <v>235</v>
      </c>
      <c r="D80" s="1755" t="s">
        <v>1104</v>
      </c>
      <c r="E80" s="1755">
        <v>8399</v>
      </c>
      <c r="F80" s="1755">
        <v>45059</v>
      </c>
      <c r="G80" s="1755">
        <v>8779</v>
      </c>
      <c r="H80" s="1755" t="s">
        <v>1094</v>
      </c>
      <c r="I80" s="1755">
        <v>923</v>
      </c>
      <c r="J80" s="1755">
        <v>5010</v>
      </c>
      <c r="K80" s="1756">
        <v>505</v>
      </c>
    </row>
    <row r="81" spans="2:11" ht="17" thickBot="1">
      <c r="B81" s="1754">
        <v>319</v>
      </c>
      <c r="C81" s="1755">
        <v>1044</v>
      </c>
      <c r="D81" s="1755">
        <v>320</v>
      </c>
      <c r="E81" s="1755">
        <v>6246</v>
      </c>
      <c r="F81" s="1755">
        <v>45060</v>
      </c>
      <c r="G81" s="1755">
        <v>4485</v>
      </c>
      <c r="H81" s="1755">
        <v>1313</v>
      </c>
      <c r="I81" s="1755">
        <v>405</v>
      </c>
      <c r="J81" s="1755">
        <v>5982</v>
      </c>
      <c r="K81" s="1756">
        <v>250</v>
      </c>
    </row>
    <row r="82" spans="2:11" ht="17" thickBot="1">
      <c r="B82" s="1754">
        <v>320</v>
      </c>
      <c r="C82" s="1755">
        <v>215</v>
      </c>
      <c r="D82" s="1755">
        <v>318</v>
      </c>
      <c r="E82" s="1755">
        <v>6017</v>
      </c>
      <c r="F82" s="1755">
        <v>45061</v>
      </c>
      <c r="G82" s="1755">
        <v>4478</v>
      </c>
      <c r="H82" s="1755">
        <v>1311</v>
      </c>
      <c r="I82" s="1755">
        <v>644</v>
      </c>
      <c r="J82" s="1755">
        <v>5135</v>
      </c>
      <c r="K82" s="1756">
        <v>248</v>
      </c>
    </row>
    <row r="83" spans="2:11" ht="17" thickBot="1">
      <c r="B83" s="1754">
        <v>321</v>
      </c>
      <c r="C83" s="1755">
        <v>47</v>
      </c>
      <c r="D83" s="1755">
        <v>346</v>
      </c>
      <c r="E83" s="1755">
        <v>3047</v>
      </c>
      <c r="F83" s="1755">
        <v>45062</v>
      </c>
      <c r="G83" s="1755">
        <v>1902</v>
      </c>
      <c r="H83" s="1755">
        <v>507</v>
      </c>
      <c r="I83" s="1755">
        <v>448</v>
      </c>
      <c r="J83" s="1755">
        <v>5505</v>
      </c>
      <c r="K83" s="1756">
        <v>19</v>
      </c>
    </row>
    <row r="84" spans="2:11" ht="18" thickBot="1">
      <c r="B84" s="1754">
        <v>322</v>
      </c>
      <c r="C84" s="1755">
        <v>978</v>
      </c>
      <c r="D84" s="1755">
        <v>166</v>
      </c>
      <c r="E84" s="1755">
        <v>7978</v>
      </c>
      <c r="F84" s="1755">
        <v>45063</v>
      </c>
      <c r="G84" s="1755">
        <v>3319</v>
      </c>
      <c r="H84" s="1755">
        <v>1004</v>
      </c>
      <c r="I84" s="1755">
        <v>822</v>
      </c>
      <c r="J84" s="1755">
        <v>33</v>
      </c>
      <c r="K84" s="1756" t="s">
        <v>1094</v>
      </c>
    </row>
    <row r="85" spans="2:11" ht="17" thickBot="1">
      <c r="B85" s="1754">
        <v>326</v>
      </c>
      <c r="C85" s="1755">
        <v>59</v>
      </c>
      <c r="D85" s="1755">
        <v>108</v>
      </c>
      <c r="E85" s="1755">
        <v>3401</v>
      </c>
      <c r="F85" s="1755">
        <v>45064</v>
      </c>
      <c r="G85" s="1755">
        <v>1667</v>
      </c>
      <c r="H85" s="1755">
        <v>508</v>
      </c>
      <c r="I85" s="1755">
        <v>504</v>
      </c>
      <c r="J85" s="1755">
        <v>31</v>
      </c>
      <c r="K85" s="1756">
        <v>35</v>
      </c>
    </row>
    <row r="86" spans="2:11" ht="17" thickBot="1">
      <c r="B86" s="1754">
        <v>327</v>
      </c>
      <c r="C86" s="1755">
        <v>101</v>
      </c>
      <c r="D86" s="1755">
        <v>285</v>
      </c>
      <c r="E86" s="1755">
        <v>4101</v>
      </c>
      <c r="F86" s="1755">
        <v>45065</v>
      </c>
      <c r="G86" s="1755">
        <v>2635</v>
      </c>
      <c r="H86" s="1755">
        <v>805</v>
      </c>
      <c r="I86" s="1755">
        <v>607</v>
      </c>
      <c r="J86" s="1755">
        <v>26</v>
      </c>
      <c r="K86" s="1756">
        <v>120</v>
      </c>
    </row>
    <row r="87" spans="2:11" ht="17" thickBot="1">
      <c r="B87" s="1754">
        <v>333</v>
      </c>
      <c r="C87" s="1755">
        <v>119</v>
      </c>
      <c r="D87" s="1755">
        <v>176</v>
      </c>
      <c r="E87" s="1755">
        <v>4101</v>
      </c>
      <c r="F87" s="1755">
        <v>45066</v>
      </c>
      <c r="G87" s="1755">
        <v>2711</v>
      </c>
      <c r="H87" s="1755">
        <v>903</v>
      </c>
      <c r="I87" s="1755">
        <v>896</v>
      </c>
      <c r="J87" s="1755">
        <v>5540</v>
      </c>
      <c r="K87" s="1756">
        <v>131</v>
      </c>
    </row>
    <row r="88" spans="2:11" ht="18" thickBot="1">
      <c r="B88" s="1754">
        <v>334</v>
      </c>
      <c r="C88" s="1755">
        <v>977</v>
      </c>
      <c r="D88" s="1755">
        <v>165</v>
      </c>
      <c r="E88" s="1755">
        <v>7977</v>
      </c>
      <c r="F88" s="1755">
        <v>45067</v>
      </c>
      <c r="G88" s="1755">
        <v>3229</v>
      </c>
      <c r="H88" s="1755">
        <v>1004</v>
      </c>
      <c r="I88" s="1755">
        <v>745</v>
      </c>
      <c r="J88" s="1755" t="s">
        <v>1105</v>
      </c>
      <c r="K88" s="1756">
        <v>185</v>
      </c>
    </row>
    <row r="89" spans="2:11" ht="17" thickBot="1">
      <c r="B89" s="1754">
        <v>335</v>
      </c>
      <c r="C89" s="1755">
        <v>40</v>
      </c>
      <c r="D89" s="1755">
        <v>106</v>
      </c>
      <c r="E89" s="1755">
        <v>3283</v>
      </c>
      <c r="F89" s="1755">
        <v>45068</v>
      </c>
      <c r="G89" s="1755">
        <v>1661</v>
      </c>
      <c r="H89" s="1755">
        <v>506</v>
      </c>
      <c r="I89" s="1755">
        <v>145</v>
      </c>
      <c r="J89" s="1755">
        <v>31</v>
      </c>
      <c r="K89" s="1756">
        <v>34</v>
      </c>
    </row>
    <row r="90" spans="2:11" ht="17" thickBot="1">
      <c r="B90" s="1754">
        <v>336</v>
      </c>
      <c r="C90" s="1755">
        <v>150</v>
      </c>
      <c r="D90" s="1755">
        <v>168</v>
      </c>
      <c r="E90" s="1755">
        <v>7981</v>
      </c>
      <c r="F90" s="1755">
        <v>45069</v>
      </c>
      <c r="G90" s="1755">
        <v>3324</v>
      </c>
      <c r="H90" s="1755">
        <v>1007</v>
      </c>
      <c r="I90" s="1755">
        <v>928</v>
      </c>
      <c r="J90" s="1755">
        <v>5002</v>
      </c>
      <c r="K90" s="1756">
        <v>158</v>
      </c>
    </row>
    <row r="91" spans="2:11" ht="18" thickBot="1">
      <c r="B91" s="1754">
        <v>340</v>
      </c>
      <c r="C91" s="1755">
        <v>118</v>
      </c>
      <c r="D91" s="1755">
        <v>173</v>
      </c>
      <c r="E91" s="1755">
        <v>7110</v>
      </c>
      <c r="F91" s="1755">
        <v>45070</v>
      </c>
      <c r="G91" s="1755" t="s">
        <v>1094</v>
      </c>
      <c r="H91" s="1755">
        <v>902</v>
      </c>
      <c r="I91" s="1755">
        <v>744</v>
      </c>
      <c r="J91" s="1755">
        <v>5740</v>
      </c>
      <c r="K91" s="1756">
        <v>127</v>
      </c>
    </row>
    <row r="92" spans="2:11" ht="18" thickBot="1">
      <c r="B92" s="1754">
        <v>341</v>
      </c>
      <c r="C92" s="1755">
        <v>117</v>
      </c>
      <c r="D92" s="1755" t="s">
        <v>1106</v>
      </c>
      <c r="E92" s="1755">
        <v>7005</v>
      </c>
      <c r="F92" s="1755">
        <v>45071</v>
      </c>
      <c r="G92" s="1755">
        <v>2732</v>
      </c>
      <c r="H92" s="1755">
        <v>901</v>
      </c>
      <c r="I92" s="1755">
        <v>461</v>
      </c>
      <c r="J92" s="1755">
        <v>5803</v>
      </c>
      <c r="K92" s="1756">
        <v>137</v>
      </c>
    </row>
    <row r="93" spans="2:11" ht="17" thickBot="1">
      <c r="B93" s="1754">
        <v>347</v>
      </c>
      <c r="C93" s="1755">
        <v>1025</v>
      </c>
      <c r="D93" s="1755">
        <v>858</v>
      </c>
      <c r="E93" s="1755">
        <v>3013</v>
      </c>
      <c r="F93" s="1755">
        <v>45072</v>
      </c>
      <c r="G93" s="1755">
        <v>1490</v>
      </c>
      <c r="H93" s="1755">
        <v>407</v>
      </c>
      <c r="I93" s="1755">
        <v>504</v>
      </c>
      <c r="J93" s="1755">
        <v>307</v>
      </c>
      <c r="K93" s="1756">
        <v>6</v>
      </c>
    </row>
    <row r="94" spans="2:11" ht="18" thickBot="1">
      <c r="B94" s="1754">
        <v>349</v>
      </c>
      <c r="C94" s="1755">
        <v>13</v>
      </c>
      <c r="D94" s="1755">
        <v>345</v>
      </c>
      <c r="E94" s="1755">
        <v>2335</v>
      </c>
      <c r="F94" s="1755">
        <v>45073</v>
      </c>
      <c r="G94" s="1755">
        <v>1490</v>
      </c>
      <c r="H94" s="1755">
        <v>212</v>
      </c>
      <c r="I94" s="1755" t="s">
        <v>1094</v>
      </c>
      <c r="J94" s="1755">
        <v>3</v>
      </c>
      <c r="K94" s="1756">
        <v>12</v>
      </c>
    </row>
    <row r="95" spans="2:11" ht="17" thickBot="1">
      <c r="B95" s="1754">
        <v>350</v>
      </c>
      <c r="C95" s="1755">
        <v>11</v>
      </c>
      <c r="D95" s="1755">
        <v>344</v>
      </c>
      <c r="E95" s="1755">
        <v>2335</v>
      </c>
      <c r="F95" s="1755">
        <v>45074</v>
      </c>
      <c r="G95" s="1755">
        <v>1344</v>
      </c>
      <c r="H95" s="1755">
        <v>213</v>
      </c>
      <c r="I95" s="1755">
        <v>479</v>
      </c>
      <c r="J95" s="1755">
        <v>3503</v>
      </c>
      <c r="K95" s="1756">
        <v>11</v>
      </c>
    </row>
    <row r="96" spans="2:11" ht="17" thickBot="1">
      <c r="B96" s="1754">
        <v>351</v>
      </c>
      <c r="C96" s="1755">
        <v>10</v>
      </c>
      <c r="D96" s="1755">
        <v>2343</v>
      </c>
      <c r="E96" s="1755">
        <v>3011</v>
      </c>
      <c r="F96" s="1755">
        <v>45075</v>
      </c>
      <c r="G96" s="1755">
        <v>1485</v>
      </c>
      <c r="H96" s="1755">
        <v>214</v>
      </c>
      <c r="I96" s="1755">
        <v>124</v>
      </c>
      <c r="J96" s="1755">
        <v>5705</v>
      </c>
      <c r="K96" s="1756">
        <v>10</v>
      </c>
    </row>
    <row r="97" spans="2:11" ht="17" thickBot="1">
      <c r="B97" s="1754">
        <v>352</v>
      </c>
      <c r="C97" s="1755">
        <v>9</v>
      </c>
      <c r="D97" s="1755">
        <v>342</v>
      </c>
      <c r="E97" s="1755">
        <v>3008</v>
      </c>
      <c r="F97" s="1755">
        <v>45076</v>
      </c>
      <c r="G97" s="1755">
        <v>1314</v>
      </c>
      <c r="H97" s="1755">
        <v>303</v>
      </c>
      <c r="I97" s="1755">
        <v>204</v>
      </c>
      <c r="J97" s="1755">
        <v>127</v>
      </c>
      <c r="K97" s="1756">
        <v>9</v>
      </c>
    </row>
    <row r="98" spans="2:11" ht="17" thickBot="1">
      <c r="B98" s="1754">
        <v>353</v>
      </c>
      <c r="C98" s="1755">
        <v>8</v>
      </c>
      <c r="D98" s="1755">
        <v>2341</v>
      </c>
      <c r="E98" s="1755">
        <v>3006</v>
      </c>
      <c r="F98" s="1755">
        <v>45077</v>
      </c>
      <c r="G98" s="1755">
        <v>1468</v>
      </c>
      <c r="H98" s="1755">
        <v>304</v>
      </c>
      <c r="I98" s="1755">
        <v>622</v>
      </c>
      <c r="J98" s="1755">
        <v>9192</v>
      </c>
      <c r="K98" s="1756">
        <v>50</v>
      </c>
    </row>
    <row r="99" spans="2:11" ht="17" thickBot="1">
      <c r="B99" s="1754">
        <v>355</v>
      </c>
      <c r="C99" s="1755">
        <v>1014</v>
      </c>
      <c r="D99" s="1755">
        <v>467</v>
      </c>
      <c r="E99" s="1755">
        <v>2339</v>
      </c>
      <c r="F99" s="1755">
        <v>45078</v>
      </c>
      <c r="G99" s="1755">
        <v>1996</v>
      </c>
      <c r="H99" s="1755">
        <v>401</v>
      </c>
      <c r="I99" s="1755">
        <v>305</v>
      </c>
      <c r="J99" s="1755">
        <v>3503</v>
      </c>
      <c r="K99" s="1756">
        <v>410</v>
      </c>
    </row>
    <row r="100" spans="2:11" ht="17" thickBot="1">
      <c r="B100" s="1754">
        <v>356</v>
      </c>
      <c r="C100" s="1755">
        <v>1013</v>
      </c>
      <c r="D100" s="1755">
        <v>465</v>
      </c>
      <c r="E100" s="1755">
        <v>2338</v>
      </c>
      <c r="F100" s="1755">
        <v>45079</v>
      </c>
      <c r="G100" s="1755">
        <v>7685</v>
      </c>
      <c r="H100" s="1755">
        <v>402</v>
      </c>
      <c r="I100" s="1755">
        <v>125</v>
      </c>
      <c r="J100" s="1755">
        <v>127</v>
      </c>
      <c r="K100" s="1756">
        <v>408</v>
      </c>
    </row>
    <row r="101" spans="2:11" ht="18" thickBot="1">
      <c r="B101" s="1754">
        <v>367</v>
      </c>
      <c r="C101" s="1755">
        <v>216</v>
      </c>
      <c r="D101" s="1755">
        <v>120</v>
      </c>
      <c r="E101" s="1755">
        <v>6018</v>
      </c>
      <c r="F101" s="1755">
        <v>45080</v>
      </c>
      <c r="G101" s="1755">
        <v>4478</v>
      </c>
      <c r="H101" s="1755">
        <v>1312</v>
      </c>
      <c r="I101" s="1755">
        <v>156</v>
      </c>
      <c r="J101" s="1755" t="s">
        <v>1107</v>
      </c>
      <c r="K101" s="1756">
        <v>249</v>
      </c>
    </row>
    <row r="102" spans="2:11" ht="18" thickBot="1">
      <c r="B102" s="1754">
        <v>368</v>
      </c>
      <c r="C102" s="1755">
        <v>214</v>
      </c>
      <c r="D102" s="1755">
        <v>2317</v>
      </c>
      <c r="E102" s="1755">
        <v>6016</v>
      </c>
      <c r="F102" s="1755">
        <v>45081</v>
      </c>
      <c r="G102" s="1755">
        <v>4472</v>
      </c>
      <c r="H102" s="1755">
        <v>1310</v>
      </c>
      <c r="I102" s="1755">
        <v>402</v>
      </c>
      <c r="J102" s="1755" t="s">
        <v>1108</v>
      </c>
      <c r="K102" s="1756">
        <v>247</v>
      </c>
    </row>
    <row r="103" spans="2:11" ht="18" thickBot="1">
      <c r="B103" s="1754">
        <v>369</v>
      </c>
      <c r="C103" s="1755">
        <v>1043</v>
      </c>
      <c r="D103" s="1755" t="s">
        <v>1109</v>
      </c>
      <c r="E103" s="1755">
        <v>6015</v>
      </c>
      <c r="F103" s="1755">
        <v>45082</v>
      </c>
      <c r="G103" s="1755">
        <v>4586</v>
      </c>
      <c r="H103" s="1755">
        <v>1309</v>
      </c>
      <c r="I103" s="1755">
        <v>541</v>
      </c>
      <c r="J103" s="1755">
        <v>89</v>
      </c>
      <c r="K103" s="1756">
        <v>237</v>
      </c>
    </row>
    <row r="104" spans="2:11" ht="18" thickBot="1">
      <c r="B104" s="1754">
        <v>370</v>
      </c>
      <c r="C104" s="1755">
        <v>888</v>
      </c>
      <c r="D104" s="1755">
        <v>774</v>
      </c>
      <c r="E104" s="1755">
        <v>2876</v>
      </c>
      <c r="F104" s="1755">
        <v>45083</v>
      </c>
      <c r="G104" s="1755">
        <v>7318</v>
      </c>
      <c r="H104" s="1755">
        <v>2110</v>
      </c>
      <c r="I104" s="1755">
        <v>975</v>
      </c>
      <c r="J104" s="1755" t="s">
        <v>1110</v>
      </c>
      <c r="K104" s="1756">
        <v>314</v>
      </c>
    </row>
    <row r="105" spans="2:11" ht="18" thickBot="1">
      <c r="B105" s="1754">
        <v>371</v>
      </c>
      <c r="C105" s="1755">
        <v>887</v>
      </c>
      <c r="D105" s="1755">
        <v>823</v>
      </c>
      <c r="E105" s="1755">
        <v>5898</v>
      </c>
      <c r="F105" s="1755">
        <v>45084</v>
      </c>
      <c r="G105" s="1755">
        <v>7318</v>
      </c>
      <c r="H105" s="1755">
        <v>2110</v>
      </c>
      <c r="I105" s="1755">
        <v>974</v>
      </c>
      <c r="J105" s="1755">
        <v>45</v>
      </c>
      <c r="K105" s="1756" t="s">
        <v>1094</v>
      </c>
    </row>
    <row r="106" spans="2:11" ht="17" thickBot="1">
      <c r="B106" s="1754">
        <v>372</v>
      </c>
      <c r="C106" s="1755">
        <v>887</v>
      </c>
      <c r="D106" s="1755">
        <v>684</v>
      </c>
      <c r="E106" s="1755">
        <v>6843</v>
      </c>
      <c r="F106" s="1755">
        <v>45085</v>
      </c>
      <c r="G106" s="1755">
        <v>7304</v>
      </c>
      <c r="H106" s="1755">
        <v>2110</v>
      </c>
      <c r="I106" s="1755">
        <v>282</v>
      </c>
      <c r="J106" s="1755">
        <v>5835</v>
      </c>
      <c r="K106" s="1756">
        <v>313</v>
      </c>
    </row>
    <row r="107" spans="2:11" ht="17" thickBot="1">
      <c r="B107" s="1754">
        <v>400</v>
      </c>
      <c r="C107" s="1755">
        <v>351</v>
      </c>
      <c r="D107" s="1755">
        <v>130</v>
      </c>
      <c r="E107" s="1755">
        <v>5349</v>
      </c>
      <c r="F107" s="1755">
        <v>45086</v>
      </c>
      <c r="G107" s="1755">
        <v>7740</v>
      </c>
      <c r="H107" s="1755">
        <v>2305</v>
      </c>
      <c r="I107" s="1755">
        <v>127</v>
      </c>
      <c r="J107" s="1755">
        <v>5001</v>
      </c>
      <c r="K107" s="1756">
        <v>402</v>
      </c>
    </row>
    <row r="108" spans="2:11" ht="17" thickBot="1">
      <c r="B108" s="1754">
        <v>402</v>
      </c>
      <c r="C108" s="1755">
        <v>1047</v>
      </c>
      <c r="D108" s="1755">
        <v>127</v>
      </c>
      <c r="E108" s="1755">
        <v>5351</v>
      </c>
      <c r="F108" s="1755">
        <v>45087</v>
      </c>
      <c r="G108" s="1755">
        <v>7636</v>
      </c>
      <c r="H108" s="1755">
        <v>2301</v>
      </c>
      <c r="I108" s="1755">
        <v>764</v>
      </c>
      <c r="J108" s="1755">
        <v>27</v>
      </c>
      <c r="K108" s="1756">
        <v>393</v>
      </c>
    </row>
    <row r="109" spans="2:11" ht="18" thickBot="1">
      <c r="B109" s="1754">
        <v>407</v>
      </c>
      <c r="C109" s="1755">
        <v>914</v>
      </c>
      <c r="D109" s="1755">
        <v>425</v>
      </c>
      <c r="E109" s="1755">
        <v>5578</v>
      </c>
      <c r="F109" s="1755">
        <v>45088</v>
      </c>
      <c r="G109" s="1755">
        <v>7944</v>
      </c>
      <c r="H109" s="1755">
        <v>2312</v>
      </c>
      <c r="I109" s="1755">
        <v>932</v>
      </c>
      <c r="J109" s="1755">
        <v>21</v>
      </c>
      <c r="K109" s="1756" t="s">
        <v>1094</v>
      </c>
    </row>
    <row r="110" spans="2:11" ht="18" thickBot="1">
      <c r="B110" s="1754">
        <v>413</v>
      </c>
      <c r="C110" s="1755">
        <v>236</v>
      </c>
      <c r="D110" s="1755">
        <v>155</v>
      </c>
      <c r="E110" s="1755">
        <v>8514</v>
      </c>
      <c r="F110" s="1755">
        <v>45089</v>
      </c>
      <c r="G110" s="1755">
        <v>8705</v>
      </c>
      <c r="H110" s="1755">
        <v>1714</v>
      </c>
      <c r="I110" s="1755">
        <v>927</v>
      </c>
      <c r="J110" s="1755" t="s">
        <v>1111</v>
      </c>
      <c r="K110" s="1756">
        <v>501</v>
      </c>
    </row>
    <row r="111" spans="2:11" ht="17" thickBot="1">
      <c r="B111" s="1754">
        <v>414</v>
      </c>
      <c r="C111" s="1755">
        <v>235</v>
      </c>
      <c r="D111" s="1755">
        <v>154</v>
      </c>
      <c r="E111" s="1755">
        <v>8513</v>
      </c>
      <c r="F111" s="1755">
        <v>45090</v>
      </c>
      <c r="G111" s="1755">
        <v>8785</v>
      </c>
      <c r="H111" s="1755">
        <v>1802</v>
      </c>
      <c r="I111" s="1755">
        <v>965</v>
      </c>
      <c r="J111" s="1755">
        <v>4204</v>
      </c>
      <c r="K111" s="1756">
        <v>506</v>
      </c>
    </row>
    <row r="112" spans="2:11" ht="18" thickBot="1">
      <c r="B112" s="1754">
        <v>415</v>
      </c>
      <c r="C112" s="1755">
        <v>398</v>
      </c>
      <c r="D112" s="1755" t="s">
        <v>1112</v>
      </c>
      <c r="E112" s="1755">
        <v>8398</v>
      </c>
      <c r="F112" s="1755">
        <v>45091</v>
      </c>
      <c r="G112" s="1755">
        <v>8728</v>
      </c>
      <c r="H112" s="1755">
        <v>1803</v>
      </c>
      <c r="I112" s="1755">
        <v>963</v>
      </c>
      <c r="J112" s="1755" t="s">
        <v>1113</v>
      </c>
      <c r="K112" s="1756">
        <v>504</v>
      </c>
    </row>
    <row r="113" spans="2:11" ht="17" thickBot="1">
      <c r="B113" s="1754">
        <v>420</v>
      </c>
      <c r="C113" s="1755">
        <v>374</v>
      </c>
      <c r="D113" s="1755">
        <v>575</v>
      </c>
      <c r="E113" s="1755">
        <v>5374</v>
      </c>
      <c r="F113" s="1755">
        <v>45092</v>
      </c>
      <c r="G113" s="1755">
        <v>7392</v>
      </c>
      <c r="H113" s="1755">
        <v>2105</v>
      </c>
      <c r="I113" s="1755">
        <v>914</v>
      </c>
      <c r="J113" s="1755">
        <v>3260</v>
      </c>
      <c r="K113" s="1756">
        <v>333</v>
      </c>
    </row>
    <row r="114" spans="2:11" ht="18" thickBot="1">
      <c r="B114" s="1754">
        <v>422</v>
      </c>
      <c r="C114" s="1755">
        <v>372</v>
      </c>
      <c r="D114" s="1755">
        <v>307</v>
      </c>
      <c r="E114" s="1755">
        <v>5350</v>
      </c>
      <c r="F114" s="1755">
        <v>45093</v>
      </c>
      <c r="G114" s="1755">
        <v>7386</v>
      </c>
      <c r="H114" s="1755" t="s">
        <v>1094</v>
      </c>
      <c r="I114" s="1755">
        <v>342</v>
      </c>
      <c r="J114" s="1755">
        <v>212</v>
      </c>
      <c r="K114" s="1756">
        <v>331</v>
      </c>
    </row>
    <row r="115" spans="2:11" ht="18" thickBot="1">
      <c r="B115" s="1754">
        <v>433</v>
      </c>
      <c r="C115" s="1755">
        <v>358</v>
      </c>
      <c r="D115" s="1755">
        <v>309</v>
      </c>
      <c r="E115" s="1755">
        <v>5470</v>
      </c>
      <c r="F115" s="1755">
        <v>45094</v>
      </c>
      <c r="G115" s="1755">
        <v>8075</v>
      </c>
      <c r="H115" s="1755">
        <v>2008</v>
      </c>
      <c r="I115" s="1755">
        <v>584</v>
      </c>
      <c r="J115" s="1755" t="s">
        <v>1114</v>
      </c>
      <c r="K115" s="1756">
        <v>452</v>
      </c>
    </row>
    <row r="116" spans="2:11" ht="17" thickBot="1">
      <c r="B116" s="1754">
        <v>434</v>
      </c>
      <c r="C116" s="1755">
        <v>310</v>
      </c>
      <c r="D116" s="1755">
        <v>309</v>
      </c>
      <c r="E116" s="1755">
        <v>5000</v>
      </c>
      <c r="F116" s="1755">
        <v>45095</v>
      </c>
      <c r="G116" s="1755">
        <v>8072</v>
      </c>
      <c r="H116" s="1755">
        <v>2009</v>
      </c>
      <c r="I116" s="1755">
        <v>915</v>
      </c>
      <c r="J116" s="1755">
        <v>5001</v>
      </c>
      <c r="K116" s="1756">
        <v>451</v>
      </c>
    </row>
    <row r="117" spans="2:11" ht="17" thickBot="1">
      <c r="B117" s="1754">
        <v>435</v>
      </c>
      <c r="C117" s="1755">
        <v>365</v>
      </c>
      <c r="D117" s="1755">
        <v>308</v>
      </c>
      <c r="E117" s="1755">
        <v>5365</v>
      </c>
      <c r="F117" s="1755">
        <v>45096</v>
      </c>
      <c r="G117" s="1755">
        <v>8069</v>
      </c>
      <c r="H117" s="1755">
        <v>2010</v>
      </c>
      <c r="I117" s="1755">
        <v>698</v>
      </c>
      <c r="J117" s="1755">
        <v>3270</v>
      </c>
      <c r="K117" s="1756">
        <v>450</v>
      </c>
    </row>
    <row r="118" spans="2:11" ht="17" thickBot="1">
      <c r="B118" s="1754">
        <v>436</v>
      </c>
      <c r="C118" s="1755">
        <v>363</v>
      </c>
      <c r="D118" s="1755">
        <v>2307</v>
      </c>
      <c r="E118" s="1755">
        <v>5347</v>
      </c>
      <c r="F118" s="1755">
        <v>45097</v>
      </c>
      <c r="G118" s="1755">
        <v>7392</v>
      </c>
      <c r="H118" s="1755">
        <v>2011</v>
      </c>
      <c r="I118" s="1755">
        <v>912</v>
      </c>
      <c r="J118" s="1755">
        <v>221</v>
      </c>
      <c r="K118" s="1756">
        <v>449</v>
      </c>
    </row>
    <row r="119" spans="2:11" ht="18" thickBot="1">
      <c r="B119" s="1754">
        <v>437</v>
      </c>
      <c r="C119" s="1755">
        <v>362</v>
      </c>
      <c r="D119" s="1755" t="s">
        <v>1094</v>
      </c>
      <c r="E119" s="1755">
        <v>5942</v>
      </c>
      <c r="F119" s="1755">
        <v>45098</v>
      </c>
      <c r="G119" s="1755">
        <v>8060</v>
      </c>
      <c r="H119" s="1755">
        <v>2012</v>
      </c>
      <c r="I119" s="1755">
        <v>902</v>
      </c>
      <c r="J119" s="1755">
        <v>212</v>
      </c>
      <c r="K119" s="1756">
        <v>448</v>
      </c>
    </row>
    <row r="120" spans="2:11" ht="18" thickBot="1">
      <c r="B120" s="1754">
        <v>444</v>
      </c>
      <c r="C120" s="1755">
        <v>291</v>
      </c>
      <c r="D120" s="1755">
        <v>302</v>
      </c>
      <c r="E120" s="1755">
        <v>2290</v>
      </c>
      <c r="F120" s="1755">
        <v>45099</v>
      </c>
      <c r="G120" s="1755">
        <v>1227</v>
      </c>
      <c r="H120" s="1755">
        <v>106</v>
      </c>
      <c r="I120" s="1755">
        <v>312</v>
      </c>
      <c r="J120" s="1755" t="s">
        <v>1115</v>
      </c>
      <c r="K120" s="1756" t="s">
        <v>1094</v>
      </c>
    </row>
    <row r="121" spans="2:11" ht="18" thickBot="1">
      <c r="B121" s="1754">
        <v>445</v>
      </c>
      <c r="C121" s="1755">
        <v>288</v>
      </c>
      <c r="D121" s="1755" t="s">
        <v>1094</v>
      </c>
      <c r="E121" s="1755">
        <v>2288</v>
      </c>
      <c r="F121" s="1755">
        <v>45100</v>
      </c>
      <c r="G121" s="1755">
        <v>1217</v>
      </c>
      <c r="H121" s="1755">
        <v>103</v>
      </c>
      <c r="I121" s="1755" t="s">
        <v>1116</v>
      </c>
      <c r="J121" s="1755" t="s">
        <v>1117</v>
      </c>
      <c r="K121" s="1756">
        <v>361</v>
      </c>
    </row>
    <row r="122" spans="2:11" ht="18" thickBot="1">
      <c r="B122" s="1754">
        <v>451</v>
      </c>
      <c r="C122" s="1755">
        <v>233</v>
      </c>
      <c r="D122" s="1755" t="s">
        <v>1094</v>
      </c>
      <c r="E122" s="1755">
        <v>8233</v>
      </c>
      <c r="F122" s="1755">
        <v>45101</v>
      </c>
      <c r="G122" s="1755">
        <v>8742</v>
      </c>
      <c r="H122" s="1755">
        <v>1808</v>
      </c>
      <c r="I122" s="1755">
        <v>965</v>
      </c>
      <c r="J122" s="1755">
        <v>4013</v>
      </c>
      <c r="K122" s="1756">
        <v>431</v>
      </c>
    </row>
    <row r="123" spans="2:11" ht="18" thickBot="1">
      <c r="B123" s="1754">
        <v>452</v>
      </c>
      <c r="C123" s="1755">
        <v>232</v>
      </c>
      <c r="D123" s="1755">
        <v>474</v>
      </c>
      <c r="E123" s="1755">
        <v>5832</v>
      </c>
      <c r="F123" s="1755">
        <v>45102</v>
      </c>
      <c r="G123" s="1755">
        <v>8017</v>
      </c>
      <c r="H123" s="1755">
        <v>1807</v>
      </c>
      <c r="I123" s="1755">
        <v>983</v>
      </c>
      <c r="J123" s="1755">
        <v>93</v>
      </c>
      <c r="K123" s="1756" t="s">
        <v>1094</v>
      </c>
    </row>
    <row r="124" spans="2:11" ht="17" thickBot="1">
      <c r="B124" s="1754">
        <v>453</v>
      </c>
      <c r="C124" s="1755">
        <v>231</v>
      </c>
      <c r="D124" s="1755">
        <v>473</v>
      </c>
      <c r="E124" s="1755">
        <v>5388</v>
      </c>
      <c r="F124" s="1755">
        <v>45103</v>
      </c>
      <c r="G124" s="1755">
        <v>8145</v>
      </c>
      <c r="H124" s="1755">
        <v>1803</v>
      </c>
      <c r="I124" s="1755">
        <v>291</v>
      </c>
      <c r="J124" s="1755">
        <v>193</v>
      </c>
      <c r="K124" s="1756">
        <v>430</v>
      </c>
    </row>
    <row r="125" spans="2:11" ht="17" thickBot="1">
      <c r="B125" s="1754">
        <v>469</v>
      </c>
      <c r="C125" s="1755">
        <v>267</v>
      </c>
      <c r="D125" s="1755">
        <v>633</v>
      </c>
      <c r="E125" s="1755">
        <v>6261</v>
      </c>
      <c r="F125" s="1755">
        <v>45104</v>
      </c>
      <c r="G125" s="1755">
        <v>4823</v>
      </c>
      <c r="H125" s="1755">
        <v>1504</v>
      </c>
      <c r="I125" s="1755">
        <v>256</v>
      </c>
      <c r="J125" s="1755">
        <v>850</v>
      </c>
      <c r="K125" s="1756">
        <v>276</v>
      </c>
    </row>
    <row r="126" spans="2:11" ht="18" thickBot="1">
      <c r="B126" s="1754">
        <v>470</v>
      </c>
      <c r="C126" s="1755">
        <v>266</v>
      </c>
      <c r="D126" s="1755">
        <v>632</v>
      </c>
      <c r="E126" s="1755">
        <v>6010</v>
      </c>
      <c r="F126" s="1755">
        <v>45105</v>
      </c>
      <c r="G126" s="1755">
        <v>4885</v>
      </c>
      <c r="H126" s="1755">
        <v>1502</v>
      </c>
      <c r="I126" s="1755">
        <v>544</v>
      </c>
      <c r="J126" s="1755" t="s">
        <v>1108</v>
      </c>
      <c r="K126" s="1756">
        <v>267</v>
      </c>
    </row>
    <row r="127" spans="2:11" ht="17" thickBot="1">
      <c r="B127" s="1754">
        <v>471</v>
      </c>
      <c r="C127" s="1755">
        <v>265</v>
      </c>
      <c r="D127" s="1755">
        <v>631</v>
      </c>
      <c r="E127" s="1755">
        <v>6266</v>
      </c>
      <c r="F127" s="1755">
        <v>45106</v>
      </c>
      <c r="G127" s="1755">
        <v>4885</v>
      </c>
      <c r="H127" s="1755">
        <v>1501</v>
      </c>
      <c r="I127" s="1755">
        <v>354</v>
      </c>
      <c r="J127" s="1755">
        <v>5835</v>
      </c>
      <c r="K127" s="1756">
        <v>261</v>
      </c>
    </row>
    <row r="128" spans="2:11" ht="18" thickBot="1">
      <c r="B128" s="1754">
        <v>472</v>
      </c>
      <c r="C128" s="1755">
        <v>253</v>
      </c>
      <c r="D128" s="1755" t="s">
        <v>1118</v>
      </c>
      <c r="E128" s="1755">
        <v>6253</v>
      </c>
      <c r="F128" s="1755">
        <v>45107</v>
      </c>
      <c r="G128" s="1755">
        <v>4799</v>
      </c>
      <c r="H128" s="1755">
        <v>1414</v>
      </c>
      <c r="I128" s="1755">
        <v>353</v>
      </c>
      <c r="J128" s="1755">
        <v>5135</v>
      </c>
      <c r="K128" s="1756">
        <v>274</v>
      </c>
    </row>
    <row r="129" spans="2:11" ht="18" thickBot="1">
      <c r="B129" s="1754">
        <v>498</v>
      </c>
      <c r="C129" s="1755">
        <v>1005</v>
      </c>
      <c r="D129" s="1755">
        <v>242</v>
      </c>
      <c r="E129" s="1755">
        <v>3000</v>
      </c>
      <c r="F129" s="1755">
        <v>45108</v>
      </c>
      <c r="G129" s="1755">
        <v>1906</v>
      </c>
      <c r="H129" s="1755">
        <v>511</v>
      </c>
      <c r="I129" s="1755">
        <v>209</v>
      </c>
      <c r="J129" s="1755">
        <v>61</v>
      </c>
      <c r="K129" s="1756" t="s">
        <v>1094</v>
      </c>
    </row>
    <row r="130" spans="2:11" ht="17" thickBot="1">
      <c r="B130" s="1754">
        <v>500</v>
      </c>
      <c r="C130" s="1755">
        <v>683</v>
      </c>
      <c r="D130" s="1755">
        <v>537</v>
      </c>
      <c r="E130" s="1755">
        <v>6880</v>
      </c>
      <c r="F130" s="1755">
        <v>45109</v>
      </c>
      <c r="G130" s="1755">
        <v>4323</v>
      </c>
      <c r="H130" s="1755">
        <v>1705</v>
      </c>
      <c r="I130" s="1755">
        <v>157</v>
      </c>
      <c r="J130" s="1755">
        <v>850</v>
      </c>
      <c r="K130" s="1756">
        <v>236</v>
      </c>
    </row>
    <row r="131" spans="2:11" ht="17" thickBot="1">
      <c r="B131" s="1754">
        <v>501</v>
      </c>
      <c r="C131" s="1755">
        <v>878</v>
      </c>
      <c r="D131" s="1755">
        <v>536</v>
      </c>
      <c r="E131" s="1755">
        <v>6878</v>
      </c>
      <c r="F131" s="1755">
        <v>45110</v>
      </c>
      <c r="G131" s="1755">
        <v>4231</v>
      </c>
      <c r="H131" s="1755">
        <v>1704</v>
      </c>
      <c r="I131" s="1755">
        <v>156</v>
      </c>
      <c r="J131" s="1755">
        <v>9</v>
      </c>
      <c r="K131" s="1756">
        <v>235</v>
      </c>
    </row>
    <row r="132" spans="2:11" ht="18" thickBot="1">
      <c r="B132" s="1754">
        <v>502</v>
      </c>
      <c r="C132" s="1755">
        <v>877</v>
      </c>
      <c r="D132" s="1755">
        <v>535</v>
      </c>
      <c r="E132" s="1755">
        <v>6876</v>
      </c>
      <c r="F132" s="1755">
        <v>45111</v>
      </c>
      <c r="G132" s="1755">
        <v>4228</v>
      </c>
      <c r="H132" s="1755">
        <v>1703</v>
      </c>
      <c r="I132" s="1755">
        <v>155</v>
      </c>
      <c r="J132" s="1755" t="s">
        <v>1119</v>
      </c>
      <c r="K132" s="1756">
        <v>234</v>
      </c>
    </row>
    <row r="133" spans="2:11" ht="17" thickBot="1">
      <c r="B133" s="1754">
        <v>503</v>
      </c>
      <c r="C133" s="1755">
        <v>876</v>
      </c>
      <c r="D133" s="1755">
        <v>534</v>
      </c>
      <c r="E133" s="1755">
        <v>6879</v>
      </c>
      <c r="F133" s="1755">
        <v>45112</v>
      </c>
      <c r="G133" s="1755">
        <v>4218</v>
      </c>
      <c r="H133" s="1755">
        <v>1702</v>
      </c>
      <c r="I133" s="1755">
        <v>643</v>
      </c>
      <c r="J133" s="1755">
        <v>3214</v>
      </c>
      <c r="K133" s="1756">
        <v>233</v>
      </c>
    </row>
    <row r="134" spans="2:11" ht="18" thickBot="1">
      <c r="B134" s="1754">
        <v>504</v>
      </c>
      <c r="C134" s="1755">
        <v>206</v>
      </c>
      <c r="D134" s="1755">
        <v>533</v>
      </c>
      <c r="E134" s="1755">
        <v>6875</v>
      </c>
      <c r="F134" s="1755">
        <v>45113</v>
      </c>
      <c r="G134" s="1755">
        <v>4218</v>
      </c>
      <c r="H134" s="1755">
        <v>1101</v>
      </c>
      <c r="I134" s="1755">
        <v>522</v>
      </c>
      <c r="J134" s="1755">
        <v>1432</v>
      </c>
      <c r="K134" s="1756" t="s">
        <v>1094</v>
      </c>
    </row>
    <row r="135" spans="2:11" ht="18" thickBot="1">
      <c r="B135" s="1754">
        <v>505</v>
      </c>
      <c r="C135" s="1755">
        <v>210</v>
      </c>
      <c r="D135" s="1755" t="s">
        <v>1094</v>
      </c>
      <c r="E135" s="1755">
        <v>6020</v>
      </c>
      <c r="F135" s="1755">
        <v>45490</v>
      </c>
      <c r="G135" s="1755">
        <v>4368</v>
      </c>
      <c r="H135" s="1755">
        <v>1205</v>
      </c>
      <c r="I135" s="1755" t="s">
        <v>1094</v>
      </c>
      <c r="J135" s="1755" t="s">
        <v>1094</v>
      </c>
      <c r="K135" s="1756">
        <v>226</v>
      </c>
    </row>
    <row r="136" spans="2:11" ht="18" thickBot="1">
      <c r="B136" s="1754">
        <v>517</v>
      </c>
      <c r="C136" s="1755">
        <v>162</v>
      </c>
      <c r="D136" s="1755">
        <v>254</v>
      </c>
      <c r="E136" s="1755">
        <v>7162</v>
      </c>
      <c r="F136" s="1755">
        <v>45114</v>
      </c>
      <c r="G136" s="1755">
        <v>3494</v>
      </c>
      <c r="H136" s="1755">
        <v>1107</v>
      </c>
      <c r="I136" s="1755">
        <v>566</v>
      </c>
      <c r="J136" s="1755" t="s">
        <v>1120</v>
      </c>
      <c r="K136" s="1756" t="s">
        <v>1094</v>
      </c>
    </row>
    <row r="137" spans="2:11" ht="18" thickBot="1">
      <c r="B137" s="1754">
        <v>518</v>
      </c>
      <c r="C137" s="1755">
        <v>1039</v>
      </c>
      <c r="D137" s="1755">
        <v>2253</v>
      </c>
      <c r="E137" s="1755">
        <v>7161</v>
      </c>
      <c r="F137" s="1755">
        <v>45115</v>
      </c>
      <c r="G137" s="1755">
        <v>3483</v>
      </c>
      <c r="H137" s="1755">
        <v>1106</v>
      </c>
      <c r="I137" s="1755">
        <v>565</v>
      </c>
      <c r="J137" s="1755" t="s">
        <v>1121</v>
      </c>
      <c r="K137" s="1756">
        <v>199</v>
      </c>
    </row>
    <row r="138" spans="2:11" ht="17" thickBot="1">
      <c r="B138" s="1754">
        <v>519</v>
      </c>
      <c r="C138" s="1755">
        <v>1038</v>
      </c>
      <c r="D138" s="1755">
        <v>252</v>
      </c>
      <c r="E138" s="1755">
        <v>7159</v>
      </c>
      <c r="F138" s="1755">
        <v>45116</v>
      </c>
      <c r="G138" s="1755">
        <v>3476</v>
      </c>
      <c r="H138" s="1755">
        <v>1002</v>
      </c>
      <c r="I138" s="1755">
        <v>462</v>
      </c>
      <c r="J138" s="1755">
        <v>3506</v>
      </c>
      <c r="K138" s="1756">
        <v>198</v>
      </c>
    </row>
    <row r="139" spans="2:11" ht="18" thickBot="1">
      <c r="B139" s="1754">
        <v>520</v>
      </c>
      <c r="C139" s="1755">
        <v>862</v>
      </c>
      <c r="D139" s="1755" t="s">
        <v>1122</v>
      </c>
      <c r="E139" s="1755">
        <v>6269</v>
      </c>
      <c r="F139" s="1755">
        <v>45117</v>
      </c>
      <c r="G139" s="1755">
        <v>5075</v>
      </c>
      <c r="H139" s="1755">
        <v>2603</v>
      </c>
      <c r="I139" s="1755">
        <v>405</v>
      </c>
      <c r="J139" s="1755">
        <v>850</v>
      </c>
      <c r="K139" s="1756">
        <v>272</v>
      </c>
    </row>
    <row r="140" spans="2:11" ht="18" thickBot="1">
      <c r="B140" s="1754">
        <v>522</v>
      </c>
      <c r="C140" s="1755">
        <v>860</v>
      </c>
      <c r="D140" s="1755">
        <v>924</v>
      </c>
      <c r="E140" s="1755">
        <v>6316</v>
      </c>
      <c r="F140" s="1755">
        <v>45118</v>
      </c>
      <c r="G140" s="1755">
        <v>5061</v>
      </c>
      <c r="H140" s="1755">
        <v>1512</v>
      </c>
      <c r="I140" s="1755">
        <v>965</v>
      </c>
      <c r="J140" s="1755">
        <v>5735</v>
      </c>
      <c r="K140" s="1756" t="s">
        <v>1094</v>
      </c>
    </row>
    <row r="141" spans="2:11" ht="18" thickBot="1">
      <c r="B141" s="1754">
        <v>523</v>
      </c>
      <c r="C141" s="1755">
        <v>859</v>
      </c>
      <c r="D141" s="1755">
        <v>923</v>
      </c>
      <c r="E141" s="1755">
        <v>6015</v>
      </c>
      <c r="F141" s="1755">
        <v>45119</v>
      </c>
      <c r="G141" s="1755">
        <v>5140</v>
      </c>
      <c r="H141" s="1755">
        <v>1512</v>
      </c>
      <c r="I141" s="1755">
        <v>154</v>
      </c>
      <c r="J141" s="1755" t="s">
        <v>1108</v>
      </c>
      <c r="K141" s="1756">
        <v>269</v>
      </c>
    </row>
    <row r="142" spans="2:11" ht="17" thickBot="1">
      <c r="B142" s="1754">
        <v>524</v>
      </c>
      <c r="C142" s="1755">
        <v>858</v>
      </c>
      <c r="D142" s="1755">
        <v>922</v>
      </c>
      <c r="E142" s="1755">
        <v>6015</v>
      </c>
      <c r="F142" s="1755">
        <v>45120</v>
      </c>
      <c r="G142" s="1755">
        <v>5051</v>
      </c>
      <c r="H142" s="1755">
        <v>1511</v>
      </c>
      <c r="I142" s="1755">
        <v>642</v>
      </c>
      <c r="J142" s="1755">
        <v>4201</v>
      </c>
      <c r="K142" s="1756">
        <v>302</v>
      </c>
    </row>
    <row r="143" spans="2:11" ht="18" thickBot="1">
      <c r="B143" s="1754">
        <v>535</v>
      </c>
      <c r="C143" s="1755">
        <v>401</v>
      </c>
      <c r="D143" s="1755">
        <v>894</v>
      </c>
      <c r="E143" s="1755">
        <v>8400</v>
      </c>
      <c r="F143" s="1755">
        <v>45121</v>
      </c>
      <c r="G143" s="1755">
        <v>8749</v>
      </c>
      <c r="H143" s="1755">
        <v>1714</v>
      </c>
      <c r="I143" s="1755">
        <v>926</v>
      </c>
      <c r="J143" s="1755" t="s">
        <v>1123</v>
      </c>
      <c r="K143" s="1756">
        <v>438</v>
      </c>
    </row>
    <row r="144" spans="2:11" ht="17" thickBot="1">
      <c r="B144" s="1754">
        <v>543</v>
      </c>
      <c r="C144" s="1755">
        <v>933</v>
      </c>
      <c r="D144" s="1755">
        <v>1000</v>
      </c>
      <c r="E144" s="1755">
        <v>2275</v>
      </c>
      <c r="F144" s="1755">
        <v>45122</v>
      </c>
      <c r="G144" s="1755">
        <v>8140</v>
      </c>
      <c r="H144" s="1755">
        <v>1909</v>
      </c>
      <c r="I144" s="1755">
        <v>981</v>
      </c>
      <c r="J144" s="1755">
        <v>5750</v>
      </c>
      <c r="K144" s="1756">
        <v>416</v>
      </c>
    </row>
    <row r="145" spans="2:11" ht="17" thickBot="1">
      <c r="B145" s="1754">
        <v>550</v>
      </c>
      <c r="C145" s="1755">
        <v>101</v>
      </c>
      <c r="D145" s="1755">
        <v>287</v>
      </c>
      <c r="E145" s="1755">
        <v>4107</v>
      </c>
      <c r="F145" s="1755">
        <v>45123</v>
      </c>
      <c r="G145" s="1755">
        <v>2635</v>
      </c>
      <c r="H145" s="1755">
        <v>714</v>
      </c>
      <c r="I145" s="1755">
        <v>106</v>
      </c>
      <c r="J145" s="1755">
        <v>26</v>
      </c>
      <c r="K145" s="1756">
        <v>126</v>
      </c>
    </row>
    <row r="146" spans="2:11" ht="18" thickBot="1">
      <c r="B146" s="1754">
        <v>552</v>
      </c>
      <c r="C146" s="1755">
        <v>99</v>
      </c>
      <c r="D146" s="1755">
        <v>286</v>
      </c>
      <c r="E146" s="1755">
        <v>4092</v>
      </c>
      <c r="F146" s="1755">
        <v>45124</v>
      </c>
      <c r="G146" s="1755">
        <v>2627</v>
      </c>
      <c r="H146" s="1755">
        <v>713</v>
      </c>
      <c r="I146" s="1755">
        <v>104</v>
      </c>
      <c r="J146" s="1755" t="s">
        <v>1124</v>
      </c>
      <c r="K146" s="1756">
        <v>119</v>
      </c>
    </row>
    <row r="147" spans="2:11" ht="17" thickBot="1">
      <c r="B147" s="1754">
        <v>553</v>
      </c>
      <c r="C147" s="1755">
        <v>98</v>
      </c>
      <c r="D147" s="1755">
        <v>284</v>
      </c>
      <c r="E147" s="1755">
        <v>4097</v>
      </c>
      <c r="F147" s="1755">
        <v>45125</v>
      </c>
      <c r="G147" s="1755">
        <v>2615</v>
      </c>
      <c r="H147" s="1755">
        <v>712</v>
      </c>
      <c r="I147" s="1755">
        <v>103</v>
      </c>
      <c r="J147" s="1755">
        <v>12</v>
      </c>
      <c r="K147" s="1756">
        <v>118</v>
      </c>
    </row>
    <row r="148" spans="2:11" ht="18" thickBot="1">
      <c r="B148" s="1754">
        <v>561</v>
      </c>
      <c r="C148" s="1755">
        <v>212</v>
      </c>
      <c r="D148" s="1755">
        <v>846</v>
      </c>
      <c r="E148" s="1755">
        <v>6211</v>
      </c>
      <c r="F148" s="1755">
        <v>45127</v>
      </c>
      <c r="G148" s="1755">
        <v>4323</v>
      </c>
      <c r="H148" s="1755">
        <v>1205</v>
      </c>
      <c r="I148" s="1755">
        <v>157</v>
      </c>
      <c r="J148" s="1755" t="s">
        <v>1125</v>
      </c>
      <c r="K148" s="1756">
        <v>231</v>
      </c>
    </row>
    <row r="149" spans="2:11" ht="17" thickBot="1">
      <c r="B149" s="1754">
        <v>562</v>
      </c>
      <c r="C149" s="1755">
        <v>210</v>
      </c>
      <c r="D149" s="1755">
        <v>844</v>
      </c>
      <c r="E149" s="1755">
        <v>6213</v>
      </c>
      <c r="F149" s="1755">
        <v>45128</v>
      </c>
      <c r="G149" s="1755">
        <v>4350</v>
      </c>
      <c r="H149" s="1755">
        <v>1206</v>
      </c>
      <c r="I149" s="1755">
        <v>526</v>
      </c>
      <c r="J149" s="1755">
        <v>5012</v>
      </c>
      <c r="K149" s="1756">
        <v>225</v>
      </c>
    </row>
    <row r="150" spans="2:11" ht="17" thickBot="1">
      <c r="B150" s="1754">
        <v>563</v>
      </c>
      <c r="C150" s="1755">
        <v>208</v>
      </c>
      <c r="D150" s="1755">
        <v>843</v>
      </c>
      <c r="E150" s="1755">
        <v>6210</v>
      </c>
      <c r="F150" s="1755">
        <v>45129</v>
      </c>
      <c r="G150" s="1755">
        <v>4379</v>
      </c>
      <c r="H150" s="1755">
        <v>1207</v>
      </c>
      <c r="I150" s="1755">
        <v>831</v>
      </c>
      <c r="J150" s="1755">
        <v>5802</v>
      </c>
      <c r="K150" s="1756">
        <v>224</v>
      </c>
    </row>
    <row r="151" spans="2:11" ht="18" thickBot="1">
      <c r="B151" s="1754">
        <v>564</v>
      </c>
      <c r="C151" s="1755">
        <v>206</v>
      </c>
      <c r="D151" s="1755">
        <v>842</v>
      </c>
      <c r="E151" s="1755">
        <v>6209</v>
      </c>
      <c r="F151" s="1755">
        <v>45130</v>
      </c>
      <c r="G151" s="1755">
        <v>4379</v>
      </c>
      <c r="H151" s="1755">
        <v>1209</v>
      </c>
      <c r="I151" s="1755">
        <v>522</v>
      </c>
      <c r="J151" s="1755">
        <v>9194</v>
      </c>
      <c r="K151" s="1756" t="s">
        <v>1094</v>
      </c>
    </row>
    <row r="152" spans="2:11" ht="17" thickBot="1">
      <c r="B152" s="1754">
        <v>580</v>
      </c>
      <c r="C152" s="1755">
        <v>924</v>
      </c>
      <c r="D152" s="1755">
        <v>634</v>
      </c>
      <c r="E152" s="1755">
        <v>6267</v>
      </c>
      <c r="F152" s="1755">
        <v>45131</v>
      </c>
      <c r="G152" s="1755">
        <v>4817</v>
      </c>
      <c r="H152" s="1755">
        <v>1503</v>
      </c>
      <c r="I152" s="1755">
        <v>295</v>
      </c>
      <c r="J152" s="1755">
        <v>5835</v>
      </c>
      <c r="K152" s="1756">
        <v>298</v>
      </c>
    </row>
    <row r="153" spans="2:11" ht="17" thickBot="1">
      <c r="B153" s="1754">
        <v>581</v>
      </c>
      <c r="C153" s="1755">
        <v>281</v>
      </c>
      <c r="D153" s="1755">
        <v>2631</v>
      </c>
      <c r="E153" s="1755">
        <v>6010</v>
      </c>
      <c r="F153" s="1755">
        <v>45132</v>
      </c>
      <c r="G153" s="1755">
        <v>4812</v>
      </c>
      <c r="H153" s="1755">
        <v>1502</v>
      </c>
      <c r="I153" s="1755">
        <v>255</v>
      </c>
      <c r="J153" s="1755">
        <v>5535</v>
      </c>
      <c r="K153" s="1756">
        <v>297</v>
      </c>
    </row>
    <row r="154" spans="2:11" ht="17" thickBot="1">
      <c r="B154" s="1754">
        <v>597</v>
      </c>
      <c r="C154" s="1755">
        <v>1064</v>
      </c>
      <c r="D154" s="1755">
        <v>565</v>
      </c>
      <c r="E154" s="1755">
        <v>7168</v>
      </c>
      <c r="F154" s="1755">
        <v>45133</v>
      </c>
      <c r="G154" s="1755">
        <v>3654</v>
      </c>
      <c r="H154" s="1755">
        <v>1110</v>
      </c>
      <c r="I154" s="1755">
        <v>745</v>
      </c>
      <c r="J154" s="1755">
        <v>14</v>
      </c>
      <c r="K154" s="1756">
        <v>163</v>
      </c>
    </row>
    <row r="155" spans="2:11" ht="17" thickBot="1">
      <c r="B155" s="1754">
        <v>598</v>
      </c>
      <c r="C155" s="1755">
        <v>1062</v>
      </c>
      <c r="D155" s="1755">
        <v>563</v>
      </c>
      <c r="E155" s="1755">
        <v>7167</v>
      </c>
      <c r="F155" s="1755">
        <v>45134</v>
      </c>
      <c r="G155" s="1755">
        <v>3556</v>
      </c>
      <c r="H155" s="1755">
        <v>1111</v>
      </c>
      <c r="I155" s="1755">
        <v>523</v>
      </c>
      <c r="J155" s="1755">
        <v>14</v>
      </c>
      <c r="K155" s="1756">
        <v>162</v>
      </c>
    </row>
    <row r="156" spans="2:11" ht="18" thickBot="1">
      <c r="B156" s="1754">
        <v>600</v>
      </c>
      <c r="C156" s="1755">
        <v>59</v>
      </c>
      <c r="D156" s="1755">
        <v>506</v>
      </c>
      <c r="E156" s="1755">
        <v>3056</v>
      </c>
      <c r="F156" s="1755">
        <v>45135</v>
      </c>
      <c r="G156" s="1755">
        <v>2165</v>
      </c>
      <c r="H156" s="1755">
        <v>507</v>
      </c>
      <c r="I156" s="1755">
        <v>948</v>
      </c>
      <c r="J156" s="1755" t="s">
        <v>1126</v>
      </c>
      <c r="K156" s="1756">
        <v>62</v>
      </c>
    </row>
    <row r="157" spans="2:11" ht="18" thickBot="1">
      <c r="B157" s="1754">
        <v>601</v>
      </c>
      <c r="C157" s="1755">
        <v>63</v>
      </c>
      <c r="D157" s="1755" t="s">
        <v>1127</v>
      </c>
      <c r="E157" s="1755">
        <v>3128</v>
      </c>
      <c r="F157" s="1755">
        <v>45136</v>
      </c>
      <c r="G157" s="1755">
        <v>2165</v>
      </c>
      <c r="H157" s="1755">
        <v>610</v>
      </c>
      <c r="I157" s="1755">
        <v>146</v>
      </c>
      <c r="J157" s="1755" t="s">
        <v>1128</v>
      </c>
      <c r="K157" s="1756">
        <v>61</v>
      </c>
    </row>
    <row r="158" spans="2:11" ht="17" thickBot="1">
      <c r="B158" s="1754">
        <v>602</v>
      </c>
      <c r="C158" s="1755">
        <v>57</v>
      </c>
      <c r="D158" s="1755">
        <v>504</v>
      </c>
      <c r="E158" s="1755">
        <v>3063</v>
      </c>
      <c r="F158" s="1755">
        <v>45137</v>
      </c>
      <c r="G158" s="1755">
        <v>1735</v>
      </c>
      <c r="H158" s="1755">
        <v>611</v>
      </c>
      <c r="I158" s="1755">
        <v>946</v>
      </c>
      <c r="J158" s="1755">
        <v>24</v>
      </c>
      <c r="K158" s="1756">
        <v>60</v>
      </c>
    </row>
    <row r="159" spans="2:11" ht="17" thickBot="1">
      <c r="B159" s="1754">
        <v>604</v>
      </c>
      <c r="C159" s="1755">
        <v>55</v>
      </c>
      <c r="D159" s="1755">
        <v>502</v>
      </c>
      <c r="E159" s="1755">
        <v>3001</v>
      </c>
      <c r="F159" s="1755">
        <v>45139</v>
      </c>
      <c r="G159" s="1755">
        <v>2314</v>
      </c>
      <c r="H159" s="1755">
        <v>606</v>
      </c>
      <c r="I159" s="1755">
        <v>753</v>
      </c>
      <c r="J159" s="1755">
        <v>5700</v>
      </c>
      <c r="K159" s="1756">
        <v>58</v>
      </c>
    </row>
    <row r="160" spans="2:11" ht="17" thickBot="1">
      <c r="B160" s="1754">
        <v>605</v>
      </c>
      <c r="C160" s="1755">
        <v>1094</v>
      </c>
      <c r="D160" s="1755">
        <v>501</v>
      </c>
      <c r="E160" s="1755">
        <v>3151</v>
      </c>
      <c r="F160" s="1755">
        <v>45140</v>
      </c>
      <c r="G160" s="1755">
        <v>2307</v>
      </c>
      <c r="H160" s="1755">
        <v>613</v>
      </c>
      <c r="I160" s="1755">
        <v>752</v>
      </c>
      <c r="J160" s="1755">
        <v>9200</v>
      </c>
      <c r="K160" s="1756">
        <v>57</v>
      </c>
    </row>
    <row r="161" spans="2:11" ht="17" thickBot="1">
      <c r="B161" s="1754">
        <v>606</v>
      </c>
      <c r="C161" s="1755">
        <v>334</v>
      </c>
      <c r="D161" s="1755">
        <v>758</v>
      </c>
      <c r="E161" s="1755">
        <v>2334</v>
      </c>
      <c r="F161" s="1755">
        <v>45141</v>
      </c>
      <c r="G161" s="1755">
        <v>1163</v>
      </c>
      <c r="H161" s="1755">
        <v>209</v>
      </c>
      <c r="I161" s="1755">
        <v>445</v>
      </c>
      <c r="J161" s="1755">
        <v>3503</v>
      </c>
      <c r="K161" s="1756">
        <v>388</v>
      </c>
    </row>
    <row r="162" spans="2:11" ht="17" thickBot="1">
      <c r="B162" s="1754">
        <v>608</v>
      </c>
      <c r="C162" s="1755">
        <v>330</v>
      </c>
      <c r="D162" s="1755">
        <v>757</v>
      </c>
      <c r="E162" s="1755">
        <v>2332</v>
      </c>
      <c r="F162" s="1755">
        <v>45142</v>
      </c>
      <c r="G162" s="1755">
        <v>1325</v>
      </c>
      <c r="H162" s="1755">
        <v>206</v>
      </c>
      <c r="I162" s="1755">
        <v>994</v>
      </c>
      <c r="J162" s="1755">
        <v>203</v>
      </c>
      <c r="K162" s="1756">
        <v>387</v>
      </c>
    </row>
    <row r="163" spans="2:11" ht="17" thickBot="1">
      <c r="B163" s="1754">
        <v>610</v>
      </c>
      <c r="C163" s="1755">
        <v>889</v>
      </c>
      <c r="D163" s="1755">
        <v>311</v>
      </c>
      <c r="E163" s="1755">
        <v>5889</v>
      </c>
      <c r="F163" s="1755">
        <v>45143</v>
      </c>
      <c r="G163" s="1755">
        <v>8327</v>
      </c>
      <c r="H163" s="1755">
        <v>2107</v>
      </c>
      <c r="I163" s="1755">
        <v>976</v>
      </c>
      <c r="J163" s="1755">
        <v>72</v>
      </c>
      <c r="K163" s="1756">
        <v>320</v>
      </c>
    </row>
    <row r="164" spans="2:11" ht="17" thickBot="1">
      <c r="B164" s="1754">
        <v>611</v>
      </c>
      <c r="C164" s="1755">
        <v>898</v>
      </c>
      <c r="D164" s="1755">
        <v>368</v>
      </c>
      <c r="E164" s="1755">
        <v>5898</v>
      </c>
      <c r="F164" s="1755">
        <v>45144</v>
      </c>
      <c r="G164" s="1755">
        <v>8320</v>
      </c>
      <c r="H164" s="1755">
        <v>1903</v>
      </c>
      <c r="I164" s="1755">
        <v>294</v>
      </c>
      <c r="J164" s="1755">
        <v>72</v>
      </c>
      <c r="K164" s="1756">
        <v>319</v>
      </c>
    </row>
    <row r="165" spans="2:11" ht="17" thickBot="1">
      <c r="B165" s="1754">
        <v>612</v>
      </c>
      <c r="C165" s="1755">
        <v>832</v>
      </c>
      <c r="D165" s="1755">
        <v>367</v>
      </c>
      <c r="E165" s="1755">
        <v>5388</v>
      </c>
      <c r="F165" s="1755">
        <v>45145</v>
      </c>
      <c r="G165" s="1755">
        <v>8314</v>
      </c>
      <c r="H165" s="1755">
        <v>2108</v>
      </c>
      <c r="I165" s="1755">
        <v>983</v>
      </c>
      <c r="J165" s="1755">
        <v>212</v>
      </c>
      <c r="K165" s="1756">
        <v>318</v>
      </c>
    </row>
    <row r="166" spans="2:11" ht="17" thickBot="1">
      <c r="B166" s="1754">
        <v>613</v>
      </c>
      <c r="C166" s="1755">
        <v>831</v>
      </c>
      <c r="D166" s="1755">
        <v>366</v>
      </c>
      <c r="E166" s="1755">
        <v>5387</v>
      </c>
      <c r="F166" s="1755">
        <v>45146</v>
      </c>
      <c r="G166" s="1755">
        <v>8310</v>
      </c>
      <c r="H166" s="1755">
        <v>1902</v>
      </c>
      <c r="I166" s="1755">
        <v>982</v>
      </c>
      <c r="J166" s="1755">
        <v>102</v>
      </c>
      <c r="K166" s="1756">
        <v>317</v>
      </c>
    </row>
    <row r="167" spans="2:11" ht="17" thickBot="1">
      <c r="B167" s="1754">
        <v>632</v>
      </c>
      <c r="C167" s="1755">
        <v>936</v>
      </c>
      <c r="D167" s="1755">
        <v>427</v>
      </c>
      <c r="E167" s="1755">
        <v>5936</v>
      </c>
      <c r="F167" s="1755">
        <v>45147</v>
      </c>
      <c r="G167" s="1755">
        <v>7962</v>
      </c>
      <c r="H167" s="1755">
        <v>2311</v>
      </c>
      <c r="I167" s="1755">
        <v>581</v>
      </c>
      <c r="J167" s="1755">
        <v>2122</v>
      </c>
      <c r="K167" s="1756">
        <v>423</v>
      </c>
    </row>
    <row r="168" spans="2:11" ht="17" thickBot="1">
      <c r="B168" s="1754">
        <v>640</v>
      </c>
      <c r="C168" s="1755">
        <v>393</v>
      </c>
      <c r="D168" s="1755">
        <v>716</v>
      </c>
      <c r="E168" s="1755">
        <v>5393</v>
      </c>
      <c r="F168" s="1755">
        <v>45148</v>
      </c>
      <c r="G168" s="1755">
        <v>8404</v>
      </c>
      <c r="H168" s="1755">
        <v>1813</v>
      </c>
      <c r="I168" s="1755">
        <v>967</v>
      </c>
      <c r="J168" s="1755">
        <v>4203</v>
      </c>
      <c r="K168" s="1756">
        <v>462</v>
      </c>
    </row>
    <row r="169" spans="2:11" ht="17" thickBot="1">
      <c r="B169" s="1754">
        <v>642</v>
      </c>
      <c r="C169" s="1755">
        <v>392</v>
      </c>
      <c r="D169" s="1755">
        <v>368</v>
      </c>
      <c r="E169" s="1755">
        <v>5393</v>
      </c>
      <c r="F169" s="1755">
        <v>45149</v>
      </c>
      <c r="G169" s="1755">
        <v>8404</v>
      </c>
      <c r="H169" s="1755">
        <v>1906</v>
      </c>
      <c r="I169" s="1755">
        <v>965</v>
      </c>
      <c r="J169" s="1755">
        <v>4203</v>
      </c>
      <c r="K169" s="1756">
        <v>461</v>
      </c>
    </row>
    <row r="170" spans="2:11" ht="18" thickBot="1">
      <c r="B170" s="1754">
        <v>644</v>
      </c>
      <c r="C170" s="1755">
        <v>391</v>
      </c>
      <c r="D170" s="1755">
        <v>366</v>
      </c>
      <c r="E170" s="1755">
        <v>5830</v>
      </c>
      <c r="F170" s="1755">
        <v>45150</v>
      </c>
      <c r="G170" s="1755">
        <v>8400</v>
      </c>
      <c r="H170" s="1755">
        <v>1814</v>
      </c>
      <c r="I170" s="1755">
        <v>972</v>
      </c>
      <c r="J170" s="1755" t="s">
        <v>1094</v>
      </c>
      <c r="K170" s="1756">
        <v>460</v>
      </c>
    </row>
    <row r="171" spans="2:11" ht="17" thickBot="1">
      <c r="B171" s="1754">
        <v>645</v>
      </c>
      <c r="C171" s="1755">
        <v>273</v>
      </c>
      <c r="D171" s="1755">
        <v>895</v>
      </c>
      <c r="E171" s="1755">
        <v>8500</v>
      </c>
      <c r="F171" s="1755">
        <v>45151</v>
      </c>
      <c r="G171" s="1755">
        <v>8574</v>
      </c>
      <c r="H171" s="1755">
        <v>1811</v>
      </c>
      <c r="I171" s="1755">
        <v>156</v>
      </c>
      <c r="J171" s="1755">
        <v>4203</v>
      </c>
      <c r="K171" s="1756">
        <v>497</v>
      </c>
    </row>
    <row r="172" spans="2:11" ht="17" thickBot="1">
      <c r="B172" s="1754">
        <v>646</v>
      </c>
      <c r="C172" s="1755">
        <v>8581</v>
      </c>
      <c r="D172" s="1755">
        <v>894</v>
      </c>
      <c r="E172" s="1755">
        <v>8500</v>
      </c>
      <c r="F172" s="1755">
        <v>45152</v>
      </c>
      <c r="G172" s="1755">
        <v>8574</v>
      </c>
      <c r="H172" s="1755">
        <v>1812</v>
      </c>
      <c r="I172" s="1755">
        <v>966</v>
      </c>
      <c r="J172" s="1755">
        <v>4203</v>
      </c>
      <c r="K172" s="1756">
        <v>495</v>
      </c>
    </row>
    <row r="173" spans="2:11" ht="17" thickBot="1">
      <c r="B173" s="1754">
        <v>647</v>
      </c>
      <c r="C173" s="1755">
        <v>1040</v>
      </c>
      <c r="D173" s="1755">
        <v>893</v>
      </c>
      <c r="E173" s="1755">
        <v>8900</v>
      </c>
      <c r="F173" s="1755">
        <v>45153</v>
      </c>
      <c r="G173" s="1755">
        <v>8567</v>
      </c>
      <c r="H173" s="1755">
        <v>1813</v>
      </c>
      <c r="I173" s="1755">
        <v>924</v>
      </c>
      <c r="J173" s="1755">
        <v>4201</v>
      </c>
      <c r="K173" s="1756">
        <v>485</v>
      </c>
    </row>
    <row r="174" spans="2:11" ht="18" thickBot="1">
      <c r="B174" s="1754">
        <v>648</v>
      </c>
      <c r="C174" s="1755">
        <v>900</v>
      </c>
      <c r="D174" s="1755">
        <v>892</v>
      </c>
      <c r="E174" s="1755">
        <v>8390</v>
      </c>
      <c r="F174" s="1755">
        <v>45154</v>
      </c>
      <c r="G174" s="1755">
        <v>8562</v>
      </c>
      <c r="H174" s="1755" t="s">
        <v>1094</v>
      </c>
      <c r="I174" s="1755">
        <v>963</v>
      </c>
      <c r="J174" s="1755">
        <v>4205</v>
      </c>
      <c r="K174" s="1756">
        <v>496</v>
      </c>
    </row>
    <row r="175" spans="2:11" ht="18" thickBot="1">
      <c r="B175" s="1754">
        <v>666</v>
      </c>
      <c r="C175" s="1755">
        <v>46</v>
      </c>
      <c r="D175" s="1755">
        <v>800</v>
      </c>
      <c r="E175" s="1755">
        <v>3046</v>
      </c>
      <c r="F175" s="1755">
        <v>45155</v>
      </c>
      <c r="G175" s="1755">
        <v>1166</v>
      </c>
      <c r="H175" s="1755">
        <v>210</v>
      </c>
      <c r="I175" s="1755">
        <v>995</v>
      </c>
      <c r="J175" s="1755" t="s">
        <v>1094</v>
      </c>
      <c r="K175" s="1756">
        <v>18</v>
      </c>
    </row>
    <row r="176" spans="2:11" ht="17" thickBot="1">
      <c r="B176" s="1754">
        <v>676</v>
      </c>
      <c r="C176" s="1755">
        <v>891</v>
      </c>
      <c r="D176" s="1755">
        <v>573</v>
      </c>
      <c r="E176" s="1755">
        <v>2874</v>
      </c>
      <c r="F176" s="1755">
        <v>45156</v>
      </c>
      <c r="G176" s="1755">
        <v>7139</v>
      </c>
      <c r="H176" s="1755">
        <v>2207</v>
      </c>
      <c r="I176" s="1755">
        <v>902</v>
      </c>
      <c r="J176" s="1755">
        <v>2</v>
      </c>
      <c r="K176" s="1756">
        <v>339</v>
      </c>
    </row>
    <row r="177" spans="2:11" ht="17" thickBot="1">
      <c r="B177" s="1754">
        <v>677</v>
      </c>
      <c r="C177" s="1755">
        <v>361</v>
      </c>
      <c r="D177" s="1755">
        <v>572</v>
      </c>
      <c r="E177" s="1755">
        <v>2300</v>
      </c>
      <c r="F177" s="1755">
        <v>45157</v>
      </c>
      <c r="G177" s="1755">
        <v>1134</v>
      </c>
      <c r="H177" s="1755">
        <v>2207</v>
      </c>
      <c r="I177" s="1755">
        <v>703</v>
      </c>
      <c r="J177" s="1755">
        <v>5555</v>
      </c>
      <c r="K177" s="1756">
        <v>330</v>
      </c>
    </row>
    <row r="178" spans="2:11" ht="18" thickBot="1">
      <c r="B178" s="1754">
        <v>680</v>
      </c>
      <c r="C178" s="1755">
        <v>901</v>
      </c>
      <c r="D178" s="1755">
        <v>576</v>
      </c>
      <c r="E178" s="1755">
        <v>2876</v>
      </c>
      <c r="F178" s="1755">
        <v>45158</v>
      </c>
      <c r="G178" s="1755">
        <v>7155</v>
      </c>
      <c r="H178" s="1755">
        <v>2210</v>
      </c>
      <c r="I178" s="1755">
        <v>314</v>
      </c>
      <c r="J178" s="1755" t="s">
        <v>1129</v>
      </c>
      <c r="K178" s="1756">
        <v>341</v>
      </c>
    </row>
    <row r="179" spans="2:11" ht="18" thickBot="1">
      <c r="B179" s="1754">
        <v>699</v>
      </c>
      <c r="C179" s="1755">
        <v>923</v>
      </c>
      <c r="D179" s="1755">
        <v>276</v>
      </c>
      <c r="E179" s="1755">
        <v>6228</v>
      </c>
      <c r="F179" s="1755">
        <v>45159</v>
      </c>
      <c r="G179" s="1755">
        <v>4402</v>
      </c>
      <c r="H179" s="1755">
        <v>2704</v>
      </c>
      <c r="I179" s="1755">
        <v>437</v>
      </c>
      <c r="J179" s="1755" t="s">
        <v>1130</v>
      </c>
      <c r="K179" s="1756">
        <v>285</v>
      </c>
    </row>
    <row r="180" spans="2:11" ht="18" thickBot="1">
      <c r="B180" s="1754">
        <v>700</v>
      </c>
      <c r="C180" s="1755">
        <v>228</v>
      </c>
      <c r="D180" s="1755">
        <v>275</v>
      </c>
      <c r="E180" s="1755">
        <v>6227</v>
      </c>
      <c r="F180" s="1755">
        <v>45160</v>
      </c>
      <c r="G180" s="1755">
        <v>4652</v>
      </c>
      <c r="H180" s="1755">
        <v>1304</v>
      </c>
      <c r="I180" s="1755">
        <v>436</v>
      </c>
      <c r="J180" s="1755" t="s">
        <v>1125</v>
      </c>
      <c r="K180" s="1756">
        <v>284</v>
      </c>
    </row>
    <row r="181" spans="2:11" ht="17" thickBot="1">
      <c r="B181" s="1754">
        <v>701</v>
      </c>
      <c r="C181" s="1755">
        <v>227</v>
      </c>
      <c r="D181" s="1755">
        <v>274</v>
      </c>
      <c r="E181" s="1755">
        <v>6226</v>
      </c>
      <c r="F181" s="1755">
        <v>45161</v>
      </c>
      <c r="G181" s="1755">
        <v>4646</v>
      </c>
      <c r="H181" s="1755">
        <v>1305</v>
      </c>
      <c r="I181" s="1755">
        <v>436</v>
      </c>
      <c r="J181" s="1755">
        <v>8</v>
      </c>
      <c r="K181" s="1756">
        <v>283</v>
      </c>
    </row>
    <row r="182" spans="2:11" ht="17" thickBot="1">
      <c r="B182" s="1754">
        <v>702</v>
      </c>
      <c r="C182" s="1755">
        <v>226</v>
      </c>
      <c r="D182" s="1755">
        <v>273</v>
      </c>
      <c r="E182" s="1755">
        <v>6239</v>
      </c>
      <c r="F182" s="1755">
        <v>45162</v>
      </c>
      <c r="G182" s="1755">
        <v>4643</v>
      </c>
      <c r="H182" s="1755">
        <v>1306</v>
      </c>
      <c r="I182" s="1755">
        <v>426</v>
      </c>
      <c r="J182" s="1755">
        <v>5012</v>
      </c>
      <c r="K182" s="1756">
        <v>282</v>
      </c>
    </row>
    <row r="183" spans="2:11" ht="17" thickBot="1">
      <c r="B183" s="1754">
        <v>703</v>
      </c>
      <c r="C183" s="1755">
        <v>238</v>
      </c>
      <c r="D183" s="1755">
        <v>272</v>
      </c>
      <c r="E183" s="1755">
        <v>3238</v>
      </c>
      <c r="F183" s="1755">
        <v>45163</v>
      </c>
      <c r="G183" s="1755">
        <v>4636</v>
      </c>
      <c r="H183" s="1755">
        <v>1307</v>
      </c>
      <c r="I183" s="1755">
        <v>425</v>
      </c>
      <c r="J183" s="1755">
        <v>5801</v>
      </c>
      <c r="K183" s="1756">
        <v>281</v>
      </c>
    </row>
    <row r="184" spans="2:11" ht="18" thickBot="1">
      <c r="B184" s="1754">
        <v>704</v>
      </c>
      <c r="C184" s="1755">
        <v>256</v>
      </c>
      <c r="D184" s="1755">
        <v>271</v>
      </c>
      <c r="E184" s="1755">
        <v>6238</v>
      </c>
      <c r="F184" s="1755">
        <v>45164</v>
      </c>
      <c r="G184" s="1755">
        <v>4636</v>
      </c>
      <c r="H184" s="1755">
        <v>1308</v>
      </c>
      <c r="I184" s="1755">
        <v>542</v>
      </c>
      <c r="J184" s="1755" t="s">
        <v>1131</v>
      </c>
      <c r="K184" s="1756">
        <v>280</v>
      </c>
    </row>
    <row r="185" spans="2:11" ht="17" thickBot="1">
      <c r="B185" s="1754">
        <v>712</v>
      </c>
      <c r="C185" s="1755">
        <v>926</v>
      </c>
      <c r="D185" s="1755">
        <v>1000</v>
      </c>
      <c r="E185" s="1755">
        <v>1002</v>
      </c>
      <c r="F185" s="1755">
        <v>45165</v>
      </c>
      <c r="G185" s="1755">
        <v>1211</v>
      </c>
      <c r="H185" s="1755">
        <v>1908</v>
      </c>
      <c r="I185" s="1755">
        <v>881</v>
      </c>
      <c r="J185" s="1755">
        <v>102</v>
      </c>
      <c r="K185" s="1756">
        <v>445</v>
      </c>
    </row>
    <row r="186" spans="2:11" ht="18" thickBot="1">
      <c r="B186" s="1754">
        <v>718</v>
      </c>
      <c r="C186" s="1755">
        <v>88</v>
      </c>
      <c r="D186" s="1755">
        <v>484</v>
      </c>
      <c r="E186" s="1755">
        <v>4089</v>
      </c>
      <c r="F186" s="1755">
        <v>45166</v>
      </c>
      <c r="G186" s="1755">
        <v>2406</v>
      </c>
      <c r="H186" s="1755">
        <v>707</v>
      </c>
      <c r="I186" s="1755">
        <v>604</v>
      </c>
      <c r="J186" s="1755" t="s">
        <v>1128</v>
      </c>
      <c r="K186" s="1756" t="s">
        <v>1094</v>
      </c>
    </row>
    <row r="187" spans="2:11" ht="17" thickBot="1">
      <c r="B187" s="1754">
        <v>720</v>
      </c>
      <c r="C187" s="1755">
        <v>326</v>
      </c>
      <c r="D187" s="1755">
        <v>405</v>
      </c>
      <c r="E187" s="1755">
        <v>2322</v>
      </c>
      <c r="F187" s="1755">
        <v>45167</v>
      </c>
      <c r="G187" s="1755">
        <v>7574</v>
      </c>
      <c r="H187" s="1755">
        <v>309</v>
      </c>
      <c r="I187" s="1755">
        <v>866</v>
      </c>
      <c r="J187" s="1755">
        <v>5510</v>
      </c>
      <c r="K187" s="1756">
        <v>392</v>
      </c>
    </row>
    <row r="188" spans="2:11" ht="17" thickBot="1">
      <c r="B188" s="1754">
        <v>721</v>
      </c>
      <c r="C188" s="1755">
        <v>324</v>
      </c>
      <c r="D188" s="1755">
        <v>404</v>
      </c>
      <c r="E188" s="1755">
        <v>2324</v>
      </c>
      <c r="F188" s="1755">
        <v>45168</v>
      </c>
      <c r="G188" s="1755">
        <v>7567</v>
      </c>
      <c r="H188" s="1755">
        <v>308</v>
      </c>
      <c r="I188" s="1755">
        <v>477</v>
      </c>
      <c r="J188" s="1755">
        <v>5510</v>
      </c>
      <c r="K188" s="1756">
        <v>391</v>
      </c>
    </row>
    <row r="189" spans="2:11" ht="17" thickBot="1">
      <c r="B189" s="1754">
        <v>722</v>
      </c>
      <c r="C189" s="1755">
        <v>323</v>
      </c>
      <c r="D189" s="1755">
        <v>2402</v>
      </c>
      <c r="E189" s="1755">
        <v>2323</v>
      </c>
      <c r="F189" s="1755">
        <v>45169</v>
      </c>
      <c r="G189" s="1755">
        <v>7471</v>
      </c>
      <c r="H189" s="1755">
        <v>307</v>
      </c>
      <c r="I189" s="1755">
        <v>862</v>
      </c>
      <c r="J189" s="1755">
        <v>5765</v>
      </c>
      <c r="K189" s="1756">
        <v>390</v>
      </c>
    </row>
    <row r="190" spans="2:11" ht="18" thickBot="1">
      <c r="B190" s="1754">
        <v>725</v>
      </c>
      <c r="C190" s="1755">
        <v>305</v>
      </c>
      <c r="D190" s="1755" t="s">
        <v>1094</v>
      </c>
      <c r="E190" s="1755">
        <v>2294</v>
      </c>
      <c r="F190" s="1755">
        <v>45170</v>
      </c>
      <c r="G190" s="1755">
        <v>1140</v>
      </c>
      <c r="H190" s="1755">
        <v>109</v>
      </c>
      <c r="I190" s="1755">
        <v>312</v>
      </c>
      <c r="J190" s="1755">
        <v>28</v>
      </c>
      <c r="K190" s="1756">
        <v>367</v>
      </c>
    </row>
    <row r="191" spans="2:11" ht="18" thickBot="1">
      <c r="B191" s="1754">
        <v>726</v>
      </c>
      <c r="C191" s="1755">
        <v>295</v>
      </c>
      <c r="D191" s="1755">
        <v>702</v>
      </c>
      <c r="E191" s="1755">
        <v>2295</v>
      </c>
      <c r="F191" s="1755">
        <v>45171</v>
      </c>
      <c r="G191" s="1755">
        <v>1098</v>
      </c>
      <c r="H191" s="1755">
        <v>108</v>
      </c>
      <c r="I191" s="1755" t="s">
        <v>1094</v>
      </c>
      <c r="J191" s="1755">
        <v>3228</v>
      </c>
      <c r="K191" s="1756">
        <v>366</v>
      </c>
    </row>
    <row r="192" spans="2:11" ht="18" thickBot="1">
      <c r="B192" s="1754">
        <v>727</v>
      </c>
      <c r="C192" s="1755">
        <v>293</v>
      </c>
      <c r="D192" s="1755" t="s">
        <v>1094</v>
      </c>
      <c r="E192" s="1755">
        <v>2289</v>
      </c>
      <c r="F192" s="1755">
        <v>45172</v>
      </c>
      <c r="G192" s="1755">
        <v>1094</v>
      </c>
      <c r="H192" s="1755">
        <v>102</v>
      </c>
      <c r="I192" s="1755">
        <v>842</v>
      </c>
      <c r="J192" s="1755">
        <v>91</v>
      </c>
      <c r="K192" s="1756">
        <v>365</v>
      </c>
    </row>
    <row r="193" spans="2:11" ht="18" thickBot="1">
      <c r="B193" s="1754">
        <v>728</v>
      </c>
      <c r="C193" s="1755">
        <v>305</v>
      </c>
      <c r="D193" s="1755" t="s">
        <v>1094</v>
      </c>
      <c r="E193" s="1755">
        <v>2302</v>
      </c>
      <c r="F193" s="1755">
        <v>45491</v>
      </c>
      <c r="G193" s="1755">
        <v>1040</v>
      </c>
      <c r="H193" s="1755">
        <v>2509</v>
      </c>
      <c r="I193" s="1755" t="s">
        <v>1094</v>
      </c>
      <c r="J193" s="1755" t="s">
        <v>1094</v>
      </c>
      <c r="K193" s="1756">
        <v>347</v>
      </c>
    </row>
    <row r="194" spans="2:11" ht="18" thickBot="1">
      <c r="B194" s="1754">
        <v>729</v>
      </c>
      <c r="C194" s="1755">
        <v>890</v>
      </c>
      <c r="D194" s="1755" t="s">
        <v>1094</v>
      </c>
      <c r="E194" s="1755">
        <v>2875</v>
      </c>
      <c r="F194" s="1755">
        <v>45173</v>
      </c>
      <c r="G194" s="1755">
        <v>7149</v>
      </c>
      <c r="H194" s="1755">
        <v>2204</v>
      </c>
      <c r="I194" s="1755" t="s">
        <v>1094</v>
      </c>
      <c r="J194" s="1755" t="s">
        <v>1132</v>
      </c>
      <c r="K194" s="1756">
        <v>340</v>
      </c>
    </row>
    <row r="195" spans="2:11" ht="17" thickBot="1">
      <c r="B195" s="1754">
        <v>730</v>
      </c>
      <c r="C195" s="1755">
        <v>845</v>
      </c>
      <c r="D195" s="1755">
        <v>826</v>
      </c>
      <c r="E195" s="1755">
        <v>5889</v>
      </c>
      <c r="F195" s="1755">
        <v>45174</v>
      </c>
      <c r="G195" s="1755">
        <v>5400</v>
      </c>
      <c r="H195" s="1755">
        <v>1614</v>
      </c>
      <c r="I195" s="1755">
        <v>256</v>
      </c>
      <c r="J195" s="1755">
        <v>5011</v>
      </c>
      <c r="K195" s="1756">
        <v>311</v>
      </c>
    </row>
    <row r="196" spans="2:11" ht="18" thickBot="1">
      <c r="B196" s="1754">
        <v>554</v>
      </c>
      <c r="C196" s="1755">
        <v>95</v>
      </c>
      <c r="D196" s="1755">
        <v>282</v>
      </c>
      <c r="E196" s="1755">
        <v>4104</v>
      </c>
      <c r="F196" s="1755">
        <v>45126</v>
      </c>
      <c r="G196" s="1755" t="s">
        <v>1094</v>
      </c>
      <c r="H196" s="1755">
        <v>711</v>
      </c>
      <c r="I196" s="1755">
        <v>451</v>
      </c>
      <c r="J196" s="1755">
        <v>95</v>
      </c>
      <c r="K196" s="1756">
        <v>117</v>
      </c>
    </row>
    <row r="197" spans="2:11" ht="18" thickBot="1">
      <c r="B197" s="1754">
        <v>731</v>
      </c>
      <c r="C197" s="1755">
        <v>281</v>
      </c>
      <c r="D197" s="1755">
        <v>825</v>
      </c>
      <c r="E197" s="1755">
        <v>5889</v>
      </c>
      <c r="F197" s="1755">
        <v>45175</v>
      </c>
      <c r="G197" s="1755">
        <v>5400</v>
      </c>
      <c r="H197" s="1755">
        <v>1612</v>
      </c>
      <c r="I197" s="1755">
        <v>345</v>
      </c>
      <c r="J197" s="1755">
        <v>5011</v>
      </c>
      <c r="K197" s="1756" t="s">
        <v>1094</v>
      </c>
    </row>
    <row r="198" spans="2:11" ht="17" thickBot="1">
      <c r="B198" s="1754">
        <v>732</v>
      </c>
      <c r="C198" s="1755">
        <v>281</v>
      </c>
      <c r="D198" s="1755">
        <v>824</v>
      </c>
      <c r="E198" s="1755">
        <v>5889</v>
      </c>
      <c r="F198" s="1755">
        <v>45176</v>
      </c>
      <c r="G198" s="1755">
        <v>5400</v>
      </c>
      <c r="H198" s="1755">
        <v>1612</v>
      </c>
      <c r="I198" s="1755">
        <v>355</v>
      </c>
      <c r="J198" s="1755">
        <v>5835</v>
      </c>
      <c r="K198" s="1756">
        <v>310</v>
      </c>
    </row>
    <row r="199" spans="2:11" ht="17" thickBot="1">
      <c r="B199" s="1754">
        <v>733</v>
      </c>
      <c r="C199" s="1755">
        <v>280</v>
      </c>
      <c r="D199" s="1755">
        <v>823</v>
      </c>
      <c r="E199" s="1755">
        <v>6845</v>
      </c>
      <c r="F199" s="1755">
        <v>45177</v>
      </c>
      <c r="G199" s="1755">
        <v>5388</v>
      </c>
      <c r="H199" s="1755">
        <v>1611</v>
      </c>
      <c r="I199" s="1755">
        <v>242</v>
      </c>
      <c r="J199" s="1755">
        <v>45</v>
      </c>
      <c r="K199" s="1756">
        <v>309</v>
      </c>
    </row>
    <row r="200" spans="2:11" ht="17" thickBot="1">
      <c r="B200" s="1754">
        <v>734</v>
      </c>
      <c r="C200" s="1755">
        <v>279</v>
      </c>
      <c r="D200" s="1755">
        <v>822</v>
      </c>
      <c r="E200" s="1755">
        <v>5363</v>
      </c>
      <c r="F200" s="1755">
        <v>45178</v>
      </c>
      <c r="G200" s="1755">
        <v>5388</v>
      </c>
      <c r="H200" s="1755">
        <v>1610</v>
      </c>
      <c r="I200" s="1755">
        <v>332</v>
      </c>
      <c r="J200" s="1755">
        <v>45</v>
      </c>
      <c r="K200" s="1756">
        <v>308</v>
      </c>
    </row>
    <row r="201" spans="2:11" ht="17" thickBot="1">
      <c r="B201" s="1754">
        <v>738</v>
      </c>
      <c r="C201" s="1755">
        <v>361</v>
      </c>
      <c r="D201" s="1755">
        <v>307</v>
      </c>
      <c r="E201" s="1755">
        <v>5345</v>
      </c>
      <c r="F201" s="1755">
        <v>45179</v>
      </c>
      <c r="G201" s="1755">
        <v>8060</v>
      </c>
      <c r="H201" s="1755">
        <v>2102</v>
      </c>
      <c r="I201" s="1755">
        <v>762</v>
      </c>
      <c r="J201" s="1755">
        <v>2</v>
      </c>
      <c r="K201" s="1756">
        <v>447</v>
      </c>
    </row>
    <row r="202" spans="2:11" ht="18" thickBot="1">
      <c r="B202" s="1754">
        <v>739</v>
      </c>
      <c r="C202" s="1755">
        <v>366</v>
      </c>
      <c r="D202" s="1755">
        <v>306</v>
      </c>
      <c r="E202" s="1755">
        <v>5369</v>
      </c>
      <c r="F202" s="1755">
        <v>45180</v>
      </c>
      <c r="G202" s="1755">
        <v>4000</v>
      </c>
      <c r="H202" s="1755">
        <v>2001</v>
      </c>
      <c r="I202" s="1755">
        <v>761</v>
      </c>
      <c r="J202" s="1755" t="s">
        <v>1133</v>
      </c>
      <c r="K202" s="1756">
        <v>446</v>
      </c>
    </row>
    <row r="203" spans="2:11" ht="17" thickBot="1">
      <c r="B203" s="1754">
        <v>740</v>
      </c>
      <c r="C203" s="1755">
        <v>316</v>
      </c>
      <c r="D203" s="1755">
        <v>147</v>
      </c>
      <c r="E203" s="1755">
        <v>2327</v>
      </c>
      <c r="F203" s="1755">
        <v>45181</v>
      </c>
      <c r="G203" s="1755">
        <v>1237</v>
      </c>
      <c r="H203" s="1755">
        <v>202</v>
      </c>
      <c r="I203" s="1755">
        <v>476</v>
      </c>
      <c r="J203" s="1755">
        <v>27</v>
      </c>
      <c r="K203" s="1756">
        <v>376</v>
      </c>
    </row>
    <row r="204" spans="2:11" ht="17" thickBot="1">
      <c r="B204" s="1754">
        <v>741</v>
      </c>
      <c r="C204" s="1755">
        <v>304</v>
      </c>
      <c r="D204" s="1755">
        <v>146</v>
      </c>
      <c r="E204" s="1755">
        <v>2314</v>
      </c>
      <c r="F204" s="1755">
        <v>45182</v>
      </c>
      <c r="G204" s="1755">
        <v>1152</v>
      </c>
      <c r="H204" s="1755">
        <v>201</v>
      </c>
      <c r="I204" s="1755">
        <v>476</v>
      </c>
      <c r="J204" s="1755">
        <v>221</v>
      </c>
      <c r="K204" s="1756">
        <v>375</v>
      </c>
    </row>
    <row r="205" spans="2:11" ht="17" thickBot="1">
      <c r="B205" s="1754">
        <v>742</v>
      </c>
      <c r="C205" s="1755">
        <v>303</v>
      </c>
      <c r="D205" s="1755">
        <v>145</v>
      </c>
      <c r="E205" s="1755">
        <v>2302</v>
      </c>
      <c r="F205" s="1755">
        <v>45183</v>
      </c>
      <c r="G205" s="1755">
        <v>1068</v>
      </c>
      <c r="H205" s="1755">
        <v>114</v>
      </c>
      <c r="I205" s="1755">
        <v>475</v>
      </c>
      <c r="J205" s="1755">
        <v>5815</v>
      </c>
      <c r="K205" s="1756">
        <v>374</v>
      </c>
    </row>
    <row r="206" spans="2:11" ht="18" thickBot="1">
      <c r="B206" s="1754">
        <v>743</v>
      </c>
      <c r="C206" s="1755">
        <v>302</v>
      </c>
      <c r="D206" s="1755" t="s">
        <v>1134</v>
      </c>
      <c r="E206" s="1755">
        <v>2293</v>
      </c>
      <c r="F206" s="1755">
        <v>45184</v>
      </c>
      <c r="G206" s="1755">
        <v>1062</v>
      </c>
      <c r="H206" s="1755">
        <v>113</v>
      </c>
      <c r="I206" s="1755">
        <v>694</v>
      </c>
      <c r="J206" s="1755" t="s">
        <v>1135</v>
      </c>
      <c r="K206" s="1756">
        <v>373</v>
      </c>
    </row>
    <row r="207" spans="2:11" ht="18" thickBot="1">
      <c r="B207" s="1754">
        <v>744</v>
      </c>
      <c r="C207" s="1755">
        <v>301</v>
      </c>
      <c r="D207" s="1755">
        <v>143</v>
      </c>
      <c r="E207" s="1755">
        <v>2293</v>
      </c>
      <c r="F207" s="1755">
        <v>45185</v>
      </c>
      <c r="G207" s="1755">
        <v>1010</v>
      </c>
      <c r="H207" s="1755">
        <v>109</v>
      </c>
      <c r="I207" s="1755">
        <v>842</v>
      </c>
      <c r="J207" s="1755" t="s">
        <v>1136</v>
      </c>
      <c r="K207" s="1756">
        <v>372</v>
      </c>
    </row>
    <row r="208" spans="2:11" ht="17" thickBot="1">
      <c r="B208" s="1754">
        <v>745</v>
      </c>
      <c r="C208" s="1755">
        <v>300</v>
      </c>
      <c r="D208" s="1755">
        <v>142</v>
      </c>
      <c r="E208" s="1755">
        <v>2296</v>
      </c>
      <c r="F208" s="1755">
        <v>45186</v>
      </c>
      <c r="G208" s="1755">
        <v>1137</v>
      </c>
      <c r="H208" s="1755">
        <v>112</v>
      </c>
      <c r="I208" s="1755">
        <v>851</v>
      </c>
      <c r="J208" s="1755">
        <v>91</v>
      </c>
      <c r="K208" s="1756">
        <v>371</v>
      </c>
    </row>
    <row r="209" spans="2:11" ht="17" thickBot="1">
      <c r="B209" s="1754">
        <v>746</v>
      </c>
      <c r="C209" s="1755">
        <v>275</v>
      </c>
      <c r="D209" s="1755">
        <v>140</v>
      </c>
      <c r="E209" s="1755">
        <v>2275</v>
      </c>
      <c r="F209" s="1755">
        <v>45187</v>
      </c>
      <c r="G209" s="1755">
        <v>7128</v>
      </c>
      <c r="H209" s="1755">
        <v>101</v>
      </c>
      <c r="I209" s="1755">
        <v>881</v>
      </c>
      <c r="J209" s="1755">
        <v>191</v>
      </c>
      <c r="K209" s="1756">
        <v>329</v>
      </c>
    </row>
    <row r="210" spans="2:11" ht="17" thickBot="1">
      <c r="B210" s="1754">
        <v>747</v>
      </c>
      <c r="C210" s="1755">
        <v>158</v>
      </c>
      <c r="D210" s="1755">
        <v>562</v>
      </c>
      <c r="E210" s="1755">
        <v>7053</v>
      </c>
      <c r="F210" s="1755">
        <v>45188</v>
      </c>
      <c r="G210" s="1755">
        <v>3639</v>
      </c>
      <c r="H210" s="1755">
        <v>1104</v>
      </c>
      <c r="I210" s="1755">
        <v>875</v>
      </c>
      <c r="J210" s="1755">
        <v>194</v>
      </c>
      <c r="K210" s="1756">
        <v>172</v>
      </c>
    </row>
    <row r="211" spans="2:11" ht="17" thickBot="1">
      <c r="B211" s="1754">
        <v>754</v>
      </c>
      <c r="C211" s="1755">
        <v>1012</v>
      </c>
      <c r="D211" s="1755">
        <v>341</v>
      </c>
      <c r="E211" s="1755">
        <v>2331</v>
      </c>
      <c r="F211" s="1755">
        <v>45189</v>
      </c>
      <c r="G211" s="1755">
        <v>7810</v>
      </c>
      <c r="H211" s="1755">
        <v>305</v>
      </c>
      <c r="I211" s="1755">
        <v>708</v>
      </c>
      <c r="J211" s="1755">
        <v>13</v>
      </c>
      <c r="K211" s="1756">
        <v>405</v>
      </c>
    </row>
    <row r="212" spans="2:11" ht="18" thickBot="1">
      <c r="B212" s="1754">
        <v>758</v>
      </c>
      <c r="C212" s="1755">
        <v>9575</v>
      </c>
      <c r="D212" s="1755">
        <v>462</v>
      </c>
      <c r="E212" s="1755">
        <v>2337</v>
      </c>
      <c r="F212" s="1755">
        <v>45190</v>
      </c>
      <c r="G212" s="1755">
        <v>7810</v>
      </c>
      <c r="H212" s="1755">
        <v>403</v>
      </c>
      <c r="I212" s="1755">
        <v>301</v>
      </c>
      <c r="J212" s="1755" t="s">
        <v>1137</v>
      </c>
      <c r="K212" s="1756">
        <v>406</v>
      </c>
    </row>
    <row r="213" spans="2:11" ht="17" thickBot="1">
      <c r="B213" s="1754">
        <v>760</v>
      </c>
      <c r="C213" s="1755">
        <v>1022</v>
      </c>
      <c r="D213" s="1755">
        <v>853</v>
      </c>
      <c r="E213" s="1755">
        <v>3069</v>
      </c>
      <c r="F213" s="1755">
        <v>45191</v>
      </c>
      <c r="G213" s="1755">
        <v>1395</v>
      </c>
      <c r="H213" s="1755">
        <v>405</v>
      </c>
      <c r="I213" s="1755">
        <v>143</v>
      </c>
      <c r="J213" s="1755">
        <v>713</v>
      </c>
      <c r="K213" s="1756">
        <v>3</v>
      </c>
    </row>
    <row r="214" spans="2:11" ht="17" thickBot="1">
      <c r="B214" s="1754">
        <v>761</v>
      </c>
      <c r="C214" s="1755">
        <v>1021</v>
      </c>
      <c r="D214" s="1755">
        <v>852</v>
      </c>
      <c r="E214" s="1755">
        <v>3068</v>
      </c>
      <c r="F214" s="1755">
        <v>45192</v>
      </c>
      <c r="G214" s="1755">
        <v>1975</v>
      </c>
      <c r="H214" s="1755">
        <v>404</v>
      </c>
      <c r="I214" s="1755">
        <v>753</v>
      </c>
      <c r="J214" s="1755">
        <v>9192</v>
      </c>
      <c r="K214" s="1756">
        <v>2</v>
      </c>
    </row>
    <row r="215" spans="2:11" ht="18" thickBot="1">
      <c r="B215" s="1754">
        <v>762</v>
      </c>
      <c r="C215" s="1755">
        <v>234</v>
      </c>
      <c r="D215" s="1755">
        <v>151</v>
      </c>
      <c r="E215" s="1755">
        <v>8510</v>
      </c>
      <c r="F215" s="1755">
        <v>45193</v>
      </c>
      <c r="G215" s="1755">
        <v>8767</v>
      </c>
      <c r="H215" s="1755" t="s">
        <v>1094</v>
      </c>
      <c r="I215" s="1755">
        <v>961</v>
      </c>
      <c r="J215" s="1755" t="s">
        <v>1094</v>
      </c>
      <c r="K215" s="1756">
        <v>503</v>
      </c>
    </row>
    <row r="216" spans="2:11" ht="18" thickBot="1">
      <c r="B216" s="1754">
        <v>772</v>
      </c>
      <c r="C216" s="1755">
        <v>259</v>
      </c>
      <c r="D216" s="1755">
        <v>116</v>
      </c>
      <c r="E216" s="1755">
        <v>6250</v>
      </c>
      <c r="F216" s="1755">
        <v>45194</v>
      </c>
      <c r="G216" s="1755">
        <v>4586</v>
      </c>
      <c r="H216" s="1755">
        <v>1604</v>
      </c>
      <c r="I216" s="1755">
        <v>874</v>
      </c>
      <c r="J216" s="1755" t="s">
        <v>1138</v>
      </c>
      <c r="K216" s="1756">
        <v>258</v>
      </c>
    </row>
    <row r="217" spans="2:11" ht="17" thickBot="1">
      <c r="B217" s="1754">
        <v>775</v>
      </c>
      <c r="C217" s="1755">
        <v>128</v>
      </c>
      <c r="D217" s="1755">
        <v>162</v>
      </c>
      <c r="E217" s="1755">
        <v>7031</v>
      </c>
      <c r="F217" s="1755">
        <v>45195</v>
      </c>
      <c r="G217" s="1755">
        <v>3132</v>
      </c>
      <c r="H217" s="1755">
        <v>1001</v>
      </c>
      <c r="I217" s="1755">
        <v>561</v>
      </c>
      <c r="J217" s="1755">
        <v>194</v>
      </c>
      <c r="K217" s="1756">
        <v>181</v>
      </c>
    </row>
    <row r="218" spans="2:11" ht="18" thickBot="1">
      <c r="B218" s="1754">
        <v>776</v>
      </c>
      <c r="C218" s="1755">
        <v>24</v>
      </c>
      <c r="D218" s="1755">
        <v>104</v>
      </c>
      <c r="E218" s="1755">
        <v>3281</v>
      </c>
      <c r="F218" s="1755">
        <v>45196</v>
      </c>
      <c r="G218" s="1755">
        <v>1645</v>
      </c>
      <c r="H218" s="1755">
        <v>503</v>
      </c>
      <c r="I218" s="1755">
        <v>942</v>
      </c>
      <c r="J218" s="1755">
        <v>9200</v>
      </c>
      <c r="K218" s="1756" t="s">
        <v>1094</v>
      </c>
    </row>
    <row r="219" spans="2:11" ht="18" thickBot="1">
      <c r="B219" s="1754">
        <v>777</v>
      </c>
      <c r="C219" s="1755">
        <v>65</v>
      </c>
      <c r="D219" s="1755" t="s">
        <v>1094</v>
      </c>
      <c r="E219" s="1755">
        <v>3072</v>
      </c>
      <c r="F219" s="1755">
        <v>45492</v>
      </c>
      <c r="G219" s="1755">
        <v>1915</v>
      </c>
      <c r="H219" s="1755">
        <v>508</v>
      </c>
      <c r="I219" s="1755" t="s">
        <v>1094</v>
      </c>
      <c r="J219" s="1755" t="s">
        <v>1094</v>
      </c>
      <c r="K219" s="1756">
        <v>43</v>
      </c>
    </row>
    <row r="220" spans="2:11" ht="17" thickBot="1">
      <c r="B220" s="1754">
        <v>778</v>
      </c>
      <c r="C220" s="1755">
        <v>968</v>
      </c>
      <c r="D220" s="1755">
        <v>232</v>
      </c>
      <c r="E220" s="1755">
        <v>3080</v>
      </c>
      <c r="F220" s="1755">
        <v>45197</v>
      </c>
      <c r="G220" s="1755">
        <v>2057</v>
      </c>
      <c r="H220" s="1755">
        <v>808</v>
      </c>
      <c r="I220" s="1755">
        <v>711</v>
      </c>
      <c r="J220" s="1755">
        <v>3237</v>
      </c>
      <c r="K220" s="1756">
        <v>83</v>
      </c>
    </row>
    <row r="221" spans="2:11" ht="18" thickBot="1">
      <c r="B221" s="1754">
        <v>779</v>
      </c>
      <c r="C221" s="1755">
        <v>380</v>
      </c>
      <c r="D221" s="1755" t="s">
        <v>1094</v>
      </c>
      <c r="E221" s="1755">
        <v>5478</v>
      </c>
      <c r="F221" s="1755">
        <v>45493</v>
      </c>
      <c r="G221" s="1755">
        <v>8171</v>
      </c>
      <c r="H221" s="1755" t="s">
        <v>1094</v>
      </c>
      <c r="I221" s="1755" t="s">
        <v>1094</v>
      </c>
      <c r="J221" s="1755" t="s">
        <v>1094</v>
      </c>
      <c r="K221" s="1756">
        <v>434</v>
      </c>
    </row>
    <row r="222" spans="2:11" ht="18" thickBot="1">
      <c r="B222" s="1754">
        <v>780</v>
      </c>
      <c r="C222" s="1755">
        <v>309</v>
      </c>
      <c r="D222" s="1755">
        <v>706</v>
      </c>
      <c r="E222" s="1755">
        <v>5309</v>
      </c>
      <c r="F222" s="1755">
        <v>45198</v>
      </c>
      <c r="G222" s="1755">
        <v>8072</v>
      </c>
      <c r="H222" s="1755">
        <v>2214</v>
      </c>
      <c r="I222" s="1755">
        <v>914</v>
      </c>
      <c r="J222" s="1755" t="s">
        <v>1137</v>
      </c>
      <c r="K222" s="1756">
        <v>350</v>
      </c>
    </row>
    <row r="223" spans="2:11" ht="18" thickBot="1">
      <c r="B223" s="1754">
        <v>781</v>
      </c>
      <c r="C223" s="1755">
        <v>308</v>
      </c>
      <c r="D223" s="1755">
        <v>706</v>
      </c>
      <c r="E223" s="1755">
        <v>5309</v>
      </c>
      <c r="F223" s="1755">
        <v>45199</v>
      </c>
      <c r="G223" s="1755">
        <v>1072</v>
      </c>
      <c r="H223" s="1755">
        <v>2104</v>
      </c>
      <c r="I223" s="1755">
        <v>904</v>
      </c>
      <c r="J223" s="1755" t="s">
        <v>1139</v>
      </c>
      <c r="K223" s="1756" t="s">
        <v>1094</v>
      </c>
    </row>
    <row r="224" spans="2:11" ht="18" thickBot="1">
      <c r="B224" s="1754">
        <v>782</v>
      </c>
      <c r="C224" s="1755">
        <v>308</v>
      </c>
      <c r="D224" s="1755" t="s">
        <v>1140</v>
      </c>
      <c r="E224" s="1755">
        <v>5308</v>
      </c>
      <c r="F224" s="1755">
        <v>45200</v>
      </c>
      <c r="G224" s="1755">
        <v>1072</v>
      </c>
      <c r="H224" s="1755">
        <v>2210</v>
      </c>
      <c r="I224" s="1755">
        <v>904</v>
      </c>
      <c r="J224" s="1755" t="s">
        <v>1132</v>
      </c>
      <c r="K224" s="1756">
        <v>349</v>
      </c>
    </row>
    <row r="225" spans="2:11" ht="18" thickBot="1">
      <c r="B225" s="1754">
        <v>783</v>
      </c>
      <c r="C225" s="1755">
        <v>307</v>
      </c>
      <c r="D225" s="1755">
        <v>703</v>
      </c>
      <c r="E225" s="1755">
        <v>2307</v>
      </c>
      <c r="F225" s="1755">
        <v>45201</v>
      </c>
      <c r="G225" s="1755">
        <v>1109</v>
      </c>
      <c r="H225" s="1755">
        <v>2204</v>
      </c>
      <c r="I225" s="1755">
        <v>313</v>
      </c>
      <c r="J225" s="1755" t="s">
        <v>1129</v>
      </c>
      <c r="K225" s="1756">
        <v>348</v>
      </c>
    </row>
    <row r="226" spans="2:11" ht="17" thickBot="1">
      <c r="B226" s="1754">
        <v>791</v>
      </c>
      <c r="C226" s="1755">
        <v>178</v>
      </c>
      <c r="D226" s="1755">
        <v>665</v>
      </c>
      <c r="E226" s="1755">
        <v>7024</v>
      </c>
      <c r="F226" s="1755">
        <v>45202</v>
      </c>
      <c r="G226" s="1755">
        <v>3073</v>
      </c>
      <c r="H226" s="1755">
        <v>904</v>
      </c>
      <c r="I226" s="1755">
        <v>748</v>
      </c>
      <c r="J226" s="1755">
        <v>5803</v>
      </c>
      <c r="K226" s="1756">
        <v>143</v>
      </c>
    </row>
    <row r="227" spans="2:11" ht="18" thickBot="1">
      <c r="B227" s="1754">
        <v>792</v>
      </c>
      <c r="C227" s="1755">
        <v>941</v>
      </c>
      <c r="D227" s="1755" t="s">
        <v>1141</v>
      </c>
      <c r="E227" s="1755">
        <v>7150</v>
      </c>
      <c r="F227" s="1755">
        <v>45203</v>
      </c>
      <c r="G227" s="1755">
        <v>3068</v>
      </c>
      <c r="H227" s="1755">
        <v>905</v>
      </c>
      <c r="I227" s="1755">
        <v>823</v>
      </c>
      <c r="J227" s="1755">
        <v>329</v>
      </c>
      <c r="K227" s="1756">
        <v>141</v>
      </c>
    </row>
    <row r="228" spans="2:11" ht="17" thickBot="1">
      <c r="B228" s="1754">
        <v>793</v>
      </c>
      <c r="C228" s="1755">
        <v>176</v>
      </c>
      <c r="D228" s="1755">
        <v>663</v>
      </c>
      <c r="E228" s="1755">
        <v>7110</v>
      </c>
      <c r="F228" s="1755">
        <v>45204</v>
      </c>
      <c r="G228" s="1755">
        <v>3060</v>
      </c>
      <c r="H228" s="1755">
        <v>906</v>
      </c>
      <c r="I228" s="1755">
        <v>745</v>
      </c>
      <c r="J228" s="1755">
        <v>5803</v>
      </c>
      <c r="K228" s="1756">
        <v>139</v>
      </c>
    </row>
    <row r="229" spans="2:11" ht="17" thickBot="1">
      <c r="B229" s="1754">
        <v>794</v>
      </c>
      <c r="C229" s="1755">
        <v>175</v>
      </c>
      <c r="D229" s="1755">
        <v>662</v>
      </c>
      <c r="E229" s="1755">
        <v>7005</v>
      </c>
      <c r="F229" s="1755">
        <v>45205</v>
      </c>
      <c r="G229" s="1755">
        <v>3387</v>
      </c>
      <c r="H229" s="1755">
        <v>907</v>
      </c>
      <c r="I229" s="1755">
        <v>821</v>
      </c>
      <c r="J229" s="1755">
        <v>3514</v>
      </c>
      <c r="K229" s="1756">
        <v>145</v>
      </c>
    </row>
    <row r="230" spans="2:11" ht="18" thickBot="1">
      <c r="B230" s="1754">
        <v>796</v>
      </c>
      <c r="C230" s="1755">
        <v>133</v>
      </c>
      <c r="D230" s="1755">
        <v>216</v>
      </c>
      <c r="E230" s="1755">
        <v>7100</v>
      </c>
      <c r="F230" s="1755">
        <v>45206</v>
      </c>
      <c r="G230" s="1755">
        <v>3411</v>
      </c>
      <c r="H230" s="1755">
        <v>913</v>
      </c>
      <c r="I230" s="1755">
        <v>823</v>
      </c>
      <c r="J230" s="1755" t="s">
        <v>1142</v>
      </c>
      <c r="K230" s="1756">
        <v>149</v>
      </c>
    </row>
    <row r="231" spans="2:11" ht="18" thickBot="1">
      <c r="B231" s="1754">
        <v>797</v>
      </c>
      <c r="C231" s="1755">
        <v>132</v>
      </c>
      <c r="D231" s="1755">
        <v>215</v>
      </c>
      <c r="E231" s="1755">
        <v>7023</v>
      </c>
      <c r="F231" s="1755">
        <v>45207</v>
      </c>
      <c r="G231" s="1755">
        <v>3411</v>
      </c>
      <c r="H231" s="1755">
        <v>912</v>
      </c>
      <c r="I231" s="1755">
        <v>747</v>
      </c>
      <c r="J231" s="1755" t="s">
        <v>1143</v>
      </c>
      <c r="K231" s="1756">
        <v>148</v>
      </c>
    </row>
    <row r="232" spans="2:11" ht="18" thickBot="1">
      <c r="B232" s="1754">
        <v>798</v>
      </c>
      <c r="C232" s="1755">
        <v>146</v>
      </c>
      <c r="D232" s="1755">
        <v>214</v>
      </c>
      <c r="E232" s="1755">
        <v>7022</v>
      </c>
      <c r="F232" s="1755">
        <v>45208</v>
      </c>
      <c r="G232" s="1755">
        <v>3405</v>
      </c>
      <c r="H232" s="1755">
        <v>911</v>
      </c>
      <c r="I232" s="1755">
        <v>566</v>
      </c>
      <c r="J232" s="1755" t="s">
        <v>1143</v>
      </c>
      <c r="K232" s="1756" t="s">
        <v>1094</v>
      </c>
    </row>
    <row r="233" spans="2:11" ht="18" thickBot="1">
      <c r="B233" s="1754">
        <v>799</v>
      </c>
      <c r="C233" s="1755">
        <v>145</v>
      </c>
      <c r="D233" s="1755">
        <v>213</v>
      </c>
      <c r="E233" s="1755">
        <v>7030</v>
      </c>
      <c r="F233" s="1755">
        <v>45209</v>
      </c>
      <c r="G233" s="1755">
        <v>3396</v>
      </c>
      <c r="H233" s="1755">
        <v>910</v>
      </c>
      <c r="I233" s="1755">
        <v>744</v>
      </c>
      <c r="J233" s="1755">
        <v>33</v>
      </c>
      <c r="K233" s="1756" t="s">
        <v>1094</v>
      </c>
    </row>
    <row r="234" spans="2:11" ht="18" thickBot="1">
      <c r="B234" s="1754">
        <v>800</v>
      </c>
      <c r="C234" s="1755">
        <v>144</v>
      </c>
      <c r="D234" s="1755">
        <v>212</v>
      </c>
      <c r="E234" s="1755">
        <v>7020</v>
      </c>
      <c r="F234" s="1755">
        <v>45210</v>
      </c>
      <c r="G234" s="1755">
        <v>3305</v>
      </c>
      <c r="H234" s="1755">
        <v>908</v>
      </c>
      <c r="I234" s="1755">
        <v>561</v>
      </c>
      <c r="J234" s="1755">
        <v>25</v>
      </c>
      <c r="K234" s="1756" t="s">
        <v>1094</v>
      </c>
    </row>
    <row r="235" spans="2:11" ht="17" thickBot="1">
      <c r="B235" s="1754">
        <v>801</v>
      </c>
      <c r="C235" s="1755">
        <v>359</v>
      </c>
      <c r="D235" s="1755">
        <v>310</v>
      </c>
      <c r="E235" s="1755">
        <v>5472</v>
      </c>
      <c r="F235" s="1755">
        <v>45211</v>
      </c>
      <c r="G235" s="1755">
        <v>8080</v>
      </c>
      <c r="H235" s="1755">
        <v>2007</v>
      </c>
      <c r="I235" s="1755">
        <v>584</v>
      </c>
      <c r="J235" s="1755">
        <v>22</v>
      </c>
      <c r="K235" s="1756">
        <v>453</v>
      </c>
    </row>
    <row r="236" spans="2:11" ht="18" thickBot="1">
      <c r="B236" s="1754">
        <v>803</v>
      </c>
      <c r="C236" s="1755">
        <v>149</v>
      </c>
      <c r="D236" s="1755" t="s">
        <v>1094</v>
      </c>
      <c r="E236" s="1755">
        <v>7024</v>
      </c>
      <c r="F236" s="1755">
        <v>45494</v>
      </c>
      <c r="G236" s="1755">
        <v>3324</v>
      </c>
      <c r="H236" s="1755" t="s">
        <v>1094</v>
      </c>
      <c r="I236" s="1755" t="s">
        <v>1094</v>
      </c>
      <c r="J236" s="1755" t="s">
        <v>1094</v>
      </c>
      <c r="K236" s="1756">
        <v>178</v>
      </c>
    </row>
    <row r="237" spans="2:11" ht="18" thickBot="1">
      <c r="B237" s="1754">
        <v>806</v>
      </c>
      <c r="C237" s="1755">
        <v>169</v>
      </c>
      <c r="D237" s="1755">
        <v>376</v>
      </c>
      <c r="E237" s="1755">
        <v>7169</v>
      </c>
      <c r="F237" s="1755">
        <v>45212</v>
      </c>
      <c r="G237" s="1755">
        <v>3483</v>
      </c>
      <c r="H237" s="1755">
        <v>1107</v>
      </c>
      <c r="I237" s="1755">
        <v>566</v>
      </c>
      <c r="J237" s="1755">
        <v>3506</v>
      </c>
      <c r="K237" s="1756" t="s">
        <v>1094</v>
      </c>
    </row>
    <row r="238" spans="2:11" ht="18" thickBot="1">
      <c r="B238" s="1754">
        <v>807</v>
      </c>
      <c r="C238" s="1755">
        <v>168</v>
      </c>
      <c r="D238" s="1755">
        <v>374</v>
      </c>
      <c r="E238" s="1755">
        <v>7168</v>
      </c>
      <c r="F238" s="1755">
        <v>45213</v>
      </c>
      <c r="G238" s="1755">
        <v>3560</v>
      </c>
      <c r="H238" s="1755">
        <v>1105</v>
      </c>
      <c r="I238" s="1755">
        <v>565</v>
      </c>
      <c r="J238" s="1755" t="s">
        <v>1144</v>
      </c>
      <c r="K238" s="1756">
        <v>174</v>
      </c>
    </row>
    <row r="239" spans="2:11" ht="18" thickBot="1">
      <c r="B239" s="1754">
        <v>809</v>
      </c>
      <c r="C239" s="1755">
        <v>130</v>
      </c>
      <c r="D239" s="1755">
        <v>2212</v>
      </c>
      <c r="E239" s="1755">
        <v>7021</v>
      </c>
      <c r="F239" s="1755">
        <v>45214</v>
      </c>
      <c r="G239" s="1755">
        <v>3396</v>
      </c>
      <c r="H239" s="1755">
        <v>909</v>
      </c>
      <c r="I239" s="1755">
        <v>462</v>
      </c>
      <c r="J239" s="1755" t="s">
        <v>1105</v>
      </c>
      <c r="K239" s="1756">
        <v>155</v>
      </c>
    </row>
    <row r="240" spans="2:11" ht="17" thickBot="1">
      <c r="B240" s="1754">
        <v>813</v>
      </c>
      <c r="C240" s="1755">
        <v>161</v>
      </c>
      <c r="D240" s="1755">
        <v>253</v>
      </c>
      <c r="E240" s="1755">
        <v>7161</v>
      </c>
      <c r="F240" s="1755">
        <v>45215</v>
      </c>
      <c r="G240" s="1755">
        <v>3312</v>
      </c>
      <c r="H240" s="1755">
        <v>1711</v>
      </c>
      <c r="I240" s="1755">
        <v>564</v>
      </c>
      <c r="J240" s="1755">
        <v>14</v>
      </c>
      <c r="K240" s="1756">
        <v>175</v>
      </c>
    </row>
    <row r="241" spans="2:11" ht="18" thickBot="1">
      <c r="B241" s="1754">
        <v>814</v>
      </c>
      <c r="C241" s="1755">
        <v>45</v>
      </c>
      <c r="D241" s="1755">
        <v>246</v>
      </c>
      <c r="E241" s="1755">
        <v>3044</v>
      </c>
      <c r="F241" s="1755">
        <v>45216</v>
      </c>
      <c r="G241" s="1755">
        <v>2171</v>
      </c>
      <c r="H241" s="1755">
        <v>514</v>
      </c>
      <c r="I241" s="1755">
        <v>716</v>
      </c>
      <c r="J241" s="1755" t="s">
        <v>1102</v>
      </c>
      <c r="K241" s="1756">
        <v>22</v>
      </c>
    </row>
    <row r="242" spans="2:11" ht="17" thickBot="1">
      <c r="B242" s="1754">
        <v>815</v>
      </c>
      <c r="C242" s="1755">
        <v>44</v>
      </c>
      <c r="D242" s="1755">
        <v>245</v>
      </c>
      <c r="E242" s="1755">
        <v>3000</v>
      </c>
      <c r="F242" s="1755">
        <v>45217</v>
      </c>
      <c r="G242" s="1755">
        <v>1915</v>
      </c>
      <c r="H242" s="1755">
        <v>2502</v>
      </c>
      <c r="I242" s="1755">
        <v>305</v>
      </c>
      <c r="J242" s="1755">
        <v>308</v>
      </c>
      <c r="K242" s="1756">
        <v>21</v>
      </c>
    </row>
    <row r="243" spans="2:11" ht="18" thickBot="1">
      <c r="B243" s="1754">
        <v>816</v>
      </c>
      <c r="C243" s="1755">
        <v>43</v>
      </c>
      <c r="D243" s="1755">
        <v>245</v>
      </c>
      <c r="E243" s="1755">
        <v>3021</v>
      </c>
      <c r="F243" s="1755">
        <v>45218</v>
      </c>
      <c r="G243" s="1755">
        <v>1915</v>
      </c>
      <c r="H243" s="1755">
        <v>513</v>
      </c>
      <c r="I243" s="1755">
        <v>148</v>
      </c>
      <c r="J243" s="1755" t="s">
        <v>1145</v>
      </c>
      <c r="K243" s="1756">
        <v>7</v>
      </c>
    </row>
    <row r="244" spans="2:11" ht="17" thickBot="1">
      <c r="B244" s="1754">
        <v>817</v>
      </c>
      <c r="C244" s="1755">
        <v>13</v>
      </c>
      <c r="D244" s="1755">
        <v>346</v>
      </c>
      <c r="E244" s="1755">
        <v>2335</v>
      </c>
      <c r="F244" s="1755">
        <v>45219</v>
      </c>
      <c r="G244" s="1755">
        <v>1490</v>
      </c>
      <c r="H244" s="1755">
        <v>211</v>
      </c>
      <c r="I244" s="1755">
        <v>504</v>
      </c>
      <c r="J244" s="1755">
        <v>5505</v>
      </c>
      <c r="K244" s="1756">
        <v>13</v>
      </c>
    </row>
    <row r="245" spans="2:11" ht="17" thickBot="1">
      <c r="B245" s="1754">
        <v>818</v>
      </c>
      <c r="C245" s="1755">
        <v>23</v>
      </c>
      <c r="D245" s="1755">
        <v>103</v>
      </c>
      <c r="E245" s="1755">
        <v>3281</v>
      </c>
      <c r="F245" s="1755">
        <v>45220</v>
      </c>
      <c r="G245" s="1755">
        <v>1637</v>
      </c>
      <c r="H245" s="1755">
        <v>502</v>
      </c>
      <c r="I245" s="1755">
        <v>752</v>
      </c>
      <c r="J245" s="1755">
        <v>192</v>
      </c>
      <c r="K245" s="1756">
        <v>23</v>
      </c>
    </row>
    <row r="246" spans="2:11" ht="17" thickBot="1">
      <c r="B246" s="1754">
        <v>819</v>
      </c>
      <c r="C246" s="1755">
        <v>271</v>
      </c>
      <c r="D246" s="1755">
        <v>101</v>
      </c>
      <c r="E246" s="1755">
        <v>3280</v>
      </c>
      <c r="F246" s="1755">
        <v>45221</v>
      </c>
      <c r="G246" s="1755">
        <v>1464</v>
      </c>
      <c r="H246" s="1755">
        <v>501</v>
      </c>
      <c r="I246" s="1755">
        <v>751</v>
      </c>
      <c r="J246" s="1755">
        <v>192</v>
      </c>
      <c r="K246" s="1756">
        <v>31</v>
      </c>
    </row>
    <row r="247" spans="2:11" ht="18" thickBot="1">
      <c r="B247" s="1754">
        <v>820</v>
      </c>
      <c r="C247" s="1755">
        <v>134</v>
      </c>
      <c r="D247" s="1755">
        <v>217</v>
      </c>
      <c r="E247" s="1755">
        <v>7024</v>
      </c>
      <c r="F247" s="1755">
        <v>45222</v>
      </c>
      <c r="G247" s="1755">
        <v>3073</v>
      </c>
      <c r="H247" s="1755">
        <v>904</v>
      </c>
      <c r="I247" s="1755">
        <v>824</v>
      </c>
      <c r="J247" s="1755" t="s">
        <v>1142</v>
      </c>
      <c r="K247" s="1756">
        <v>150</v>
      </c>
    </row>
    <row r="248" spans="2:11" ht="18" thickBot="1">
      <c r="B248" s="1754">
        <v>822</v>
      </c>
      <c r="C248" s="1755">
        <v>390</v>
      </c>
      <c r="D248" s="1755">
        <v>365</v>
      </c>
      <c r="E248" s="1755">
        <v>5933</v>
      </c>
      <c r="F248" s="1755">
        <v>45223</v>
      </c>
      <c r="G248" s="1755">
        <v>8390</v>
      </c>
      <c r="H248" s="1755" t="s">
        <v>1094</v>
      </c>
      <c r="I248" s="1755" t="s">
        <v>1146</v>
      </c>
      <c r="J248" s="1755">
        <v>210</v>
      </c>
      <c r="K248" s="1756">
        <v>459</v>
      </c>
    </row>
    <row r="249" spans="2:11" ht="18" thickBot="1">
      <c r="B249" s="1754">
        <v>823</v>
      </c>
      <c r="C249" s="1755">
        <v>152</v>
      </c>
      <c r="D249" s="1755">
        <v>169</v>
      </c>
      <c r="E249" s="1755">
        <v>7982</v>
      </c>
      <c r="F249" s="1755">
        <v>45224</v>
      </c>
      <c r="G249" s="1755">
        <v>3327</v>
      </c>
      <c r="H249" s="1755" t="s">
        <v>1094</v>
      </c>
      <c r="I249" s="1755">
        <v>328</v>
      </c>
      <c r="J249" s="1755">
        <v>60</v>
      </c>
      <c r="K249" s="1756">
        <v>159</v>
      </c>
    </row>
    <row r="250" spans="2:11" ht="18" thickBot="1">
      <c r="B250" s="1754">
        <v>824</v>
      </c>
      <c r="C250" s="1755">
        <v>164</v>
      </c>
      <c r="D250" s="1755">
        <v>255</v>
      </c>
      <c r="E250" s="1755">
        <v>7182</v>
      </c>
      <c r="F250" s="1755">
        <v>45225</v>
      </c>
      <c r="G250" s="1755">
        <v>3319</v>
      </c>
      <c r="H250" s="1755">
        <v>1010</v>
      </c>
      <c r="I250" s="1755">
        <v>567</v>
      </c>
      <c r="J250" s="1755" t="s">
        <v>1101</v>
      </c>
      <c r="K250" s="1756" t="s">
        <v>1094</v>
      </c>
    </row>
    <row r="251" spans="2:11" ht="18" thickBot="1">
      <c r="B251" s="1754">
        <v>825</v>
      </c>
      <c r="C251" s="1755">
        <v>162</v>
      </c>
      <c r="D251" s="1755">
        <v>255</v>
      </c>
      <c r="E251" s="1755">
        <v>7181</v>
      </c>
      <c r="F251" s="1755">
        <v>45226</v>
      </c>
      <c r="G251" s="1755">
        <v>3319</v>
      </c>
      <c r="H251" s="1755">
        <v>1011</v>
      </c>
      <c r="I251" s="1755">
        <v>853</v>
      </c>
      <c r="J251" s="1755">
        <v>33</v>
      </c>
      <c r="K251" s="1756" t="s">
        <v>1094</v>
      </c>
    </row>
    <row r="252" spans="2:11" ht="18" thickBot="1">
      <c r="B252" s="1754">
        <v>826</v>
      </c>
      <c r="C252" s="1755">
        <v>161</v>
      </c>
      <c r="D252" s="1755">
        <v>254</v>
      </c>
      <c r="E252" s="1755">
        <v>7180</v>
      </c>
      <c r="F252" s="1755">
        <v>45227</v>
      </c>
      <c r="G252" s="1755">
        <v>3229</v>
      </c>
      <c r="H252" s="1755">
        <v>1012</v>
      </c>
      <c r="I252" s="1755">
        <v>565</v>
      </c>
      <c r="J252" s="1755" t="s">
        <v>1144</v>
      </c>
      <c r="K252" s="1756">
        <v>176</v>
      </c>
    </row>
    <row r="253" spans="2:11" ht="18" thickBot="1">
      <c r="B253" s="1754">
        <v>827</v>
      </c>
      <c r="C253" s="1755">
        <v>160</v>
      </c>
      <c r="D253" s="1755">
        <v>252</v>
      </c>
      <c r="E253" s="1755">
        <v>7159</v>
      </c>
      <c r="F253" s="1755">
        <v>45228</v>
      </c>
      <c r="G253" s="1755">
        <v>3305</v>
      </c>
      <c r="H253" s="1755" t="s">
        <v>1094</v>
      </c>
      <c r="I253" s="1755">
        <v>563</v>
      </c>
      <c r="J253" s="1755">
        <v>25</v>
      </c>
      <c r="K253" s="1756">
        <v>183</v>
      </c>
    </row>
    <row r="254" spans="2:11" ht="17" thickBot="1">
      <c r="B254" s="1754">
        <v>828</v>
      </c>
      <c r="C254" s="1755">
        <v>9159</v>
      </c>
      <c r="D254" s="1755">
        <v>2251</v>
      </c>
      <c r="E254" s="1755">
        <v>7053</v>
      </c>
      <c r="F254" s="1755">
        <v>45229</v>
      </c>
      <c r="G254" s="1755">
        <v>3721</v>
      </c>
      <c r="H254" s="1755">
        <v>1101</v>
      </c>
      <c r="I254" s="1755">
        <v>562</v>
      </c>
      <c r="J254" s="1755">
        <v>5003</v>
      </c>
      <c r="K254" s="1756">
        <v>196</v>
      </c>
    </row>
    <row r="255" spans="2:11" ht="18" thickBot="1">
      <c r="B255" s="1754">
        <v>829</v>
      </c>
      <c r="C255" s="1755">
        <v>914</v>
      </c>
      <c r="D255" s="1755" t="s">
        <v>1147</v>
      </c>
      <c r="E255" s="1755">
        <v>5889</v>
      </c>
      <c r="F255" s="1755">
        <v>45230</v>
      </c>
      <c r="G255" s="1755">
        <v>7073</v>
      </c>
      <c r="H255" s="1755">
        <v>2114</v>
      </c>
      <c r="I255" s="1755">
        <v>316</v>
      </c>
      <c r="J255" s="1755">
        <v>72</v>
      </c>
      <c r="K255" s="1756">
        <v>328</v>
      </c>
    </row>
    <row r="256" spans="2:11" ht="18" thickBot="1">
      <c r="B256" s="1754">
        <v>830</v>
      </c>
      <c r="C256" s="1755">
        <v>277</v>
      </c>
      <c r="D256" s="1755" t="s">
        <v>1147</v>
      </c>
      <c r="E256" s="1755">
        <v>5472</v>
      </c>
      <c r="F256" s="1755">
        <v>45231</v>
      </c>
      <c r="G256" s="1755">
        <v>7066</v>
      </c>
      <c r="H256" s="1755">
        <v>2112</v>
      </c>
      <c r="I256" s="1755">
        <v>336</v>
      </c>
      <c r="J256" s="1755" t="s">
        <v>1094</v>
      </c>
      <c r="K256" s="1756">
        <v>327</v>
      </c>
    </row>
    <row r="257" spans="2:11" ht="17" thickBot="1">
      <c r="B257" s="1754">
        <v>831</v>
      </c>
      <c r="C257" s="1755">
        <v>277</v>
      </c>
      <c r="D257" s="1755">
        <v>774</v>
      </c>
      <c r="E257" s="1755">
        <v>6845</v>
      </c>
      <c r="F257" s="1755">
        <v>45232</v>
      </c>
      <c r="G257" s="1755">
        <v>7066</v>
      </c>
      <c r="H257" s="1755">
        <v>2201</v>
      </c>
      <c r="I257" s="1755">
        <v>344</v>
      </c>
      <c r="J257" s="1755">
        <v>3260</v>
      </c>
      <c r="K257" s="1756">
        <v>326</v>
      </c>
    </row>
    <row r="258" spans="2:11" ht="18" thickBot="1">
      <c r="B258" s="1754">
        <v>832</v>
      </c>
      <c r="C258" s="1755">
        <v>907</v>
      </c>
      <c r="D258" s="1755">
        <v>773</v>
      </c>
      <c r="E258" s="1755">
        <v>6844</v>
      </c>
      <c r="F258" s="1755">
        <v>45233</v>
      </c>
      <c r="G258" s="1755">
        <v>7057</v>
      </c>
      <c r="H258" s="1755">
        <v>2202</v>
      </c>
      <c r="I258" s="1755">
        <v>333</v>
      </c>
      <c r="J258" s="1755" t="s">
        <v>1132</v>
      </c>
      <c r="K258" s="1756">
        <v>325</v>
      </c>
    </row>
    <row r="259" spans="2:11" ht="17" thickBot="1">
      <c r="B259" s="1754">
        <v>833</v>
      </c>
      <c r="C259" s="1755">
        <v>874</v>
      </c>
      <c r="D259" s="1755">
        <v>772</v>
      </c>
      <c r="E259" s="1755">
        <v>2874</v>
      </c>
      <c r="F259" s="1755">
        <v>45234</v>
      </c>
      <c r="G259" s="1755">
        <v>7057</v>
      </c>
      <c r="H259" s="1755">
        <v>2202</v>
      </c>
      <c r="I259" s="1755">
        <v>242</v>
      </c>
      <c r="J259" s="1755">
        <v>3232</v>
      </c>
      <c r="K259" s="1756">
        <v>324</v>
      </c>
    </row>
    <row r="260" spans="2:11" ht="17" thickBot="1">
      <c r="B260" s="1754">
        <v>834</v>
      </c>
      <c r="C260" s="1755">
        <v>874</v>
      </c>
      <c r="D260" s="1755">
        <v>772</v>
      </c>
      <c r="E260" s="1755">
        <v>2874</v>
      </c>
      <c r="F260" s="1755">
        <v>45235</v>
      </c>
      <c r="G260" s="1755">
        <v>7046</v>
      </c>
      <c r="H260" s="1755">
        <v>2206</v>
      </c>
      <c r="I260" s="1755">
        <v>332</v>
      </c>
      <c r="J260" s="1755">
        <v>2</v>
      </c>
      <c r="K260" s="1756">
        <v>323</v>
      </c>
    </row>
    <row r="261" spans="2:11" ht="18" thickBot="1">
      <c r="B261" s="1754">
        <v>838</v>
      </c>
      <c r="C261" s="1755">
        <v>1088</v>
      </c>
      <c r="D261" s="1755">
        <v>3386</v>
      </c>
      <c r="E261" s="1755">
        <v>5476</v>
      </c>
      <c r="F261" s="1755">
        <v>45236</v>
      </c>
      <c r="G261" s="1755">
        <v>8083</v>
      </c>
      <c r="H261" s="1755">
        <v>1914</v>
      </c>
      <c r="I261" s="1755">
        <v>338</v>
      </c>
      <c r="J261" s="1755" t="s">
        <v>1094</v>
      </c>
      <c r="K261" s="1756">
        <v>474</v>
      </c>
    </row>
    <row r="262" spans="2:11" ht="18" thickBot="1">
      <c r="B262" s="1754">
        <v>839</v>
      </c>
      <c r="C262" s="1755">
        <v>1086</v>
      </c>
      <c r="D262" s="1755">
        <v>2311</v>
      </c>
      <c r="E262" s="1755">
        <v>5360</v>
      </c>
      <c r="F262" s="1755">
        <v>45237</v>
      </c>
      <c r="G262" s="1755">
        <v>8159</v>
      </c>
      <c r="H262" s="1755">
        <v>1913</v>
      </c>
      <c r="I262" s="1755">
        <v>968</v>
      </c>
      <c r="J262" s="1755" t="s">
        <v>1094</v>
      </c>
      <c r="K262" s="1756">
        <v>473</v>
      </c>
    </row>
    <row r="263" spans="2:11" ht="17" thickBot="1">
      <c r="B263" s="1754">
        <v>840</v>
      </c>
      <c r="C263" s="1755">
        <v>1084</v>
      </c>
      <c r="D263" s="1755">
        <v>384</v>
      </c>
      <c r="E263" s="1755">
        <v>5379</v>
      </c>
      <c r="F263" s="1755">
        <v>45238</v>
      </c>
      <c r="G263" s="1755">
        <v>8204</v>
      </c>
      <c r="H263" s="1755">
        <v>1912</v>
      </c>
      <c r="I263" s="1755">
        <v>967</v>
      </c>
      <c r="J263" s="1755">
        <v>72</v>
      </c>
      <c r="K263" s="1756">
        <v>472</v>
      </c>
    </row>
    <row r="264" spans="2:11" ht="17" thickBot="1">
      <c r="B264" s="1754">
        <v>841</v>
      </c>
      <c r="C264" s="1755">
        <v>1082</v>
      </c>
      <c r="D264" s="1755">
        <v>383</v>
      </c>
      <c r="E264" s="1755">
        <v>5376</v>
      </c>
      <c r="F264" s="1755">
        <v>45239</v>
      </c>
      <c r="G264" s="1755">
        <v>8157</v>
      </c>
      <c r="H264" s="1755">
        <v>1911</v>
      </c>
      <c r="I264" s="1755">
        <v>931</v>
      </c>
      <c r="J264" s="1755">
        <v>5550</v>
      </c>
      <c r="K264" s="1756">
        <v>471</v>
      </c>
    </row>
    <row r="265" spans="2:11" ht="17" thickBot="1">
      <c r="B265" s="1754">
        <v>842</v>
      </c>
      <c r="C265" s="1755">
        <v>1080</v>
      </c>
      <c r="D265" s="1755">
        <v>380</v>
      </c>
      <c r="E265" s="1755">
        <v>5933</v>
      </c>
      <c r="F265" s="1755">
        <v>45240</v>
      </c>
      <c r="G265" s="1755">
        <v>8145</v>
      </c>
      <c r="H265" s="1755">
        <v>1907</v>
      </c>
      <c r="I265" s="1755">
        <v>982</v>
      </c>
      <c r="J265" s="1755">
        <v>212</v>
      </c>
      <c r="K265" s="1756">
        <v>470</v>
      </c>
    </row>
    <row r="266" spans="2:11" ht="18" thickBot="1">
      <c r="B266" s="1754">
        <v>844</v>
      </c>
      <c r="C266" s="1755">
        <v>1041</v>
      </c>
      <c r="D266" s="1755">
        <v>895</v>
      </c>
      <c r="E266" s="1755">
        <v>8501</v>
      </c>
      <c r="F266" s="1755">
        <v>45241</v>
      </c>
      <c r="G266" s="1755">
        <v>8589</v>
      </c>
      <c r="H266" s="1755">
        <v>1810</v>
      </c>
      <c r="I266" s="1755">
        <v>998</v>
      </c>
      <c r="J266" s="1755" t="s">
        <v>1123</v>
      </c>
      <c r="K266" s="1756">
        <v>498</v>
      </c>
    </row>
    <row r="267" spans="2:11" ht="18" thickBot="1">
      <c r="B267" s="1754">
        <v>869</v>
      </c>
      <c r="C267" s="1755">
        <v>375</v>
      </c>
      <c r="D267" s="1755" t="s">
        <v>1094</v>
      </c>
      <c r="E267" s="1755">
        <v>5374</v>
      </c>
      <c r="F267" s="1755">
        <v>45242</v>
      </c>
      <c r="G267" s="1755">
        <v>7408</v>
      </c>
      <c r="H267" s="1755">
        <v>2113</v>
      </c>
      <c r="I267" s="1755">
        <v>336</v>
      </c>
      <c r="J267" s="1755">
        <v>5001</v>
      </c>
      <c r="K267" s="1756">
        <v>334</v>
      </c>
    </row>
    <row r="268" spans="2:11" ht="18" thickBot="1">
      <c r="B268" s="1754">
        <v>890</v>
      </c>
      <c r="C268" s="1755">
        <v>218</v>
      </c>
      <c r="D268" s="1755">
        <v>320</v>
      </c>
      <c r="E268" s="1755">
        <v>6021</v>
      </c>
      <c r="F268" s="1755">
        <v>45243</v>
      </c>
      <c r="G268" s="1755">
        <v>4485</v>
      </c>
      <c r="H268" s="1755">
        <v>1314</v>
      </c>
      <c r="I268" s="1755">
        <v>835</v>
      </c>
      <c r="J268" s="1755" t="s">
        <v>1148</v>
      </c>
      <c r="K268" s="1756">
        <v>251</v>
      </c>
    </row>
    <row r="269" spans="2:11" ht="18" thickBot="1">
      <c r="B269" s="1754">
        <v>891</v>
      </c>
      <c r="C269" s="1755">
        <v>35</v>
      </c>
      <c r="D269" s="1755" t="s">
        <v>1094</v>
      </c>
      <c r="E269" s="1755">
        <v>3012</v>
      </c>
      <c r="F269" s="1755">
        <v>45244</v>
      </c>
      <c r="G269" s="1755">
        <v>1895</v>
      </c>
      <c r="H269" s="1755">
        <v>412</v>
      </c>
      <c r="I269" s="1755">
        <v>722</v>
      </c>
      <c r="J269" s="1755">
        <v>31</v>
      </c>
      <c r="K269" s="1756" t="s">
        <v>1094</v>
      </c>
    </row>
    <row r="270" spans="2:11" ht="18" thickBot="1">
      <c r="B270" s="1754">
        <v>892</v>
      </c>
      <c r="C270" s="1755">
        <v>33</v>
      </c>
      <c r="D270" s="1755" t="s">
        <v>1094</v>
      </c>
      <c r="E270" s="1755">
        <v>3152</v>
      </c>
      <c r="F270" s="1755">
        <v>45245</v>
      </c>
      <c r="G270" s="1755">
        <v>1895</v>
      </c>
      <c r="H270" s="1755">
        <v>411</v>
      </c>
      <c r="I270" s="1755">
        <v>224</v>
      </c>
      <c r="J270" s="1755" t="s">
        <v>1149</v>
      </c>
      <c r="K270" s="1756">
        <v>16</v>
      </c>
    </row>
    <row r="271" spans="2:11" ht="18" thickBot="1">
      <c r="B271" s="1754">
        <v>893</v>
      </c>
      <c r="C271" s="1755">
        <v>27</v>
      </c>
      <c r="D271" s="1755">
        <v>205</v>
      </c>
      <c r="E271" s="1755">
        <v>3152</v>
      </c>
      <c r="F271" s="1755">
        <v>45246</v>
      </c>
      <c r="G271" s="1755">
        <v>1895</v>
      </c>
      <c r="H271" s="1755">
        <v>411</v>
      </c>
      <c r="I271" s="1755">
        <v>945</v>
      </c>
      <c r="J271" s="1755" t="s">
        <v>1149</v>
      </c>
      <c r="K271" s="1756" t="s">
        <v>1094</v>
      </c>
    </row>
    <row r="272" spans="2:11" ht="17" thickBot="1">
      <c r="B272" s="1754">
        <v>894</v>
      </c>
      <c r="C272" s="1755">
        <v>26</v>
      </c>
      <c r="D272" s="1755">
        <v>203</v>
      </c>
      <c r="E272" s="1755">
        <v>3127</v>
      </c>
      <c r="F272" s="1755">
        <v>45247</v>
      </c>
      <c r="G272" s="1755">
        <v>1889</v>
      </c>
      <c r="H272" s="1755">
        <v>408</v>
      </c>
      <c r="I272" s="1755">
        <v>943</v>
      </c>
      <c r="J272" s="1755">
        <v>5700</v>
      </c>
      <c r="K272" s="1756">
        <v>14</v>
      </c>
    </row>
    <row r="273" spans="2:11" ht="17" thickBot="1">
      <c r="B273" s="1754">
        <v>895</v>
      </c>
      <c r="C273" s="1755">
        <v>1044</v>
      </c>
      <c r="D273" s="1755">
        <v>121</v>
      </c>
      <c r="E273" s="1755">
        <v>6021</v>
      </c>
      <c r="F273" s="1755">
        <v>45248</v>
      </c>
      <c r="G273" s="1755">
        <v>4485</v>
      </c>
      <c r="H273" s="1755">
        <v>1314</v>
      </c>
      <c r="I273" s="1755">
        <v>405</v>
      </c>
      <c r="J273" s="1755">
        <v>5009</v>
      </c>
      <c r="K273" s="1756">
        <v>257</v>
      </c>
    </row>
    <row r="274" spans="2:11" ht="18" thickBot="1">
      <c r="B274" s="1754">
        <v>898</v>
      </c>
      <c r="C274" s="1755">
        <v>380</v>
      </c>
      <c r="D274" s="1755">
        <v>2311</v>
      </c>
      <c r="E274" s="1755">
        <v>5476</v>
      </c>
      <c r="F274" s="1755">
        <v>45249</v>
      </c>
      <c r="G274" s="1755">
        <v>8080</v>
      </c>
      <c r="H274" s="1755">
        <v>2007</v>
      </c>
      <c r="I274" s="1755">
        <v>338</v>
      </c>
      <c r="J274" s="1755" t="s">
        <v>1150</v>
      </c>
      <c r="K274" s="1756">
        <v>454</v>
      </c>
    </row>
    <row r="275" spans="2:11" ht="17" thickBot="1">
      <c r="B275" s="1754">
        <v>899</v>
      </c>
      <c r="C275" s="1755">
        <v>38</v>
      </c>
      <c r="D275" s="1755">
        <v>2105</v>
      </c>
      <c r="E275" s="1755">
        <v>3282</v>
      </c>
      <c r="F275" s="1755">
        <v>45250</v>
      </c>
      <c r="G275" s="1755">
        <v>1651</v>
      </c>
      <c r="H275" s="1755">
        <v>609</v>
      </c>
      <c r="I275" s="1755">
        <v>144</v>
      </c>
      <c r="J275" s="1755">
        <v>92</v>
      </c>
      <c r="K275" s="1756">
        <v>33</v>
      </c>
    </row>
    <row r="276" spans="2:11" ht="17" thickBot="1">
      <c r="B276" s="1754">
        <v>900</v>
      </c>
      <c r="C276" s="1755">
        <v>333</v>
      </c>
      <c r="D276" s="1755">
        <v>758</v>
      </c>
      <c r="E276" s="1755">
        <v>2329</v>
      </c>
      <c r="F276" s="1755">
        <v>45251</v>
      </c>
      <c r="G276" s="1755">
        <v>7580</v>
      </c>
      <c r="H276" s="1755">
        <v>208</v>
      </c>
      <c r="I276" s="1755">
        <v>866</v>
      </c>
      <c r="J276" s="1755">
        <v>203</v>
      </c>
      <c r="K276" s="1756">
        <v>380</v>
      </c>
    </row>
    <row r="277" spans="2:11" ht="18" thickBot="1">
      <c r="B277" s="1754">
        <v>902</v>
      </c>
      <c r="C277" s="1755">
        <v>897</v>
      </c>
      <c r="D277" s="1755">
        <v>226</v>
      </c>
      <c r="E277" s="1755">
        <v>3044</v>
      </c>
      <c r="F277" s="1755">
        <v>45252</v>
      </c>
      <c r="G277" s="1755">
        <v>2171</v>
      </c>
      <c r="H277" s="1755">
        <v>601</v>
      </c>
      <c r="I277" s="1755">
        <v>716</v>
      </c>
      <c r="J277" s="1755" t="s">
        <v>1098</v>
      </c>
      <c r="K277" s="1756">
        <v>91</v>
      </c>
    </row>
    <row r="278" spans="2:11" ht="18" thickBot="1">
      <c r="B278" s="1754">
        <v>904</v>
      </c>
      <c r="C278" s="1755">
        <v>258</v>
      </c>
      <c r="D278" s="1755">
        <v>328</v>
      </c>
      <c r="E278" s="1755">
        <v>6258</v>
      </c>
      <c r="F278" s="1755">
        <v>45253</v>
      </c>
      <c r="G278" s="1755">
        <v>4565</v>
      </c>
      <c r="H278" s="1755">
        <v>1413</v>
      </c>
      <c r="I278" s="1755">
        <v>546</v>
      </c>
      <c r="J278" s="1755" t="s">
        <v>1148</v>
      </c>
      <c r="K278" s="1756">
        <v>292</v>
      </c>
    </row>
    <row r="279" spans="2:11" ht="18" thickBot="1">
      <c r="B279" s="1754">
        <v>905</v>
      </c>
      <c r="C279" s="1755">
        <v>257</v>
      </c>
      <c r="D279" s="1755">
        <v>327</v>
      </c>
      <c r="E279" s="1755">
        <v>6258</v>
      </c>
      <c r="F279" s="1755">
        <v>45254</v>
      </c>
      <c r="G279" s="1755">
        <v>4741</v>
      </c>
      <c r="H279" s="1755">
        <v>1412</v>
      </c>
      <c r="I279" s="1755">
        <v>545</v>
      </c>
      <c r="J279" s="1755" t="s">
        <v>1107</v>
      </c>
      <c r="K279" s="1756">
        <v>291</v>
      </c>
    </row>
    <row r="280" spans="2:11" ht="18" thickBot="1">
      <c r="B280" s="1754">
        <v>906</v>
      </c>
      <c r="C280" s="1755">
        <v>256</v>
      </c>
      <c r="D280" s="1755">
        <v>326</v>
      </c>
      <c r="E280" s="1755">
        <v>6256</v>
      </c>
      <c r="F280" s="1755">
        <v>45255</v>
      </c>
      <c r="G280" s="1755">
        <v>4730</v>
      </c>
      <c r="H280" s="1755">
        <v>1411</v>
      </c>
      <c r="I280" s="1755">
        <v>254</v>
      </c>
      <c r="J280" s="1755" t="s">
        <v>1108</v>
      </c>
      <c r="K280" s="1756">
        <v>290</v>
      </c>
    </row>
    <row r="281" spans="2:11" ht="18" thickBot="1">
      <c r="B281" s="1754">
        <v>907</v>
      </c>
      <c r="C281" s="1755">
        <v>255</v>
      </c>
      <c r="D281" s="1755" t="s">
        <v>1151</v>
      </c>
      <c r="E281" s="1755">
        <v>6001</v>
      </c>
      <c r="F281" s="1755">
        <v>45256</v>
      </c>
      <c r="G281" s="1755">
        <v>4723</v>
      </c>
      <c r="H281" s="1755">
        <v>1410</v>
      </c>
      <c r="I281" s="1755">
        <v>253</v>
      </c>
      <c r="J281" s="1755">
        <v>5801</v>
      </c>
      <c r="K281" s="1756">
        <v>289</v>
      </c>
    </row>
    <row r="282" spans="2:11" ht="18" thickBot="1">
      <c r="B282" s="1754">
        <v>909</v>
      </c>
      <c r="C282" s="1755">
        <v>923</v>
      </c>
      <c r="D282" s="1755">
        <v>338</v>
      </c>
      <c r="E282" s="1755">
        <v>6228</v>
      </c>
      <c r="F282" s="1755">
        <v>45257</v>
      </c>
      <c r="G282" s="1755">
        <v>4402</v>
      </c>
      <c r="H282" s="1755">
        <v>1302</v>
      </c>
      <c r="I282" s="1755">
        <v>646</v>
      </c>
      <c r="J282" s="1755" t="s">
        <v>1125</v>
      </c>
      <c r="K282" s="1756">
        <v>244</v>
      </c>
    </row>
    <row r="283" spans="2:11" ht="17" thickBot="1">
      <c r="B283" s="1754">
        <v>910</v>
      </c>
      <c r="C283" s="1755">
        <v>230</v>
      </c>
      <c r="D283" s="1755">
        <v>338</v>
      </c>
      <c r="E283" s="1755">
        <v>6031</v>
      </c>
      <c r="F283" s="1755">
        <v>45258</v>
      </c>
      <c r="G283" s="1755">
        <v>4402</v>
      </c>
      <c r="H283" s="1755">
        <v>1301</v>
      </c>
      <c r="I283" s="1755">
        <v>833</v>
      </c>
      <c r="J283" s="1755">
        <v>8</v>
      </c>
      <c r="K283" s="1756">
        <v>243</v>
      </c>
    </row>
    <row r="284" spans="2:11" ht="17" thickBot="1">
      <c r="B284" s="1754">
        <v>911</v>
      </c>
      <c r="C284" s="1755">
        <v>205</v>
      </c>
      <c r="D284" s="1755">
        <v>337</v>
      </c>
      <c r="E284" s="1755">
        <v>6205</v>
      </c>
      <c r="F284" s="1755">
        <v>45259</v>
      </c>
      <c r="G284" s="1755">
        <v>4396</v>
      </c>
      <c r="H284" s="1755">
        <v>1214</v>
      </c>
      <c r="I284" s="1755">
        <v>833</v>
      </c>
      <c r="J284" s="1755">
        <v>5012</v>
      </c>
      <c r="K284" s="1756">
        <v>242</v>
      </c>
    </row>
    <row r="285" spans="2:11" ht="17" thickBot="1">
      <c r="B285" s="1754">
        <v>912</v>
      </c>
      <c r="C285" s="1755">
        <v>209</v>
      </c>
      <c r="D285" s="1755">
        <v>336</v>
      </c>
      <c r="E285" s="1755">
        <v>6226</v>
      </c>
      <c r="F285" s="1755">
        <v>45260</v>
      </c>
      <c r="G285" s="1755">
        <v>4394</v>
      </c>
      <c r="H285" s="1755">
        <v>1213</v>
      </c>
      <c r="I285" s="1755">
        <v>832</v>
      </c>
      <c r="J285" s="1755">
        <v>5982</v>
      </c>
      <c r="K285" s="1756">
        <v>241</v>
      </c>
    </row>
    <row r="286" spans="2:11" ht="17" thickBot="1">
      <c r="B286" s="1754">
        <v>913</v>
      </c>
      <c r="C286" s="1755">
        <v>204</v>
      </c>
      <c r="D286" s="1755">
        <v>335</v>
      </c>
      <c r="E286" s="1755">
        <v>6225</v>
      </c>
      <c r="F286" s="1755">
        <v>45261</v>
      </c>
      <c r="G286" s="1755">
        <v>4394</v>
      </c>
      <c r="H286" s="1755">
        <v>1212</v>
      </c>
      <c r="I286" s="1755">
        <v>524</v>
      </c>
      <c r="J286" s="1755">
        <v>2829</v>
      </c>
      <c r="K286" s="1756">
        <v>240</v>
      </c>
    </row>
    <row r="287" spans="2:11" ht="18" thickBot="1">
      <c r="B287" s="1754">
        <v>915</v>
      </c>
      <c r="C287" s="1755">
        <v>1029</v>
      </c>
      <c r="D287" s="1755">
        <v>486</v>
      </c>
      <c r="E287" s="1755">
        <v>3089</v>
      </c>
      <c r="F287" s="1755">
        <v>45262</v>
      </c>
      <c r="G287" s="1755">
        <v>2419</v>
      </c>
      <c r="H287" s="1755">
        <v>705</v>
      </c>
      <c r="I287" s="1755">
        <v>607</v>
      </c>
      <c r="J287" s="1755" t="s">
        <v>1126</v>
      </c>
      <c r="K287" s="1756">
        <v>71</v>
      </c>
    </row>
    <row r="288" spans="2:11" ht="17" thickBot="1">
      <c r="B288" s="1754">
        <v>917</v>
      </c>
      <c r="C288" s="1755">
        <v>89</v>
      </c>
      <c r="D288" s="1755">
        <v>485</v>
      </c>
      <c r="E288" s="1755">
        <v>4089</v>
      </c>
      <c r="F288" s="1755">
        <v>45263</v>
      </c>
      <c r="G288" s="1755">
        <v>2415</v>
      </c>
      <c r="H288" s="1755">
        <v>706</v>
      </c>
      <c r="I288" s="1755">
        <v>805</v>
      </c>
      <c r="J288" s="1755">
        <v>326</v>
      </c>
      <c r="K288" s="1756">
        <v>70</v>
      </c>
    </row>
    <row r="289" spans="2:11" ht="18" thickBot="1">
      <c r="B289" s="1754">
        <v>918</v>
      </c>
      <c r="C289" s="1755">
        <v>341</v>
      </c>
      <c r="D289" s="1755">
        <v>467</v>
      </c>
      <c r="E289" s="1755">
        <v>3340</v>
      </c>
      <c r="F289" s="1755">
        <v>45264</v>
      </c>
      <c r="G289" s="1755">
        <v>7492</v>
      </c>
      <c r="H289" s="1755">
        <v>314</v>
      </c>
      <c r="I289" s="1755">
        <v>128</v>
      </c>
      <c r="J289" s="1755">
        <v>5006</v>
      </c>
      <c r="K289" s="1756" t="s">
        <v>1094</v>
      </c>
    </row>
    <row r="290" spans="2:11" ht="18" thickBot="1">
      <c r="B290" s="1754">
        <v>919</v>
      </c>
      <c r="C290" s="1755">
        <v>340</v>
      </c>
      <c r="D290" s="1755">
        <v>188</v>
      </c>
      <c r="E290" s="1755">
        <v>2326</v>
      </c>
      <c r="F290" s="1755">
        <v>45265</v>
      </c>
      <c r="G290" s="1755">
        <v>7492</v>
      </c>
      <c r="H290" s="1755">
        <v>313</v>
      </c>
      <c r="I290" s="1755">
        <v>127</v>
      </c>
      <c r="J290" s="1755" t="s">
        <v>1152</v>
      </c>
      <c r="K290" s="1756">
        <v>397</v>
      </c>
    </row>
    <row r="291" spans="2:11" ht="18" thickBot="1">
      <c r="B291" s="1754">
        <v>920</v>
      </c>
      <c r="C291" s="1755">
        <v>1004</v>
      </c>
      <c r="D291" s="1755">
        <v>188</v>
      </c>
      <c r="E291" s="1755">
        <v>3337</v>
      </c>
      <c r="F291" s="1755">
        <v>45266</v>
      </c>
      <c r="G291" s="1755">
        <v>7580</v>
      </c>
      <c r="H291" s="1755">
        <v>312</v>
      </c>
      <c r="I291" s="1755">
        <v>126</v>
      </c>
      <c r="J291" s="1755" t="s">
        <v>1153</v>
      </c>
      <c r="K291" s="1756">
        <v>396</v>
      </c>
    </row>
    <row r="292" spans="2:11" ht="17" thickBot="1">
      <c r="B292" s="1754">
        <v>921</v>
      </c>
      <c r="C292" s="1755">
        <v>1003</v>
      </c>
      <c r="D292" s="1755">
        <v>2186</v>
      </c>
      <c r="E292" s="1755">
        <v>3336</v>
      </c>
      <c r="F292" s="1755">
        <v>45267</v>
      </c>
      <c r="G292" s="1755">
        <v>7475</v>
      </c>
      <c r="H292" s="1755">
        <v>2306</v>
      </c>
      <c r="I292" s="1755">
        <v>207</v>
      </c>
      <c r="J292" s="1755">
        <v>5510</v>
      </c>
      <c r="K292" s="1756">
        <v>395</v>
      </c>
    </row>
    <row r="293" spans="2:11" ht="17" thickBot="1">
      <c r="B293" s="1754">
        <v>922</v>
      </c>
      <c r="C293" s="1755">
        <v>1003</v>
      </c>
      <c r="D293" s="1755">
        <v>186</v>
      </c>
      <c r="E293" s="1755">
        <v>3336</v>
      </c>
      <c r="F293" s="1755">
        <v>45268</v>
      </c>
      <c r="G293" s="1755">
        <v>7471</v>
      </c>
      <c r="H293" s="1755">
        <v>310</v>
      </c>
      <c r="I293" s="1755">
        <v>722</v>
      </c>
      <c r="J293" s="1755">
        <v>5804</v>
      </c>
      <c r="K293" s="1756">
        <v>394</v>
      </c>
    </row>
    <row r="294" spans="2:11" ht="17" thickBot="1">
      <c r="B294" s="1754">
        <v>924</v>
      </c>
      <c r="C294" s="1755">
        <v>851</v>
      </c>
      <c r="D294" s="1755">
        <v>984</v>
      </c>
      <c r="E294" s="1755">
        <v>6008</v>
      </c>
      <c r="F294" s="1755">
        <v>45269</v>
      </c>
      <c r="G294" s="1755">
        <v>3745</v>
      </c>
      <c r="H294" s="1755">
        <v>1706</v>
      </c>
      <c r="I294" s="1755">
        <v>527</v>
      </c>
      <c r="J294" s="1755">
        <v>85</v>
      </c>
      <c r="K294" s="1756">
        <v>171</v>
      </c>
    </row>
    <row r="295" spans="2:11" ht="18" thickBot="1">
      <c r="B295" s="1754">
        <v>926</v>
      </c>
      <c r="C295" s="1755">
        <v>850</v>
      </c>
      <c r="D295" s="1755">
        <v>982</v>
      </c>
      <c r="E295" s="1755">
        <v>6007</v>
      </c>
      <c r="F295" s="1755">
        <v>45270</v>
      </c>
      <c r="G295" s="1755">
        <v>3733</v>
      </c>
      <c r="H295" s="1755">
        <v>1707</v>
      </c>
      <c r="I295" s="1755">
        <v>643</v>
      </c>
      <c r="J295" s="1755" t="s">
        <v>1154</v>
      </c>
      <c r="K295" s="1756">
        <v>169</v>
      </c>
    </row>
    <row r="296" spans="2:11" ht="18" thickBot="1">
      <c r="B296" s="1754">
        <v>927</v>
      </c>
      <c r="C296" s="1755">
        <v>849</v>
      </c>
      <c r="D296" s="1755" t="s">
        <v>1155</v>
      </c>
      <c r="E296" s="1755">
        <v>6006</v>
      </c>
      <c r="F296" s="1755">
        <v>45271</v>
      </c>
      <c r="G296" s="1755">
        <v>3721</v>
      </c>
      <c r="H296" s="1755">
        <v>1708</v>
      </c>
      <c r="I296" s="1755">
        <v>642</v>
      </c>
      <c r="J296" s="1755" t="s">
        <v>1119</v>
      </c>
      <c r="K296" s="1756">
        <v>168</v>
      </c>
    </row>
    <row r="297" spans="2:11" ht="18" thickBot="1">
      <c r="B297" s="1754">
        <v>928</v>
      </c>
      <c r="C297" s="1755">
        <v>274</v>
      </c>
      <c r="D297" s="1755" t="s">
        <v>1155</v>
      </c>
      <c r="E297" s="1755">
        <v>6005</v>
      </c>
      <c r="F297" s="1755">
        <v>45272</v>
      </c>
      <c r="G297" s="1755">
        <v>3721</v>
      </c>
      <c r="H297" s="1755" t="s">
        <v>1094</v>
      </c>
      <c r="I297" s="1755">
        <v>875</v>
      </c>
      <c r="J297" s="1755">
        <v>198</v>
      </c>
      <c r="K297" s="1756">
        <v>167</v>
      </c>
    </row>
    <row r="298" spans="2:11" ht="18" thickBot="1">
      <c r="B298" s="1754">
        <v>930</v>
      </c>
      <c r="C298" s="1755">
        <v>1035</v>
      </c>
      <c r="D298" s="1755">
        <v>734</v>
      </c>
      <c r="E298" s="1755">
        <v>7052</v>
      </c>
      <c r="F298" s="1755">
        <v>45273</v>
      </c>
      <c r="G298" s="1755">
        <v>3151</v>
      </c>
      <c r="H298" s="1755" t="s">
        <v>1094</v>
      </c>
      <c r="I298" s="1755">
        <v>325</v>
      </c>
      <c r="J298" s="1755" t="s">
        <v>1101</v>
      </c>
      <c r="K298" s="1756">
        <v>194</v>
      </c>
    </row>
    <row r="299" spans="2:11" ht="18" thickBot="1">
      <c r="B299" s="1754">
        <v>931</v>
      </c>
      <c r="C299" s="1755">
        <v>1034</v>
      </c>
      <c r="D299" s="1755">
        <v>733</v>
      </c>
      <c r="E299" s="1755">
        <v>7051</v>
      </c>
      <c r="F299" s="1755">
        <v>45274</v>
      </c>
      <c r="G299" s="1755">
        <v>3139</v>
      </c>
      <c r="H299" s="1755" t="s">
        <v>1094</v>
      </c>
      <c r="I299" s="1755">
        <v>323</v>
      </c>
      <c r="J299" s="1755" t="s">
        <v>1105</v>
      </c>
      <c r="K299" s="1756">
        <v>193</v>
      </c>
    </row>
    <row r="300" spans="2:11" ht="17" thickBot="1">
      <c r="B300" s="1754">
        <v>932</v>
      </c>
      <c r="C300" s="1755">
        <v>1033</v>
      </c>
      <c r="D300" s="1755">
        <v>732</v>
      </c>
      <c r="E300" s="1755">
        <v>7050</v>
      </c>
      <c r="F300" s="1755">
        <v>45275</v>
      </c>
      <c r="G300" s="1755">
        <v>3139</v>
      </c>
      <c r="H300" s="1755">
        <v>1710</v>
      </c>
      <c r="I300" s="1755">
        <v>153</v>
      </c>
      <c r="J300" s="1755">
        <v>18</v>
      </c>
      <c r="K300" s="1756">
        <v>192</v>
      </c>
    </row>
    <row r="301" spans="2:11" ht="17" thickBot="1">
      <c r="B301" s="1754">
        <v>934</v>
      </c>
      <c r="C301" s="1755">
        <v>862</v>
      </c>
      <c r="D301" s="1755">
        <v>637</v>
      </c>
      <c r="E301" s="1755">
        <v>6270</v>
      </c>
      <c r="F301" s="1755">
        <v>45276</v>
      </c>
      <c r="G301" s="1755">
        <v>5084</v>
      </c>
      <c r="H301" s="1755">
        <v>1506</v>
      </c>
      <c r="I301" s="1755">
        <v>407</v>
      </c>
      <c r="J301" s="1755">
        <v>850</v>
      </c>
      <c r="K301" s="1756">
        <v>279</v>
      </c>
    </row>
    <row r="302" spans="2:11" ht="17" thickBot="1">
      <c r="B302" s="1754">
        <v>935</v>
      </c>
      <c r="C302" s="1755">
        <v>861</v>
      </c>
      <c r="D302" s="1755">
        <v>636</v>
      </c>
      <c r="E302" s="1755">
        <v>6270</v>
      </c>
      <c r="F302" s="1755">
        <v>45277</v>
      </c>
      <c r="G302" s="1755">
        <v>5075</v>
      </c>
      <c r="H302" s="1755">
        <v>1508</v>
      </c>
      <c r="I302" s="1755">
        <v>358</v>
      </c>
      <c r="J302" s="1755">
        <v>850</v>
      </c>
      <c r="K302" s="1756">
        <v>265</v>
      </c>
    </row>
    <row r="303" spans="2:11" ht="18" thickBot="1">
      <c r="B303" s="1754">
        <v>936</v>
      </c>
      <c r="C303" s="1755">
        <v>846</v>
      </c>
      <c r="D303" s="1755" t="s">
        <v>1122</v>
      </c>
      <c r="E303" s="1755">
        <v>6269</v>
      </c>
      <c r="F303" s="1755">
        <v>45278</v>
      </c>
      <c r="G303" s="1755">
        <v>4823</v>
      </c>
      <c r="H303" s="1755">
        <v>1505</v>
      </c>
      <c r="I303" s="1755">
        <v>357</v>
      </c>
      <c r="J303" s="1755" t="s">
        <v>1110</v>
      </c>
      <c r="K303" s="1756">
        <v>277</v>
      </c>
    </row>
    <row r="304" spans="2:11" ht="18" thickBot="1">
      <c r="B304" s="1754">
        <v>937</v>
      </c>
      <c r="C304" s="1755">
        <v>268</v>
      </c>
      <c r="D304" s="1755" t="s">
        <v>1122</v>
      </c>
      <c r="E304" s="1755">
        <v>6268</v>
      </c>
      <c r="F304" s="1755">
        <v>45279</v>
      </c>
      <c r="G304" s="1755">
        <v>4565</v>
      </c>
      <c r="H304" s="1755">
        <v>1507</v>
      </c>
      <c r="I304" s="1755">
        <v>357</v>
      </c>
      <c r="J304" s="1755" t="s">
        <v>1094</v>
      </c>
      <c r="K304" s="1756">
        <v>268</v>
      </c>
    </row>
    <row r="305" spans="2:11" ht="18" thickBot="1">
      <c r="B305" s="1754">
        <v>938</v>
      </c>
      <c r="C305" s="1755">
        <v>381</v>
      </c>
      <c r="D305" s="1755">
        <v>2311</v>
      </c>
      <c r="E305" s="1755">
        <v>5381</v>
      </c>
      <c r="F305" s="1755">
        <v>45280</v>
      </c>
      <c r="G305" s="1755">
        <v>8171</v>
      </c>
      <c r="H305" s="1755">
        <v>2005</v>
      </c>
      <c r="I305" s="1755">
        <v>338</v>
      </c>
      <c r="J305" s="1755" t="s">
        <v>1156</v>
      </c>
      <c r="K305" s="1756">
        <v>455</v>
      </c>
    </row>
    <row r="306" spans="2:11" ht="18" thickBot="1">
      <c r="B306" s="1754">
        <v>939</v>
      </c>
      <c r="C306" s="1755">
        <v>152</v>
      </c>
      <c r="D306" s="1755">
        <v>169</v>
      </c>
      <c r="E306" s="1755">
        <v>7160</v>
      </c>
      <c r="F306" s="1755">
        <v>45281</v>
      </c>
      <c r="G306" s="1755">
        <v>3327</v>
      </c>
      <c r="H306" s="1755">
        <v>1009</v>
      </c>
      <c r="I306" s="1755">
        <v>328</v>
      </c>
      <c r="J306" s="1755" t="s">
        <v>1157</v>
      </c>
      <c r="K306" s="1756">
        <v>160</v>
      </c>
    </row>
    <row r="307" spans="2:11" ht="18" thickBot="1">
      <c r="B307" s="1754">
        <v>943</v>
      </c>
      <c r="C307" s="1755">
        <v>189</v>
      </c>
      <c r="D307" s="1755">
        <v>900</v>
      </c>
      <c r="E307" s="1755">
        <v>6187</v>
      </c>
      <c r="F307" s="1755">
        <v>45282</v>
      </c>
      <c r="G307" s="1755">
        <v>4074</v>
      </c>
      <c r="H307" s="1755">
        <v>1203</v>
      </c>
      <c r="I307" s="1755">
        <v>435</v>
      </c>
      <c r="J307" s="1755" t="s">
        <v>1130</v>
      </c>
      <c r="K307" s="1756" t="s">
        <v>1094</v>
      </c>
    </row>
    <row r="308" spans="2:11" ht="18" thickBot="1">
      <c r="B308" s="1754">
        <v>945</v>
      </c>
      <c r="C308" s="1755">
        <v>881</v>
      </c>
      <c r="D308" s="1755">
        <v>340</v>
      </c>
      <c r="E308" s="1755">
        <v>3335</v>
      </c>
      <c r="F308" s="1755">
        <v>45283</v>
      </c>
      <c r="G308" s="1755">
        <v>7624</v>
      </c>
      <c r="H308" s="1755">
        <v>1910</v>
      </c>
      <c r="I308" s="1755">
        <v>762</v>
      </c>
      <c r="J308" s="1755">
        <v>13</v>
      </c>
      <c r="K308" s="1756" t="s">
        <v>1094</v>
      </c>
    </row>
    <row r="309" spans="2:11" ht="17" thickBot="1">
      <c r="B309" s="1754">
        <v>946</v>
      </c>
      <c r="C309" s="1755">
        <v>332</v>
      </c>
      <c r="D309" s="1755">
        <v>445</v>
      </c>
      <c r="E309" s="1755">
        <v>2332</v>
      </c>
      <c r="F309" s="1755">
        <v>45284</v>
      </c>
      <c r="G309" s="1755">
        <v>7574</v>
      </c>
      <c r="H309" s="1755">
        <v>207</v>
      </c>
      <c r="I309" s="1755">
        <v>865</v>
      </c>
      <c r="J309" s="1755">
        <v>5804</v>
      </c>
      <c r="K309" s="1756">
        <v>379</v>
      </c>
    </row>
    <row r="310" spans="2:11" ht="17" thickBot="1">
      <c r="B310" s="1754">
        <v>947</v>
      </c>
      <c r="C310" s="1755">
        <v>330</v>
      </c>
      <c r="D310" s="1755">
        <v>754</v>
      </c>
      <c r="E310" s="1755">
        <v>2330</v>
      </c>
      <c r="F310" s="1755">
        <v>45285</v>
      </c>
      <c r="G310" s="1755">
        <v>1325</v>
      </c>
      <c r="H310" s="1755">
        <v>205</v>
      </c>
      <c r="I310" s="1755">
        <v>444</v>
      </c>
      <c r="J310" s="1755">
        <v>5510</v>
      </c>
      <c r="K310" s="1756">
        <v>378</v>
      </c>
    </row>
    <row r="311" spans="2:11" ht="17" thickBot="1">
      <c r="B311" s="1754">
        <v>948</v>
      </c>
      <c r="C311" s="1755">
        <v>1011</v>
      </c>
      <c r="D311" s="1755">
        <v>340</v>
      </c>
      <c r="E311" s="1755">
        <v>2331</v>
      </c>
      <c r="F311" s="1755">
        <v>45286</v>
      </c>
      <c r="G311" s="1755">
        <v>7933</v>
      </c>
      <c r="H311" s="1755">
        <v>306</v>
      </c>
      <c r="I311" s="1755">
        <v>701</v>
      </c>
      <c r="J311" s="1755">
        <v>9192</v>
      </c>
      <c r="K311" s="1756">
        <v>404</v>
      </c>
    </row>
    <row r="312" spans="2:11" ht="17" thickBot="1">
      <c r="B312" s="1754">
        <v>950</v>
      </c>
      <c r="C312" s="1755">
        <v>4146</v>
      </c>
      <c r="D312" s="1755">
        <v>126</v>
      </c>
      <c r="E312" s="1755">
        <v>2331</v>
      </c>
      <c r="F312" s="1755">
        <v>45287</v>
      </c>
      <c r="G312" s="1755">
        <v>7936</v>
      </c>
      <c r="H312" s="1755">
        <v>2309</v>
      </c>
      <c r="I312" s="1755">
        <v>182</v>
      </c>
      <c r="J312" s="1755">
        <v>13</v>
      </c>
      <c r="K312" s="1756">
        <v>418</v>
      </c>
    </row>
    <row r="313" spans="2:11" ht="17" thickBot="1">
      <c r="B313" s="1754">
        <v>951</v>
      </c>
      <c r="C313" s="1755">
        <v>1010</v>
      </c>
      <c r="D313" s="1755">
        <v>340</v>
      </c>
      <c r="E313" s="1755">
        <v>3335</v>
      </c>
      <c r="F313" s="1755">
        <v>45288</v>
      </c>
      <c r="G313" s="1755">
        <v>400</v>
      </c>
      <c r="H313" s="1755">
        <v>2308</v>
      </c>
      <c r="I313" s="1755">
        <v>704</v>
      </c>
      <c r="J313" s="1755">
        <v>9192</v>
      </c>
      <c r="K313" s="1756">
        <v>417</v>
      </c>
    </row>
    <row r="314" spans="2:11" ht="17" thickBot="1">
      <c r="B314" s="1754">
        <v>954</v>
      </c>
      <c r="C314" s="1755">
        <v>203</v>
      </c>
      <c r="D314" s="1755">
        <v>334</v>
      </c>
      <c r="E314" s="1755">
        <v>6030</v>
      </c>
      <c r="F314" s="1755">
        <v>45289</v>
      </c>
      <c r="G314" s="1755">
        <v>4388</v>
      </c>
      <c r="H314" s="1755">
        <v>1211</v>
      </c>
      <c r="I314" s="1755">
        <v>422</v>
      </c>
      <c r="J314" s="1755">
        <v>5802</v>
      </c>
      <c r="K314" s="1756">
        <v>239</v>
      </c>
    </row>
    <row r="315" spans="2:11" ht="18" thickBot="1">
      <c r="B315" s="1754">
        <v>955</v>
      </c>
      <c r="C315" s="1755">
        <v>203</v>
      </c>
      <c r="D315" s="1755">
        <v>333</v>
      </c>
      <c r="E315" s="1755">
        <v>6020</v>
      </c>
      <c r="F315" s="1755">
        <v>45290</v>
      </c>
      <c r="G315" s="1755">
        <v>4379</v>
      </c>
      <c r="H315" s="1755">
        <v>1210</v>
      </c>
      <c r="I315" s="1755">
        <v>521</v>
      </c>
      <c r="J315" s="1755">
        <v>89</v>
      </c>
      <c r="K315" s="1756" t="s">
        <v>1094</v>
      </c>
    </row>
    <row r="316" spans="2:11" ht="18" thickBot="1">
      <c r="B316" s="1754">
        <v>956</v>
      </c>
      <c r="C316" s="1755">
        <v>40</v>
      </c>
      <c r="D316" s="1755">
        <v>2114</v>
      </c>
      <c r="E316" s="1755">
        <v>3127</v>
      </c>
      <c r="F316" s="1755">
        <v>45291</v>
      </c>
      <c r="G316" s="1755">
        <v>1742</v>
      </c>
      <c r="H316" s="1755">
        <v>413</v>
      </c>
      <c r="I316" s="1755">
        <v>945</v>
      </c>
      <c r="J316" s="1755" t="s">
        <v>1149</v>
      </c>
      <c r="K316" s="1756">
        <v>25</v>
      </c>
    </row>
    <row r="317" spans="2:11" ht="17" thickBot="1">
      <c r="B317" s="1754">
        <v>957</v>
      </c>
      <c r="C317" s="1755">
        <v>50</v>
      </c>
      <c r="D317" s="1755">
        <v>354</v>
      </c>
      <c r="E317" s="1755">
        <v>3125</v>
      </c>
      <c r="F317" s="1755">
        <v>45292</v>
      </c>
      <c r="G317" s="1755">
        <v>1729</v>
      </c>
      <c r="H317" s="1755">
        <v>612</v>
      </c>
      <c r="I317" s="1755">
        <v>942</v>
      </c>
      <c r="J317" s="1755">
        <v>5700</v>
      </c>
      <c r="K317" s="1756">
        <v>24</v>
      </c>
    </row>
    <row r="318" spans="2:11" ht="17" thickBot="1">
      <c r="B318" s="1754">
        <v>958</v>
      </c>
      <c r="C318" s="1755">
        <v>187</v>
      </c>
      <c r="D318" s="1755">
        <v>899</v>
      </c>
      <c r="E318" s="1755">
        <v>6186</v>
      </c>
      <c r="F318" s="1755">
        <v>45293</v>
      </c>
      <c r="G318" s="1755">
        <v>4059</v>
      </c>
      <c r="H318" s="1755">
        <v>1114</v>
      </c>
      <c r="I318" s="1755">
        <v>565</v>
      </c>
      <c r="J318" s="1755">
        <v>29</v>
      </c>
      <c r="K318" s="1756">
        <v>213</v>
      </c>
    </row>
    <row r="319" spans="2:11" ht="17" thickBot="1">
      <c r="B319" s="1754">
        <v>959</v>
      </c>
      <c r="C319" s="1755">
        <v>186</v>
      </c>
      <c r="D319" s="1755">
        <v>897</v>
      </c>
      <c r="E319" s="1755">
        <v>6185</v>
      </c>
      <c r="F319" s="1755">
        <v>45294</v>
      </c>
      <c r="G319" s="1755">
        <v>4059</v>
      </c>
      <c r="H319" s="1755">
        <v>1113</v>
      </c>
      <c r="I319" s="1755">
        <v>463</v>
      </c>
      <c r="J319" s="1755">
        <v>829</v>
      </c>
      <c r="K319" s="1756">
        <v>212</v>
      </c>
    </row>
    <row r="320" spans="2:11" ht="18" thickBot="1">
      <c r="B320" s="1754">
        <v>961</v>
      </c>
      <c r="C320" s="1755">
        <v>76</v>
      </c>
      <c r="D320" s="1755">
        <v>106</v>
      </c>
      <c r="E320" s="1755">
        <v>3176</v>
      </c>
      <c r="F320" s="1755">
        <v>45295</v>
      </c>
      <c r="G320" s="1755">
        <v>1651</v>
      </c>
      <c r="H320" s="1755">
        <v>506</v>
      </c>
      <c r="I320" s="1755">
        <v>145</v>
      </c>
      <c r="J320" s="1755">
        <v>92</v>
      </c>
      <c r="K320" s="1756" t="s">
        <v>1094</v>
      </c>
    </row>
    <row r="321" spans="2:11" ht="17" thickBot="1">
      <c r="B321" s="1754">
        <v>962</v>
      </c>
      <c r="C321" s="1755">
        <v>75</v>
      </c>
      <c r="D321" s="1755">
        <v>2105</v>
      </c>
      <c r="E321" s="1755">
        <v>3153</v>
      </c>
      <c r="F321" s="1755">
        <v>45296</v>
      </c>
      <c r="G321" s="1755">
        <v>2232</v>
      </c>
      <c r="H321" s="1755">
        <v>609</v>
      </c>
      <c r="I321" s="1755">
        <v>144</v>
      </c>
      <c r="J321" s="1755">
        <v>92</v>
      </c>
      <c r="K321" s="1756">
        <v>37</v>
      </c>
    </row>
    <row r="322" spans="2:11" ht="17" thickBot="1">
      <c r="B322" s="1754">
        <v>963</v>
      </c>
      <c r="C322" s="1755">
        <v>23</v>
      </c>
      <c r="D322" s="1755">
        <v>111</v>
      </c>
      <c r="E322" s="1755">
        <v>3126</v>
      </c>
      <c r="F322" s="1755">
        <v>45297</v>
      </c>
      <c r="G322" s="1755">
        <v>1724</v>
      </c>
      <c r="H322" s="1755">
        <v>502</v>
      </c>
      <c r="I322" s="1755">
        <v>941</v>
      </c>
      <c r="J322" s="1755">
        <v>192</v>
      </c>
      <c r="K322" s="1756">
        <v>36</v>
      </c>
    </row>
    <row r="323" spans="2:11" ht="17" thickBot="1">
      <c r="B323" s="1754">
        <v>964</v>
      </c>
      <c r="C323" s="1755">
        <v>185</v>
      </c>
      <c r="D323" s="1755">
        <v>219</v>
      </c>
      <c r="E323" s="1755">
        <v>6185</v>
      </c>
      <c r="F323" s="1755">
        <v>45298</v>
      </c>
      <c r="G323" s="1755">
        <v>4048</v>
      </c>
      <c r="H323" s="1755">
        <v>1112</v>
      </c>
      <c r="I323" s="1755">
        <v>431</v>
      </c>
      <c r="J323" s="1755">
        <v>1432</v>
      </c>
      <c r="K323" s="1756">
        <v>211</v>
      </c>
    </row>
    <row r="324" spans="2:11" ht="18" thickBot="1">
      <c r="B324" s="1754">
        <v>966</v>
      </c>
      <c r="C324" s="1755">
        <v>240</v>
      </c>
      <c r="D324" s="1755">
        <v>317</v>
      </c>
      <c r="E324" s="1755">
        <v>6016</v>
      </c>
      <c r="F324" s="1755">
        <v>45299</v>
      </c>
      <c r="G324" s="1755">
        <v>4379</v>
      </c>
      <c r="H324" s="1755">
        <v>1209</v>
      </c>
      <c r="I324" s="1755">
        <v>152</v>
      </c>
      <c r="J324" s="1755">
        <v>2829</v>
      </c>
      <c r="K324" s="1756" t="s">
        <v>1094</v>
      </c>
    </row>
    <row r="325" spans="2:11" ht="18" thickBot="1">
      <c r="B325" s="1754">
        <v>967</v>
      </c>
      <c r="C325" s="1755">
        <v>1012</v>
      </c>
      <c r="D325" s="1755" t="s">
        <v>1094</v>
      </c>
      <c r="E325" s="1755">
        <v>3006</v>
      </c>
      <c r="F325" s="1755">
        <v>45495</v>
      </c>
      <c r="G325" s="1755">
        <v>1301</v>
      </c>
      <c r="H325" s="1755" t="s">
        <v>1094</v>
      </c>
      <c r="I325" s="1755" t="s">
        <v>1094</v>
      </c>
      <c r="J325" s="1755" t="s">
        <v>1094</v>
      </c>
      <c r="K325" s="1756">
        <v>382</v>
      </c>
    </row>
    <row r="326" spans="2:11" ht="17" thickBot="1">
      <c r="B326" s="1754">
        <v>970</v>
      </c>
      <c r="C326" s="1755">
        <v>925</v>
      </c>
      <c r="D326" s="1755">
        <v>147</v>
      </c>
      <c r="E326" s="1755">
        <v>2327</v>
      </c>
      <c r="F326" s="1755">
        <v>45300</v>
      </c>
      <c r="G326" s="1755">
        <v>1237</v>
      </c>
      <c r="H326" s="1755">
        <v>204</v>
      </c>
      <c r="I326" s="1755">
        <v>443</v>
      </c>
      <c r="J326" s="1755">
        <v>5765</v>
      </c>
      <c r="K326" s="1756">
        <v>377</v>
      </c>
    </row>
    <row r="327" spans="2:11" ht="18" thickBot="1">
      <c r="B327" s="1754">
        <v>971</v>
      </c>
      <c r="C327" s="1755">
        <v>316</v>
      </c>
      <c r="D327" s="1755">
        <v>147</v>
      </c>
      <c r="E327" s="1755">
        <v>2099</v>
      </c>
      <c r="F327" s="1755">
        <v>45301</v>
      </c>
      <c r="G327" s="1755">
        <v>1237</v>
      </c>
      <c r="H327" s="1755">
        <v>202</v>
      </c>
      <c r="I327" s="1755">
        <v>475</v>
      </c>
      <c r="J327" s="1755">
        <v>27</v>
      </c>
      <c r="K327" s="1756" t="s">
        <v>1094</v>
      </c>
    </row>
    <row r="328" spans="2:11" ht="17" thickBot="1">
      <c r="B328" s="1754">
        <v>972</v>
      </c>
      <c r="C328" s="1755">
        <v>298</v>
      </c>
      <c r="D328" s="1755">
        <v>145</v>
      </c>
      <c r="E328" s="1755">
        <v>2298</v>
      </c>
      <c r="F328" s="1755">
        <v>45302</v>
      </c>
      <c r="G328" s="1755">
        <v>1232</v>
      </c>
      <c r="H328" s="1755">
        <v>107</v>
      </c>
      <c r="I328" s="1755">
        <v>556</v>
      </c>
      <c r="J328" s="1755">
        <v>3228</v>
      </c>
      <c r="K328" s="1756">
        <v>368</v>
      </c>
    </row>
    <row r="329" spans="2:11" ht="17" thickBot="1">
      <c r="B329" s="1754">
        <v>973</v>
      </c>
      <c r="C329" s="1755">
        <v>290</v>
      </c>
      <c r="D329" s="1755">
        <v>300</v>
      </c>
      <c r="E329" s="1755">
        <v>2290</v>
      </c>
      <c r="F329" s="1755">
        <v>45303</v>
      </c>
      <c r="G329" s="1755">
        <v>1225</v>
      </c>
      <c r="H329" s="1755">
        <v>105</v>
      </c>
      <c r="I329" s="1755">
        <v>312</v>
      </c>
      <c r="J329" s="1755">
        <v>28</v>
      </c>
      <c r="K329" s="1756">
        <v>363</v>
      </c>
    </row>
    <row r="330" spans="2:11" ht="18" thickBot="1">
      <c r="B330" s="1754">
        <v>975</v>
      </c>
      <c r="C330" s="1755">
        <v>357</v>
      </c>
      <c r="D330" s="1755">
        <v>130</v>
      </c>
      <c r="E330" s="1755">
        <v>5356</v>
      </c>
      <c r="F330" s="1755">
        <v>45304</v>
      </c>
      <c r="G330" s="1755">
        <v>7656</v>
      </c>
      <c r="H330" s="1755" t="s">
        <v>1094</v>
      </c>
      <c r="I330" s="1755">
        <v>915</v>
      </c>
      <c r="J330" s="1755">
        <v>5001</v>
      </c>
      <c r="K330" s="1756">
        <v>360</v>
      </c>
    </row>
    <row r="331" spans="2:11" ht="17" thickBot="1">
      <c r="B331" s="1754">
        <v>976</v>
      </c>
      <c r="C331" s="1755">
        <v>1001</v>
      </c>
      <c r="D331" s="1755">
        <v>129</v>
      </c>
      <c r="E331" s="1755">
        <v>2308</v>
      </c>
      <c r="F331" s="1755">
        <v>45305</v>
      </c>
      <c r="G331" s="1755">
        <v>1072</v>
      </c>
      <c r="H331" s="1755">
        <v>2302</v>
      </c>
      <c r="I331" s="1755">
        <v>766</v>
      </c>
      <c r="J331" s="1755">
        <v>221</v>
      </c>
      <c r="K331" s="1756">
        <v>358</v>
      </c>
    </row>
    <row r="332" spans="2:11" ht="17" thickBot="1">
      <c r="B332" s="1754">
        <v>977</v>
      </c>
      <c r="C332" s="1755">
        <v>1002</v>
      </c>
      <c r="D332" s="1755">
        <v>145</v>
      </c>
      <c r="E332" s="1755">
        <v>2306</v>
      </c>
      <c r="F332" s="1755">
        <v>45306</v>
      </c>
      <c r="G332" s="1755">
        <v>7726</v>
      </c>
      <c r="H332" s="1755">
        <v>2211</v>
      </c>
      <c r="I332" s="1755">
        <v>765</v>
      </c>
      <c r="J332" s="1755">
        <v>221</v>
      </c>
      <c r="K332" s="1756">
        <v>357</v>
      </c>
    </row>
    <row r="333" spans="2:11" ht="18" thickBot="1">
      <c r="B333" s="1754">
        <v>986</v>
      </c>
      <c r="C333" s="1755">
        <v>246</v>
      </c>
      <c r="D333" s="1755">
        <v>320</v>
      </c>
      <c r="E333" s="1755">
        <v>6021</v>
      </c>
      <c r="F333" s="1755">
        <v>45307</v>
      </c>
      <c r="G333" s="1755">
        <v>4906</v>
      </c>
      <c r="H333" s="1755">
        <v>1312</v>
      </c>
      <c r="I333" s="1755">
        <v>405</v>
      </c>
      <c r="J333" s="1755" t="s">
        <v>1148</v>
      </c>
      <c r="K333" s="1756">
        <v>256</v>
      </c>
    </row>
    <row r="334" spans="2:11" ht="18" thickBot="1">
      <c r="B334" s="1754">
        <v>987</v>
      </c>
      <c r="C334" s="1755">
        <v>244</v>
      </c>
      <c r="D334" s="1755">
        <v>2319</v>
      </c>
      <c r="E334" s="1755">
        <v>6258</v>
      </c>
      <c r="F334" s="1755">
        <v>45308</v>
      </c>
      <c r="G334" s="1755">
        <v>4906</v>
      </c>
      <c r="H334" s="1755">
        <v>1403</v>
      </c>
      <c r="I334" s="1755">
        <v>403</v>
      </c>
      <c r="J334" s="1755" t="s">
        <v>1107</v>
      </c>
      <c r="K334" s="1756">
        <v>255</v>
      </c>
    </row>
    <row r="335" spans="2:11" ht="17" thickBot="1">
      <c r="B335" s="1754">
        <v>988</v>
      </c>
      <c r="C335" s="1755">
        <v>243</v>
      </c>
      <c r="D335" s="1755">
        <v>318</v>
      </c>
      <c r="E335" s="1755">
        <v>6258</v>
      </c>
      <c r="F335" s="1755">
        <v>45309</v>
      </c>
      <c r="G335" s="1755">
        <v>4561</v>
      </c>
      <c r="H335" s="1755">
        <v>1311</v>
      </c>
      <c r="I335" s="1755">
        <v>424</v>
      </c>
      <c r="J335" s="1755">
        <v>15</v>
      </c>
      <c r="K335" s="1756">
        <v>254</v>
      </c>
    </row>
    <row r="336" spans="2:11" ht="18" thickBot="1">
      <c r="B336" s="1754">
        <v>989</v>
      </c>
      <c r="C336" s="1755">
        <v>242</v>
      </c>
      <c r="D336" s="1755">
        <v>318</v>
      </c>
      <c r="E336" s="1755">
        <v>6266</v>
      </c>
      <c r="F336" s="1755">
        <v>45310</v>
      </c>
      <c r="G336" s="1755">
        <v>4885</v>
      </c>
      <c r="H336" s="1755">
        <v>1401</v>
      </c>
      <c r="I336" s="1755">
        <v>402</v>
      </c>
      <c r="J336" s="1755" t="s">
        <v>1108</v>
      </c>
      <c r="K336" s="1756">
        <v>253</v>
      </c>
    </row>
    <row r="337" spans="2:11" ht="18" thickBot="1">
      <c r="B337" s="1754">
        <v>991</v>
      </c>
      <c r="C337" s="1755">
        <v>1076</v>
      </c>
      <c r="D337" s="1755">
        <v>846</v>
      </c>
      <c r="E337" s="1755">
        <v>6212</v>
      </c>
      <c r="F337" s="1755">
        <v>45311</v>
      </c>
      <c r="G337" s="1755">
        <v>4156</v>
      </c>
      <c r="H337" s="1755">
        <v>1204</v>
      </c>
      <c r="I337" s="1755">
        <v>645</v>
      </c>
      <c r="J337" s="1755" t="s">
        <v>1125</v>
      </c>
      <c r="K337" s="1756">
        <v>218</v>
      </c>
    </row>
    <row r="338" spans="2:11" ht="17" thickBot="1">
      <c r="B338" s="1754">
        <v>992</v>
      </c>
      <c r="C338" s="1755">
        <v>1072</v>
      </c>
      <c r="D338" s="1755">
        <v>844</v>
      </c>
      <c r="E338" s="1755">
        <v>6185</v>
      </c>
      <c r="F338" s="1755">
        <v>45312</v>
      </c>
      <c r="G338" s="1755">
        <v>4150</v>
      </c>
      <c r="H338" s="1755">
        <v>1201</v>
      </c>
      <c r="I338" s="1755">
        <v>525</v>
      </c>
      <c r="J338" s="1755">
        <v>5012</v>
      </c>
      <c r="K338" s="1756">
        <v>216</v>
      </c>
    </row>
    <row r="339" spans="2:11" ht="17" thickBot="1">
      <c r="B339" s="1754">
        <v>993</v>
      </c>
      <c r="C339" s="1755">
        <v>1070</v>
      </c>
      <c r="D339" s="1755">
        <v>843</v>
      </c>
      <c r="E339" s="1755">
        <v>6185</v>
      </c>
      <c r="F339" s="1755">
        <v>45313</v>
      </c>
      <c r="G339" s="1755">
        <v>4141</v>
      </c>
      <c r="H339" s="1755">
        <v>1201</v>
      </c>
      <c r="I339" s="1755">
        <v>524</v>
      </c>
      <c r="J339" s="1755">
        <v>829</v>
      </c>
      <c r="K339" s="1756">
        <v>215</v>
      </c>
    </row>
    <row r="340" spans="2:11" ht="18" thickBot="1">
      <c r="B340" s="1754">
        <v>995</v>
      </c>
      <c r="C340" s="1755">
        <v>410</v>
      </c>
      <c r="D340" s="1755" t="s">
        <v>1094</v>
      </c>
      <c r="E340" s="1755">
        <v>7010</v>
      </c>
      <c r="F340" s="1755">
        <v>45314</v>
      </c>
      <c r="G340" s="1755">
        <v>3822</v>
      </c>
      <c r="H340" s="1755">
        <v>1102</v>
      </c>
      <c r="I340" s="1755">
        <v>486</v>
      </c>
      <c r="J340" s="1755" t="s">
        <v>1120</v>
      </c>
      <c r="K340" s="1756">
        <v>207</v>
      </c>
    </row>
    <row r="341" spans="2:11" ht="17" thickBot="1">
      <c r="B341" s="1754">
        <v>996</v>
      </c>
      <c r="C341" s="1755">
        <v>433</v>
      </c>
      <c r="D341" s="1755">
        <v>413</v>
      </c>
      <c r="E341" s="1755">
        <v>7001</v>
      </c>
      <c r="F341" s="1755">
        <v>45315</v>
      </c>
      <c r="G341" s="1755">
        <v>3810</v>
      </c>
      <c r="H341" s="1755">
        <v>1103</v>
      </c>
      <c r="I341" s="1755">
        <v>483</v>
      </c>
      <c r="J341" s="1755">
        <v>3506</v>
      </c>
      <c r="K341" s="1756">
        <v>205</v>
      </c>
    </row>
    <row r="342" spans="2:11" ht="18" thickBot="1">
      <c r="B342" s="1754">
        <v>3011</v>
      </c>
      <c r="C342" s="1755">
        <v>856</v>
      </c>
      <c r="D342" s="1755" t="s">
        <v>1094</v>
      </c>
      <c r="E342" s="1755">
        <v>5395</v>
      </c>
      <c r="F342" s="1755">
        <v>45316</v>
      </c>
      <c r="G342" s="1755">
        <v>5236</v>
      </c>
      <c r="H342" s="1755">
        <v>1507</v>
      </c>
      <c r="I342" s="1755">
        <v>295</v>
      </c>
      <c r="J342" s="1755">
        <v>5011</v>
      </c>
      <c r="K342" s="1756">
        <v>316</v>
      </c>
    </row>
    <row r="343" spans="2:11" ht="18" thickBot="1">
      <c r="B343" s="1754">
        <v>3012</v>
      </c>
      <c r="C343" s="1755">
        <v>855</v>
      </c>
      <c r="D343" s="1755" t="s">
        <v>1094</v>
      </c>
      <c r="E343" s="1755">
        <v>6842</v>
      </c>
      <c r="F343" s="1755">
        <v>45317</v>
      </c>
      <c r="G343" s="1755">
        <v>5229</v>
      </c>
      <c r="H343" s="1755">
        <v>1605</v>
      </c>
      <c r="I343" s="1755">
        <v>294</v>
      </c>
      <c r="J343" s="1755">
        <v>5535</v>
      </c>
      <c r="K343" s="1756">
        <v>315</v>
      </c>
    </row>
    <row r="344" spans="2:11" ht="18" thickBot="1">
      <c r="B344" s="1754">
        <v>3013</v>
      </c>
      <c r="C344" s="1755">
        <v>853</v>
      </c>
      <c r="D344" s="1755">
        <v>683</v>
      </c>
      <c r="E344" s="1755">
        <v>6253</v>
      </c>
      <c r="F344" s="1755">
        <v>45318</v>
      </c>
      <c r="G344" s="1755">
        <v>5224</v>
      </c>
      <c r="H344" s="1755">
        <v>1511</v>
      </c>
      <c r="I344" s="1755">
        <v>292</v>
      </c>
      <c r="J344" s="1755">
        <v>4201</v>
      </c>
      <c r="K344" s="1756" t="s">
        <v>1094</v>
      </c>
    </row>
    <row r="345" spans="2:11" ht="18" thickBot="1">
      <c r="B345" s="1754">
        <v>3021</v>
      </c>
      <c r="C345" s="1755">
        <v>905</v>
      </c>
      <c r="D345" s="1755">
        <v>477</v>
      </c>
      <c r="E345" s="1755">
        <v>5381</v>
      </c>
      <c r="F345" s="1755">
        <v>45428</v>
      </c>
      <c r="G345" s="1755">
        <v>8589</v>
      </c>
      <c r="H345" s="1755">
        <v>1904</v>
      </c>
      <c r="I345" s="1755">
        <v>968</v>
      </c>
      <c r="J345" s="1755" t="s">
        <v>1110</v>
      </c>
      <c r="K345" s="1756">
        <v>464</v>
      </c>
    </row>
    <row r="346" spans="2:11" ht="17" thickBot="1">
      <c r="B346" s="1754">
        <v>3022</v>
      </c>
      <c r="C346" s="1755">
        <v>8581</v>
      </c>
      <c r="D346" s="1755">
        <v>715</v>
      </c>
      <c r="E346" s="1755">
        <v>5393</v>
      </c>
      <c r="F346" s="1755">
        <v>45320</v>
      </c>
      <c r="G346" s="1755">
        <v>8574</v>
      </c>
      <c r="H346" s="1755">
        <v>1812</v>
      </c>
      <c r="I346" s="1755">
        <v>965</v>
      </c>
      <c r="J346" s="1755">
        <v>4201</v>
      </c>
      <c r="K346" s="1756">
        <v>486</v>
      </c>
    </row>
    <row r="347" spans="2:11" ht="17" thickBot="1">
      <c r="B347" s="1754">
        <v>3023</v>
      </c>
      <c r="C347" s="1755">
        <v>899</v>
      </c>
      <c r="D347" s="1755">
        <v>714</v>
      </c>
      <c r="E347" s="1755">
        <v>8390</v>
      </c>
      <c r="F347" s="1755">
        <v>45321</v>
      </c>
      <c r="G347" s="1755">
        <v>8487</v>
      </c>
      <c r="H347" s="1755">
        <v>1902</v>
      </c>
      <c r="I347" s="1755">
        <v>923</v>
      </c>
      <c r="J347" s="1755">
        <v>4205</v>
      </c>
      <c r="K347" s="1756">
        <v>494</v>
      </c>
    </row>
    <row r="348" spans="2:11" ht="17" thickBot="1">
      <c r="B348" s="1754">
        <v>3024</v>
      </c>
      <c r="C348" s="1755">
        <v>388</v>
      </c>
      <c r="D348" s="1755">
        <v>713</v>
      </c>
      <c r="E348" s="1755">
        <v>8397</v>
      </c>
      <c r="F348" s="1755">
        <v>45322</v>
      </c>
      <c r="G348" s="1755">
        <v>8475</v>
      </c>
      <c r="H348" s="1755">
        <v>1805</v>
      </c>
      <c r="I348" s="1755">
        <v>921</v>
      </c>
      <c r="J348" s="1755">
        <v>3231</v>
      </c>
      <c r="K348" s="1756">
        <v>489</v>
      </c>
    </row>
    <row r="349" spans="2:11" ht="18" thickBot="1">
      <c r="B349" s="1754">
        <v>3031</v>
      </c>
      <c r="C349" s="1755">
        <v>905</v>
      </c>
      <c r="D349" s="1755">
        <v>312</v>
      </c>
      <c r="E349" s="1755">
        <v>5472</v>
      </c>
      <c r="F349" s="1755">
        <v>45323</v>
      </c>
      <c r="G349" s="1755">
        <v>8171</v>
      </c>
      <c r="H349" s="1755">
        <v>2003</v>
      </c>
      <c r="I349" s="1755">
        <v>588</v>
      </c>
      <c r="J349" s="1755" t="s">
        <v>1150</v>
      </c>
      <c r="K349" s="1756">
        <v>443</v>
      </c>
    </row>
    <row r="350" spans="2:11" ht="17" thickBot="1">
      <c r="B350" s="1754">
        <v>3032</v>
      </c>
      <c r="C350" s="1755">
        <v>898</v>
      </c>
      <c r="D350" s="1755">
        <v>382</v>
      </c>
      <c r="E350" s="1755">
        <v>5393</v>
      </c>
      <c r="F350" s="1755">
        <v>45324</v>
      </c>
      <c r="G350" s="1755">
        <v>8404</v>
      </c>
      <c r="H350" s="1755">
        <v>2002</v>
      </c>
      <c r="I350" s="1755">
        <v>293</v>
      </c>
      <c r="J350" s="1755">
        <v>4203</v>
      </c>
      <c r="K350" s="1756">
        <v>481</v>
      </c>
    </row>
    <row r="351" spans="2:11" ht="17" thickBot="1">
      <c r="B351" s="1754">
        <v>3033</v>
      </c>
      <c r="C351" s="1755">
        <v>387</v>
      </c>
      <c r="D351" s="1755">
        <v>380</v>
      </c>
      <c r="E351" s="1755">
        <v>5387</v>
      </c>
      <c r="F351" s="1755">
        <v>45325</v>
      </c>
      <c r="G351" s="1755">
        <v>8390</v>
      </c>
      <c r="H351" s="1755">
        <v>2001</v>
      </c>
      <c r="I351" s="1755">
        <v>971</v>
      </c>
      <c r="J351" s="1755">
        <v>102</v>
      </c>
      <c r="K351" s="1756">
        <v>465</v>
      </c>
    </row>
    <row r="352" spans="2:11" ht="17" thickBot="1">
      <c r="B352" s="1754">
        <v>3041</v>
      </c>
      <c r="C352" s="1755">
        <v>871</v>
      </c>
      <c r="D352" s="1755">
        <v>763</v>
      </c>
      <c r="E352" s="1755">
        <v>4222</v>
      </c>
      <c r="F352" s="1755">
        <v>45326</v>
      </c>
      <c r="G352" s="1755">
        <v>8620</v>
      </c>
      <c r="H352" s="1755">
        <v>806</v>
      </c>
      <c r="I352" s="1755">
        <v>967</v>
      </c>
      <c r="J352" s="1755">
        <v>23</v>
      </c>
      <c r="K352" s="1756">
        <v>96</v>
      </c>
    </row>
    <row r="353" spans="2:11" ht="17" thickBot="1">
      <c r="B353" s="1754">
        <v>3042</v>
      </c>
      <c r="C353" s="1755">
        <v>870</v>
      </c>
      <c r="D353" s="1755">
        <v>762</v>
      </c>
      <c r="E353" s="1755">
        <v>4221</v>
      </c>
      <c r="F353" s="1755">
        <v>45327</v>
      </c>
      <c r="G353" s="1755">
        <v>2426</v>
      </c>
      <c r="H353" s="1755">
        <v>2612</v>
      </c>
      <c r="I353" s="1755">
        <v>963</v>
      </c>
      <c r="J353" s="1755">
        <v>9294</v>
      </c>
      <c r="K353" s="1756">
        <v>93</v>
      </c>
    </row>
    <row r="354" spans="2:11" ht="17" thickBot="1">
      <c r="B354" s="1754">
        <v>3045</v>
      </c>
      <c r="C354" s="1755">
        <v>888</v>
      </c>
      <c r="D354" s="1755">
        <v>307</v>
      </c>
      <c r="E354" s="1755">
        <v>2412</v>
      </c>
      <c r="F354" s="1755">
        <v>45328</v>
      </c>
      <c r="G354" s="1755">
        <v>7235</v>
      </c>
      <c r="H354" s="1755">
        <v>2103</v>
      </c>
      <c r="I354" s="1755">
        <v>343</v>
      </c>
      <c r="J354" s="1755">
        <v>2</v>
      </c>
      <c r="K354" s="1756">
        <v>337</v>
      </c>
    </row>
    <row r="355" spans="2:11" ht="18" thickBot="1">
      <c r="B355" s="1754">
        <v>3046</v>
      </c>
      <c r="C355" s="1755">
        <v>887</v>
      </c>
      <c r="D355" s="1755">
        <v>771</v>
      </c>
      <c r="E355" s="1755">
        <v>2410</v>
      </c>
      <c r="F355" s="1755">
        <v>45329</v>
      </c>
      <c r="G355" s="1755">
        <v>7225</v>
      </c>
      <c r="H355" s="1755">
        <v>2206</v>
      </c>
      <c r="I355" s="1755">
        <v>902</v>
      </c>
      <c r="J355" s="1755" t="s">
        <v>1158</v>
      </c>
      <c r="K355" s="1756">
        <v>336</v>
      </c>
    </row>
    <row r="356" spans="2:11" ht="18" thickBot="1">
      <c r="B356" s="1754">
        <v>3047</v>
      </c>
      <c r="C356" s="1755">
        <v>852</v>
      </c>
      <c r="D356" s="1755">
        <v>771</v>
      </c>
      <c r="E356" s="1755">
        <v>2300</v>
      </c>
      <c r="F356" s="1755">
        <v>45330</v>
      </c>
      <c r="G356" s="1755">
        <v>7219</v>
      </c>
      <c r="H356" s="1755">
        <v>2205</v>
      </c>
      <c r="I356" s="1755">
        <v>341</v>
      </c>
      <c r="J356" s="1755" t="s">
        <v>1159</v>
      </c>
      <c r="K356" s="1756">
        <v>335</v>
      </c>
    </row>
    <row r="357" spans="2:11" ht="17" thickBot="1">
      <c r="B357" s="1754">
        <v>3051</v>
      </c>
      <c r="C357" s="1755">
        <v>845</v>
      </c>
      <c r="D357" s="1755">
        <v>925</v>
      </c>
      <c r="E357" s="1755">
        <v>6269</v>
      </c>
      <c r="F357" s="1755">
        <v>45331</v>
      </c>
      <c r="G357" s="1755">
        <v>5156</v>
      </c>
      <c r="H357" s="1755">
        <v>1508</v>
      </c>
      <c r="I357" s="1755">
        <v>295</v>
      </c>
      <c r="J357" s="1755">
        <v>5009</v>
      </c>
      <c r="K357" s="1756">
        <v>305</v>
      </c>
    </row>
    <row r="358" spans="2:11" ht="18" thickBot="1">
      <c r="B358" s="1754">
        <v>3052</v>
      </c>
      <c r="C358" s="1755">
        <v>844</v>
      </c>
      <c r="D358" s="1755">
        <v>924</v>
      </c>
      <c r="E358" s="1755">
        <v>6010</v>
      </c>
      <c r="F358" s="1755">
        <v>45332</v>
      </c>
      <c r="G358" s="1755">
        <v>5151</v>
      </c>
      <c r="H358" s="1755">
        <v>1513</v>
      </c>
      <c r="I358" s="1755">
        <v>832</v>
      </c>
      <c r="J358" s="1755" t="s">
        <v>1119</v>
      </c>
      <c r="K358" s="1756">
        <v>304</v>
      </c>
    </row>
    <row r="359" spans="2:11" ht="17" thickBot="1">
      <c r="B359" s="1754">
        <v>3053</v>
      </c>
      <c r="C359" s="1755">
        <v>843</v>
      </c>
      <c r="D359" s="1755">
        <v>923</v>
      </c>
      <c r="E359" s="1755">
        <v>6253</v>
      </c>
      <c r="F359" s="1755">
        <v>45333</v>
      </c>
      <c r="G359" s="1755">
        <v>5151</v>
      </c>
      <c r="H359" s="1755">
        <v>1510</v>
      </c>
      <c r="I359" s="1755">
        <v>154</v>
      </c>
      <c r="J359" s="1755">
        <v>4201</v>
      </c>
      <c r="K359" s="1756">
        <v>303</v>
      </c>
    </row>
    <row r="360" spans="2:11" ht="18" thickBot="1">
      <c r="B360" s="1754">
        <v>3064</v>
      </c>
      <c r="C360" s="1755">
        <v>883</v>
      </c>
      <c r="D360" s="1755">
        <v>425</v>
      </c>
      <c r="E360" s="1755">
        <v>2336</v>
      </c>
      <c r="F360" s="1755">
        <v>45334</v>
      </c>
      <c r="G360" s="1755">
        <v>7944</v>
      </c>
      <c r="H360" s="1755" t="s">
        <v>1094</v>
      </c>
      <c r="I360" s="1755">
        <v>303</v>
      </c>
      <c r="J360" s="1755">
        <v>21</v>
      </c>
      <c r="K360" s="1756">
        <v>421</v>
      </c>
    </row>
    <row r="361" spans="2:11" ht="18" thickBot="1">
      <c r="B361" s="1754">
        <v>3072</v>
      </c>
      <c r="C361" s="1755">
        <v>397</v>
      </c>
      <c r="D361" s="1755">
        <v>151</v>
      </c>
      <c r="E361" s="1755">
        <v>6005</v>
      </c>
      <c r="F361" s="1755">
        <v>45335</v>
      </c>
      <c r="G361" s="1755">
        <v>8557</v>
      </c>
      <c r="H361" s="1755">
        <v>1805</v>
      </c>
      <c r="I361" s="1755">
        <v>561</v>
      </c>
      <c r="J361" s="1755">
        <v>3231</v>
      </c>
      <c r="K361" s="1756" t="s">
        <v>1094</v>
      </c>
    </row>
    <row r="362" spans="2:11" ht="17" thickBot="1">
      <c r="B362" s="1754">
        <v>3078</v>
      </c>
      <c r="C362" s="1755">
        <v>292</v>
      </c>
      <c r="D362" s="1755">
        <v>141</v>
      </c>
      <c r="E362" s="1755">
        <v>2292</v>
      </c>
      <c r="F362" s="1755">
        <v>45336</v>
      </c>
      <c r="G362" s="1755">
        <v>1214</v>
      </c>
      <c r="H362" s="1755">
        <v>102</v>
      </c>
      <c r="I362" s="1755">
        <v>872</v>
      </c>
      <c r="J362" s="1755">
        <v>9132</v>
      </c>
      <c r="K362" s="1756">
        <v>364</v>
      </c>
    </row>
    <row r="363" spans="2:11" ht="18" thickBot="1">
      <c r="B363" s="1754">
        <v>3325</v>
      </c>
      <c r="C363" s="1755">
        <v>129</v>
      </c>
      <c r="D363" s="1755">
        <v>163</v>
      </c>
      <c r="E363" s="1755">
        <v>7976</v>
      </c>
      <c r="F363" s="1755">
        <v>45337</v>
      </c>
      <c r="G363" s="1755">
        <v>3305</v>
      </c>
      <c r="H363" s="1755">
        <v>909</v>
      </c>
      <c r="I363" s="1755">
        <v>562</v>
      </c>
      <c r="J363" s="1755">
        <v>94</v>
      </c>
      <c r="K363" s="1756" t="s">
        <v>1094</v>
      </c>
    </row>
    <row r="364" spans="2:11" ht="17" thickBot="1">
      <c r="B364" s="1754">
        <v>3326</v>
      </c>
      <c r="C364" s="1755">
        <v>36</v>
      </c>
      <c r="D364" s="1755">
        <v>105</v>
      </c>
      <c r="E364" s="1755">
        <v>3126</v>
      </c>
      <c r="F364" s="1755">
        <v>45338</v>
      </c>
      <c r="G364" s="1755">
        <v>1645</v>
      </c>
      <c r="H364" s="1755">
        <v>504</v>
      </c>
      <c r="I364" s="1755">
        <v>943</v>
      </c>
      <c r="J364" s="1755">
        <v>5700</v>
      </c>
      <c r="K364" s="1756">
        <v>32</v>
      </c>
    </row>
    <row r="365" spans="2:11" ht="17" thickBot="1">
      <c r="B365" s="1754">
        <v>3328</v>
      </c>
      <c r="C365" s="1755">
        <v>1024</v>
      </c>
      <c r="D365" s="1755">
        <v>855</v>
      </c>
      <c r="E365" s="1755">
        <v>3071</v>
      </c>
      <c r="F365" s="1755">
        <v>45339</v>
      </c>
      <c r="G365" s="1755">
        <v>1402</v>
      </c>
      <c r="H365" s="1755">
        <v>406</v>
      </c>
      <c r="I365" s="1755">
        <v>207</v>
      </c>
      <c r="J365" s="1755">
        <v>5705</v>
      </c>
      <c r="K365" s="1756">
        <v>5</v>
      </c>
    </row>
    <row r="366" spans="2:11" ht="17" thickBot="1">
      <c r="B366" s="1754">
        <v>3340</v>
      </c>
      <c r="C366" s="1755">
        <v>329</v>
      </c>
      <c r="D366" s="1755">
        <v>444</v>
      </c>
      <c r="E366" s="1755">
        <v>2324</v>
      </c>
      <c r="F366" s="1755">
        <v>45340</v>
      </c>
      <c r="G366" s="1755">
        <v>1325</v>
      </c>
      <c r="H366" s="1755">
        <v>301</v>
      </c>
      <c r="I366" s="1755">
        <v>721</v>
      </c>
      <c r="J366" s="1755">
        <v>27</v>
      </c>
      <c r="K366" s="1756">
        <v>386</v>
      </c>
    </row>
    <row r="367" spans="2:11" ht="17" thickBot="1">
      <c r="B367" s="1754">
        <v>3341</v>
      </c>
      <c r="C367" s="1755">
        <v>328</v>
      </c>
      <c r="D367" s="1755">
        <v>441</v>
      </c>
      <c r="E367" s="1755">
        <v>2323</v>
      </c>
      <c r="F367" s="1755">
        <v>45341</v>
      </c>
      <c r="G367" s="1755">
        <v>1307</v>
      </c>
      <c r="H367" s="1755">
        <v>302</v>
      </c>
      <c r="I367" s="1755">
        <v>862</v>
      </c>
      <c r="J367" s="1755">
        <v>21</v>
      </c>
      <c r="K367" s="1756">
        <v>385</v>
      </c>
    </row>
    <row r="368" spans="2:11" ht="17" thickBot="1">
      <c r="B368" s="1754">
        <v>3345</v>
      </c>
      <c r="C368" s="1755">
        <v>268</v>
      </c>
      <c r="D368" s="1755">
        <v>120</v>
      </c>
      <c r="E368" s="1755">
        <v>6258</v>
      </c>
      <c r="F368" s="1755">
        <v>45342</v>
      </c>
      <c r="G368" s="1755">
        <v>4565</v>
      </c>
      <c r="H368" s="1755">
        <v>1406</v>
      </c>
      <c r="I368" s="1755">
        <v>142</v>
      </c>
      <c r="J368" s="1755">
        <v>850</v>
      </c>
      <c r="K368" s="1756">
        <v>266</v>
      </c>
    </row>
    <row r="369" spans="2:11" ht="18" thickBot="1">
      <c r="B369" s="1754">
        <v>3346</v>
      </c>
      <c r="C369" s="1755">
        <v>267</v>
      </c>
      <c r="D369" s="1755">
        <v>119</v>
      </c>
      <c r="E369" s="1755">
        <v>6261</v>
      </c>
      <c r="F369" s="1755">
        <v>45343</v>
      </c>
      <c r="G369" s="1755">
        <v>4565</v>
      </c>
      <c r="H369" s="1755">
        <v>1407</v>
      </c>
      <c r="I369" s="1755">
        <v>426</v>
      </c>
      <c r="J369" s="1755" t="s">
        <v>1148</v>
      </c>
      <c r="K369" s="1756">
        <v>263</v>
      </c>
    </row>
    <row r="370" spans="2:11" ht="17" thickBot="1">
      <c r="B370" s="1754">
        <v>3347</v>
      </c>
      <c r="C370" s="1755">
        <v>266</v>
      </c>
      <c r="D370" s="1755">
        <v>118</v>
      </c>
      <c r="E370" s="1755">
        <v>6010</v>
      </c>
      <c r="F370" s="1755">
        <v>45344</v>
      </c>
      <c r="G370" s="1755">
        <v>4561</v>
      </c>
      <c r="H370" s="1755">
        <v>1408</v>
      </c>
      <c r="I370" s="1755">
        <v>355</v>
      </c>
      <c r="J370" s="1755">
        <v>5982</v>
      </c>
      <c r="K370" s="1756">
        <v>262</v>
      </c>
    </row>
    <row r="371" spans="2:11" ht="17" thickBot="1">
      <c r="B371" s="1754">
        <v>3348</v>
      </c>
      <c r="C371" s="1755">
        <v>264</v>
      </c>
      <c r="D371" s="1755">
        <v>323</v>
      </c>
      <c r="E371" s="1755">
        <v>6250</v>
      </c>
      <c r="F371" s="1755">
        <v>45345</v>
      </c>
      <c r="G371" s="1755">
        <v>4550</v>
      </c>
      <c r="H371" s="1755">
        <v>1604</v>
      </c>
      <c r="I371" s="1755">
        <v>401</v>
      </c>
      <c r="J371" s="1755">
        <v>3215</v>
      </c>
      <c r="K371" s="1756">
        <v>259</v>
      </c>
    </row>
    <row r="372" spans="2:11" ht="18" thickBot="1">
      <c r="B372" s="1754">
        <v>3350</v>
      </c>
      <c r="C372" s="1755">
        <v>77</v>
      </c>
      <c r="D372" s="1755">
        <v>815</v>
      </c>
      <c r="E372" s="1755">
        <v>3004</v>
      </c>
      <c r="F372" s="1755">
        <v>45346</v>
      </c>
      <c r="G372" s="1755">
        <v>2165</v>
      </c>
      <c r="H372" s="1755" t="s">
        <v>1094</v>
      </c>
      <c r="I372" s="1755">
        <v>757</v>
      </c>
      <c r="J372" s="1755">
        <v>31</v>
      </c>
      <c r="K372" s="1756">
        <v>48</v>
      </c>
    </row>
    <row r="373" spans="2:11" ht="18" thickBot="1">
      <c r="B373" s="1754">
        <v>3354</v>
      </c>
      <c r="C373" s="1755">
        <v>74</v>
      </c>
      <c r="D373" s="1755">
        <v>812</v>
      </c>
      <c r="E373" s="1755">
        <v>3003</v>
      </c>
      <c r="F373" s="1755">
        <v>45347</v>
      </c>
      <c r="G373" s="1755">
        <v>2147</v>
      </c>
      <c r="H373" s="1755">
        <v>606</v>
      </c>
      <c r="I373" s="1755" t="s">
        <v>1094</v>
      </c>
      <c r="J373" s="1755" t="s">
        <v>1160</v>
      </c>
      <c r="K373" s="1756">
        <v>45</v>
      </c>
    </row>
    <row r="374" spans="2:11" ht="18" thickBot="1">
      <c r="B374" s="1754">
        <v>3362</v>
      </c>
      <c r="C374" s="1755">
        <v>263</v>
      </c>
      <c r="D374" s="1755" t="s">
        <v>1122</v>
      </c>
      <c r="E374" s="1755">
        <v>6269</v>
      </c>
      <c r="F374" s="1755">
        <v>45348</v>
      </c>
      <c r="G374" s="1755">
        <v>5075</v>
      </c>
      <c r="H374" s="1755">
        <v>1601</v>
      </c>
      <c r="I374" s="1755">
        <v>405</v>
      </c>
      <c r="J374" s="1755">
        <v>850</v>
      </c>
      <c r="K374" s="1756">
        <v>271</v>
      </c>
    </row>
    <row r="375" spans="2:11" ht="17" thickBot="1">
      <c r="B375" s="1754">
        <v>3363</v>
      </c>
      <c r="C375" s="1755">
        <v>262</v>
      </c>
      <c r="D375" s="1755">
        <v>318</v>
      </c>
      <c r="E375" s="1755">
        <v>6267</v>
      </c>
      <c r="F375" s="1755">
        <v>45349</v>
      </c>
      <c r="G375" s="1755">
        <v>5156</v>
      </c>
      <c r="H375" s="1755">
        <v>1602</v>
      </c>
      <c r="I375" s="1755">
        <v>294</v>
      </c>
      <c r="J375" s="1755">
        <v>5735</v>
      </c>
      <c r="K375" s="1756">
        <v>300</v>
      </c>
    </row>
    <row r="376" spans="2:11" ht="17" thickBot="1">
      <c r="B376" s="1754">
        <v>3364</v>
      </c>
      <c r="C376" s="1755">
        <v>261</v>
      </c>
      <c r="D376" s="1755">
        <v>924</v>
      </c>
      <c r="E376" s="1755">
        <v>6266</v>
      </c>
      <c r="F376" s="1755">
        <v>45350</v>
      </c>
      <c r="G376" s="1755">
        <v>5151</v>
      </c>
      <c r="H376" s="1755">
        <v>1509</v>
      </c>
      <c r="I376" s="1755">
        <v>402</v>
      </c>
      <c r="J376" s="1755">
        <v>5835</v>
      </c>
      <c r="K376" s="1756">
        <v>299</v>
      </c>
    </row>
    <row r="377" spans="2:11" ht="17" thickBot="1">
      <c r="B377" s="1754">
        <v>3371</v>
      </c>
      <c r="C377" s="1755">
        <v>382</v>
      </c>
      <c r="D377" s="1755">
        <v>312</v>
      </c>
      <c r="E377" s="1755">
        <v>5382</v>
      </c>
      <c r="F377" s="1755">
        <v>45351</v>
      </c>
      <c r="G377" s="1755">
        <v>8083</v>
      </c>
      <c r="H377" s="1755">
        <v>2004</v>
      </c>
      <c r="I377" s="1755">
        <v>298</v>
      </c>
      <c r="J377" s="1755">
        <v>5005</v>
      </c>
      <c r="K377" s="1756">
        <v>456</v>
      </c>
    </row>
    <row r="378" spans="2:11" ht="17" thickBot="1">
      <c r="B378" s="1754">
        <v>3607</v>
      </c>
      <c r="C378" s="1755">
        <v>87</v>
      </c>
      <c r="D378" s="1755">
        <v>484</v>
      </c>
      <c r="E378" s="1755">
        <v>4087</v>
      </c>
      <c r="F378" s="1755">
        <v>45352</v>
      </c>
      <c r="G378" s="1755">
        <v>2402</v>
      </c>
      <c r="H378" s="1755">
        <v>708</v>
      </c>
      <c r="I378" s="1755">
        <v>453</v>
      </c>
      <c r="J378" s="1755">
        <v>24</v>
      </c>
      <c r="K378" s="1756">
        <v>69</v>
      </c>
    </row>
    <row r="379" spans="2:11" ht="18" thickBot="1">
      <c r="B379" s="1754">
        <v>3608</v>
      </c>
      <c r="C379" s="1755">
        <v>86</v>
      </c>
      <c r="D379" s="1755">
        <v>482</v>
      </c>
      <c r="E379" s="1755">
        <v>4086</v>
      </c>
      <c r="F379" s="1755">
        <v>45353</v>
      </c>
      <c r="G379" s="1755">
        <v>2397</v>
      </c>
      <c r="H379" s="1755">
        <v>709</v>
      </c>
      <c r="I379" s="1755">
        <v>711</v>
      </c>
      <c r="J379" s="1755" t="s">
        <v>1160</v>
      </c>
      <c r="K379" s="1756">
        <v>68</v>
      </c>
    </row>
    <row r="380" spans="2:11" ht="17" thickBot="1">
      <c r="B380" s="1754">
        <v>3609</v>
      </c>
      <c r="C380" s="1755">
        <v>85</v>
      </c>
      <c r="D380" s="1755">
        <v>481</v>
      </c>
      <c r="E380" s="1755">
        <v>4085</v>
      </c>
      <c r="F380" s="1755">
        <v>45354</v>
      </c>
      <c r="G380" s="1755">
        <v>2394</v>
      </c>
      <c r="H380" s="1755">
        <v>710</v>
      </c>
      <c r="I380" s="1755">
        <v>941</v>
      </c>
      <c r="J380" s="1755">
        <v>7</v>
      </c>
      <c r="K380" s="1756">
        <v>66</v>
      </c>
    </row>
    <row r="381" spans="2:11" ht="18" thickBot="1">
      <c r="B381" s="1754">
        <v>3685</v>
      </c>
      <c r="C381" s="1755">
        <v>1028</v>
      </c>
      <c r="D381" s="1755">
        <v>816</v>
      </c>
      <c r="E381" s="1755">
        <v>3089</v>
      </c>
      <c r="F381" s="1755">
        <v>45355</v>
      </c>
      <c r="G381" s="1755">
        <v>2246</v>
      </c>
      <c r="H381" s="1755">
        <v>2609</v>
      </c>
      <c r="I381" s="1755">
        <v>716</v>
      </c>
      <c r="J381" s="1755" t="s">
        <v>1102</v>
      </c>
      <c r="K381" s="1756">
        <v>114</v>
      </c>
    </row>
    <row r="382" spans="2:11" ht="18" thickBot="1">
      <c r="B382" s="1754">
        <v>3687</v>
      </c>
      <c r="C382" s="1755">
        <v>68</v>
      </c>
      <c r="D382" s="1755">
        <v>814</v>
      </c>
      <c r="E382" s="1755">
        <v>3088</v>
      </c>
      <c r="F382" s="1755">
        <v>45356</v>
      </c>
      <c r="G382" s="1755">
        <v>2240</v>
      </c>
      <c r="H382" s="1755">
        <v>605</v>
      </c>
      <c r="I382" s="1755">
        <v>713</v>
      </c>
      <c r="J382" s="1755" t="s">
        <v>1160</v>
      </c>
      <c r="K382" s="1756">
        <v>112</v>
      </c>
    </row>
    <row r="383" spans="2:11" ht="17" thickBot="1">
      <c r="B383" s="1754">
        <v>3688</v>
      </c>
      <c r="C383" s="1755">
        <v>75</v>
      </c>
      <c r="D383" s="1755">
        <v>813</v>
      </c>
      <c r="E383" s="1755">
        <v>3087</v>
      </c>
      <c r="F383" s="1755">
        <v>45357</v>
      </c>
      <c r="G383" s="1755">
        <v>2232</v>
      </c>
      <c r="H383" s="1755">
        <v>605</v>
      </c>
      <c r="I383" s="1755">
        <v>602</v>
      </c>
      <c r="J383" s="1755">
        <v>7</v>
      </c>
      <c r="K383" s="1756">
        <v>111</v>
      </c>
    </row>
    <row r="384" spans="2:11" ht="18" thickBot="1">
      <c r="B384" s="1754">
        <v>3689</v>
      </c>
      <c r="C384" s="1755">
        <v>49</v>
      </c>
      <c r="D384" s="1755">
        <v>811</v>
      </c>
      <c r="E384" s="1755">
        <v>3086</v>
      </c>
      <c r="F384" s="1755">
        <v>45358</v>
      </c>
      <c r="G384" s="1755">
        <v>2225</v>
      </c>
      <c r="H384" s="1755" t="s">
        <v>1094</v>
      </c>
      <c r="I384" s="1755">
        <v>141</v>
      </c>
      <c r="J384" s="1755">
        <v>3237</v>
      </c>
      <c r="K384" s="1756">
        <v>110</v>
      </c>
    </row>
    <row r="385" spans="2:11" ht="18" thickBot="1">
      <c r="B385" s="1754">
        <v>3705</v>
      </c>
      <c r="C385" s="1755">
        <v>35</v>
      </c>
      <c r="D385" s="1755">
        <v>838</v>
      </c>
      <c r="E385" s="1755">
        <v>3012</v>
      </c>
      <c r="F385" s="1755">
        <v>45359</v>
      </c>
      <c r="G385" s="1755">
        <v>1895</v>
      </c>
      <c r="H385" s="1755">
        <v>410</v>
      </c>
      <c r="I385" s="1755">
        <v>502</v>
      </c>
      <c r="J385" s="1755">
        <v>31</v>
      </c>
      <c r="K385" s="1756" t="s">
        <v>1094</v>
      </c>
    </row>
    <row r="386" spans="2:11" ht="17" thickBot="1">
      <c r="B386" s="1754">
        <v>3706</v>
      </c>
      <c r="C386" s="1755">
        <v>33</v>
      </c>
      <c r="D386" s="1755">
        <v>836</v>
      </c>
      <c r="E386" s="1755">
        <v>3152</v>
      </c>
      <c r="F386" s="1755">
        <v>45360</v>
      </c>
      <c r="G386" s="1755">
        <v>1889</v>
      </c>
      <c r="H386" s="1755">
        <v>409</v>
      </c>
      <c r="I386" s="1755">
        <v>143</v>
      </c>
      <c r="J386" s="1755">
        <v>273</v>
      </c>
      <c r="K386" s="1756">
        <v>15</v>
      </c>
    </row>
    <row r="387" spans="2:11" ht="18" thickBot="1">
      <c r="B387" s="1754">
        <v>3708</v>
      </c>
      <c r="C387" s="1755">
        <v>31</v>
      </c>
      <c r="D387" s="1755">
        <v>833</v>
      </c>
      <c r="E387" s="1755">
        <v>3127</v>
      </c>
      <c r="F387" s="1755">
        <v>45361</v>
      </c>
      <c r="G387" s="1755">
        <v>1889</v>
      </c>
      <c r="H387" s="1755">
        <v>408</v>
      </c>
      <c r="I387" s="1755">
        <v>942</v>
      </c>
      <c r="J387" s="1755">
        <v>5700</v>
      </c>
      <c r="K387" s="1756" t="s">
        <v>1094</v>
      </c>
    </row>
    <row r="388" spans="2:11" ht="17" thickBot="1">
      <c r="B388" s="1754">
        <v>3712</v>
      </c>
      <c r="C388" s="1755">
        <v>1023</v>
      </c>
      <c r="D388" s="1755">
        <v>854</v>
      </c>
      <c r="E388" s="1755">
        <v>3071</v>
      </c>
      <c r="F388" s="1755">
        <v>45362</v>
      </c>
      <c r="G388" s="1755">
        <v>1395</v>
      </c>
      <c r="H388" s="1755">
        <v>405</v>
      </c>
      <c r="I388" s="1755">
        <v>226</v>
      </c>
      <c r="J388" s="1755">
        <v>5705</v>
      </c>
      <c r="K388" s="1756">
        <v>4</v>
      </c>
    </row>
    <row r="389" spans="2:11" ht="17" thickBot="1">
      <c r="B389" s="1754">
        <v>3713</v>
      </c>
      <c r="C389" s="1755">
        <v>1020</v>
      </c>
      <c r="D389" s="1755">
        <v>851</v>
      </c>
      <c r="E389" s="1755">
        <v>3067</v>
      </c>
      <c r="F389" s="1755">
        <v>45363</v>
      </c>
      <c r="G389" s="1755">
        <v>1382</v>
      </c>
      <c r="H389" s="1755">
        <v>502</v>
      </c>
      <c r="I389" s="1755">
        <v>222</v>
      </c>
      <c r="J389" s="1755">
        <v>192</v>
      </c>
      <c r="K389" s="1756">
        <v>1</v>
      </c>
    </row>
    <row r="390" spans="2:11" ht="17" thickBot="1">
      <c r="B390" s="1754">
        <v>3716</v>
      </c>
      <c r="C390" s="1755">
        <v>25</v>
      </c>
      <c r="D390" s="1755">
        <v>1118</v>
      </c>
      <c r="E390" s="1755">
        <v>3125</v>
      </c>
      <c r="F390" s="1755">
        <v>45364</v>
      </c>
      <c r="G390" s="1755">
        <v>1645</v>
      </c>
      <c r="H390" s="1755">
        <v>607</v>
      </c>
      <c r="I390" s="1755">
        <v>753</v>
      </c>
      <c r="J390" s="1755">
        <v>9200</v>
      </c>
      <c r="K390" s="1756">
        <v>39</v>
      </c>
    </row>
    <row r="391" spans="2:11" ht="18" thickBot="1">
      <c r="B391" s="1754">
        <v>3721</v>
      </c>
      <c r="C391" s="1755">
        <v>896</v>
      </c>
      <c r="D391" s="1755">
        <v>654</v>
      </c>
      <c r="E391" s="1755">
        <v>3242</v>
      </c>
      <c r="F391" s="1755">
        <v>45365</v>
      </c>
      <c r="G391" s="1755">
        <v>1996</v>
      </c>
      <c r="H391" s="1755">
        <v>810</v>
      </c>
      <c r="I391" s="1755">
        <v>715</v>
      </c>
      <c r="J391" s="1755" t="s">
        <v>1102</v>
      </c>
      <c r="K391" s="1756">
        <v>81</v>
      </c>
    </row>
    <row r="392" spans="2:11" ht="18" thickBot="1">
      <c r="B392" s="1754">
        <v>3722</v>
      </c>
      <c r="C392" s="1755">
        <v>1027</v>
      </c>
      <c r="D392" s="1755">
        <v>654</v>
      </c>
      <c r="E392" s="1755">
        <v>3241</v>
      </c>
      <c r="F392" s="1755">
        <v>45366</v>
      </c>
      <c r="G392" s="1755">
        <v>1984</v>
      </c>
      <c r="H392" s="1755">
        <v>812</v>
      </c>
      <c r="I392" s="1755">
        <v>185</v>
      </c>
      <c r="J392" s="1755" t="s">
        <v>1161</v>
      </c>
      <c r="K392" s="1756">
        <v>80</v>
      </c>
    </row>
    <row r="393" spans="2:11" ht="18" thickBot="1">
      <c r="B393" s="1754">
        <v>3726</v>
      </c>
      <c r="C393" s="1755">
        <v>1018</v>
      </c>
      <c r="D393" s="1755">
        <v>236</v>
      </c>
      <c r="E393" s="1755">
        <v>3084</v>
      </c>
      <c r="F393" s="1755">
        <v>45367</v>
      </c>
      <c r="G393" s="1755">
        <v>2110</v>
      </c>
      <c r="H393" s="1755">
        <v>810</v>
      </c>
      <c r="I393" s="1755">
        <v>933</v>
      </c>
      <c r="J393" s="1755" t="s">
        <v>1161</v>
      </c>
      <c r="K393" s="1756">
        <v>88</v>
      </c>
    </row>
    <row r="394" spans="2:11" ht="17" thickBot="1">
      <c r="B394" s="1754">
        <v>3727</v>
      </c>
      <c r="C394" s="1755">
        <v>1016</v>
      </c>
      <c r="D394" s="1755">
        <v>234</v>
      </c>
      <c r="E394" s="1755">
        <v>3081</v>
      </c>
      <c r="F394" s="1755">
        <v>45368</v>
      </c>
      <c r="G394" s="1755">
        <v>2098</v>
      </c>
      <c r="H394" s="1755">
        <v>2610</v>
      </c>
      <c r="I394" s="1755">
        <v>713</v>
      </c>
      <c r="J394" s="1755">
        <v>713</v>
      </c>
      <c r="K394" s="1756">
        <v>84</v>
      </c>
    </row>
    <row r="395" spans="2:11" ht="17" thickBot="1">
      <c r="B395" s="1754">
        <v>3731</v>
      </c>
      <c r="C395" s="1755">
        <v>76</v>
      </c>
      <c r="D395" s="1755">
        <v>814</v>
      </c>
      <c r="E395" s="1755">
        <v>3176</v>
      </c>
      <c r="F395" s="1755">
        <v>45369</v>
      </c>
      <c r="G395" s="1755">
        <v>2159</v>
      </c>
      <c r="H395" s="1755">
        <v>506</v>
      </c>
      <c r="I395" s="1755">
        <v>756</v>
      </c>
      <c r="J395" s="1755">
        <v>31</v>
      </c>
      <c r="K395" s="1756">
        <v>47</v>
      </c>
    </row>
    <row r="396" spans="2:11" ht="18" thickBot="1">
      <c r="B396" s="1754">
        <v>3733</v>
      </c>
      <c r="C396" s="1755">
        <v>75</v>
      </c>
      <c r="D396" s="1755">
        <v>813</v>
      </c>
      <c r="E396" s="1755">
        <v>3126</v>
      </c>
      <c r="F396" s="1755">
        <v>45370</v>
      </c>
      <c r="G396" s="1755">
        <v>2232</v>
      </c>
      <c r="H396" s="1755">
        <v>813</v>
      </c>
      <c r="I396" s="1755">
        <v>144</v>
      </c>
      <c r="J396" s="1755" t="s">
        <v>1094</v>
      </c>
      <c r="K396" s="1756">
        <v>46</v>
      </c>
    </row>
    <row r="397" spans="2:11" ht="17" thickBot="1">
      <c r="B397" s="1754">
        <v>3740</v>
      </c>
      <c r="C397" s="1755">
        <v>872</v>
      </c>
      <c r="D397" s="1755">
        <v>236</v>
      </c>
      <c r="E397" s="1755">
        <v>4223</v>
      </c>
      <c r="F397" s="1755">
        <v>45371</v>
      </c>
      <c r="G397" s="1755">
        <v>2431</v>
      </c>
      <c r="H397" s="1755">
        <v>806</v>
      </c>
      <c r="I397" s="1755">
        <v>967</v>
      </c>
      <c r="J397" s="1755">
        <v>4206</v>
      </c>
      <c r="K397" s="1756">
        <v>98</v>
      </c>
    </row>
    <row r="398" spans="2:11" ht="17" thickBot="1">
      <c r="B398" s="1754">
        <v>3743</v>
      </c>
      <c r="C398" s="1755">
        <v>869</v>
      </c>
      <c r="D398" s="1755">
        <v>235</v>
      </c>
      <c r="E398" s="1755">
        <v>4220</v>
      </c>
      <c r="F398" s="1755">
        <v>45372</v>
      </c>
      <c r="G398" s="1755">
        <v>8599</v>
      </c>
      <c r="H398" s="1755">
        <v>2611</v>
      </c>
      <c r="I398" s="1755">
        <v>886</v>
      </c>
      <c r="J398" s="1755">
        <v>9294</v>
      </c>
      <c r="K398" s="1756">
        <v>94</v>
      </c>
    </row>
    <row r="399" spans="2:11" ht="18" thickBot="1">
      <c r="B399" s="1754">
        <v>3746</v>
      </c>
      <c r="C399" s="1755">
        <v>1030</v>
      </c>
      <c r="D399" s="1755">
        <v>324</v>
      </c>
      <c r="E399" s="1755">
        <v>4301</v>
      </c>
      <c r="F399" s="1755">
        <v>45373</v>
      </c>
      <c r="G399" s="1755">
        <v>2705</v>
      </c>
      <c r="H399" s="1755" t="s">
        <v>1094</v>
      </c>
      <c r="I399" s="1755">
        <v>822</v>
      </c>
      <c r="J399" s="1755">
        <v>5540</v>
      </c>
      <c r="K399" s="1756">
        <v>130</v>
      </c>
    </row>
    <row r="400" spans="2:11" ht="17" thickBot="1">
      <c r="B400" s="1754">
        <v>3747</v>
      </c>
      <c r="C400" s="1755">
        <v>120</v>
      </c>
      <c r="D400" s="1755">
        <v>662</v>
      </c>
      <c r="E400" s="1755">
        <v>7004</v>
      </c>
      <c r="F400" s="1755">
        <v>45374</v>
      </c>
      <c r="G400" s="1755">
        <v>2729</v>
      </c>
      <c r="H400" s="1755">
        <v>901</v>
      </c>
      <c r="I400" s="1755">
        <v>741</v>
      </c>
      <c r="J400" s="1755">
        <v>95</v>
      </c>
      <c r="K400" s="1756">
        <v>136</v>
      </c>
    </row>
    <row r="401" spans="2:11" ht="18" thickBot="1">
      <c r="B401" s="1754">
        <v>3750</v>
      </c>
      <c r="C401" s="1755">
        <v>1036</v>
      </c>
      <c r="D401" s="1755">
        <v>735</v>
      </c>
      <c r="E401" s="1755">
        <v>7980</v>
      </c>
      <c r="F401" s="1755">
        <v>45375</v>
      </c>
      <c r="G401" s="1755">
        <v>3151</v>
      </c>
      <c r="H401" s="1755">
        <v>1712</v>
      </c>
      <c r="I401" s="1755">
        <v>326</v>
      </c>
      <c r="J401" s="1755" t="s">
        <v>1101</v>
      </c>
      <c r="K401" s="1756">
        <v>195</v>
      </c>
    </row>
    <row r="402" spans="2:11" ht="17" thickBot="1">
      <c r="B402" s="1754">
        <v>3752</v>
      </c>
      <c r="C402" s="1755">
        <v>1032</v>
      </c>
      <c r="D402" s="1755">
        <v>731</v>
      </c>
      <c r="E402" s="1755">
        <v>7876</v>
      </c>
      <c r="F402" s="1755">
        <v>45376</v>
      </c>
      <c r="G402" s="1755">
        <v>3472</v>
      </c>
      <c r="H402" s="1755">
        <v>1001</v>
      </c>
      <c r="I402" s="1755">
        <v>886</v>
      </c>
      <c r="J402" s="1755">
        <v>25</v>
      </c>
      <c r="K402" s="1756">
        <v>191</v>
      </c>
    </row>
    <row r="403" spans="2:11" ht="17" thickBot="1">
      <c r="B403" s="1754">
        <v>3753</v>
      </c>
      <c r="C403" s="1755">
        <v>1031</v>
      </c>
      <c r="D403" s="1755">
        <v>730</v>
      </c>
      <c r="E403" s="1755">
        <v>7031</v>
      </c>
      <c r="F403" s="1755">
        <v>45377</v>
      </c>
      <c r="G403" s="1755">
        <v>3132</v>
      </c>
      <c r="H403" s="1755">
        <v>1001</v>
      </c>
      <c r="I403" s="1755">
        <v>561</v>
      </c>
      <c r="J403" s="1755">
        <v>194</v>
      </c>
      <c r="K403" s="1756">
        <v>180</v>
      </c>
    </row>
    <row r="404" spans="2:11" ht="17" thickBot="1">
      <c r="B404" s="1754">
        <v>3755</v>
      </c>
      <c r="C404" s="1755">
        <v>140</v>
      </c>
      <c r="D404" s="1755">
        <v>164</v>
      </c>
      <c r="E404" s="1755">
        <v>7976</v>
      </c>
      <c r="F404" s="1755">
        <v>45378</v>
      </c>
      <c r="G404" s="1755">
        <v>3223</v>
      </c>
      <c r="H404" s="1755">
        <v>909</v>
      </c>
      <c r="I404" s="1755">
        <v>564</v>
      </c>
      <c r="J404" s="1755">
        <v>329</v>
      </c>
      <c r="K404" s="1756">
        <v>184</v>
      </c>
    </row>
    <row r="405" spans="2:11" ht="18" thickBot="1">
      <c r="B405" s="1754">
        <v>3756</v>
      </c>
      <c r="C405" s="1755">
        <v>1037</v>
      </c>
      <c r="D405" s="1755">
        <v>211</v>
      </c>
      <c r="E405" s="1755">
        <v>7975</v>
      </c>
      <c r="F405" s="1755">
        <v>45379</v>
      </c>
      <c r="G405" s="1755">
        <v>3468</v>
      </c>
      <c r="H405" s="1755">
        <v>2504</v>
      </c>
      <c r="I405" s="1755" t="s">
        <v>1096</v>
      </c>
      <c r="J405" s="1755">
        <v>194</v>
      </c>
      <c r="K405" s="1756">
        <v>189</v>
      </c>
    </row>
    <row r="406" spans="2:11" ht="17" thickBot="1">
      <c r="B406" s="1754">
        <v>3760</v>
      </c>
      <c r="C406" s="1755">
        <v>162</v>
      </c>
      <c r="D406" s="1755">
        <v>2253</v>
      </c>
      <c r="E406" s="1755">
        <v>7161</v>
      </c>
      <c r="F406" s="1755">
        <v>45380</v>
      </c>
      <c r="G406" s="1755">
        <v>3483</v>
      </c>
      <c r="H406" s="1755">
        <v>1107</v>
      </c>
      <c r="I406" s="1755">
        <v>486</v>
      </c>
      <c r="J406" s="1755">
        <v>623</v>
      </c>
      <c r="K406" s="1756">
        <v>200</v>
      </c>
    </row>
    <row r="407" spans="2:11" ht="17" thickBot="1">
      <c r="B407" s="1754">
        <v>3761</v>
      </c>
      <c r="C407" s="1755">
        <v>928</v>
      </c>
      <c r="D407" s="1755">
        <v>252</v>
      </c>
      <c r="E407" s="1755">
        <v>7053</v>
      </c>
      <c r="F407" s="1755">
        <v>45381</v>
      </c>
      <c r="G407" s="1755">
        <v>3556</v>
      </c>
      <c r="H407" s="1755">
        <v>1014</v>
      </c>
      <c r="I407" s="1755">
        <v>875</v>
      </c>
      <c r="J407" s="1755">
        <v>9400</v>
      </c>
      <c r="K407" s="1756">
        <v>197</v>
      </c>
    </row>
    <row r="408" spans="2:11" ht="18" thickBot="1">
      <c r="B408" s="1754">
        <v>3765</v>
      </c>
      <c r="C408" s="1755">
        <v>170</v>
      </c>
      <c r="D408" s="1755">
        <v>254</v>
      </c>
      <c r="E408" s="1755">
        <v>7162</v>
      </c>
      <c r="F408" s="1755">
        <v>45382</v>
      </c>
      <c r="G408" s="1755">
        <v>3574</v>
      </c>
      <c r="H408" s="1755">
        <v>2506</v>
      </c>
      <c r="I408" s="1755">
        <v>489</v>
      </c>
      <c r="J408" s="1755" t="s">
        <v>1120</v>
      </c>
      <c r="K408" s="1756">
        <v>201</v>
      </c>
    </row>
    <row r="409" spans="2:11" ht="17" thickBot="1">
      <c r="B409" s="1754">
        <v>3766</v>
      </c>
      <c r="C409" s="1755">
        <v>1074</v>
      </c>
      <c r="D409" s="1755">
        <v>252</v>
      </c>
      <c r="E409" s="1755">
        <v>7168</v>
      </c>
      <c r="F409" s="1755">
        <v>45383</v>
      </c>
      <c r="G409" s="1755">
        <v>3556</v>
      </c>
      <c r="H409" s="1755">
        <v>1109</v>
      </c>
      <c r="I409" s="1755">
        <v>564</v>
      </c>
      <c r="J409" s="1755">
        <v>14</v>
      </c>
      <c r="K409" s="1756">
        <v>173</v>
      </c>
    </row>
    <row r="410" spans="2:11" ht="17" thickBot="1">
      <c r="B410" s="1754">
        <v>3768</v>
      </c>
      <c r="C410" s="1755">
        <v>779</v>
      </c>
      <c r="D410" s="1755">
        <v>982</v>
      </c>
      <c r="E410" s="1755">
        <v>6007</v>
      </c>
      <c r="F410" s="1755">
        <v>45384</v>
      </c>
      <c r="G410" s="1755">
        <v>3739</v>
      </c>
      <c r="H410" s="1755">
        <v>2508</v>
      </c>
      <c r="I410" s="1755">
        <v>324</v>
      </c>
      <c r="J410" s="1755">
        <v>5009</v>
      </c>
      <c r="K410" s="1756">
        <v>170</v>
      </c>
    </row>
    <row r="411" spans="2:11" ht="18" thickBot="1">
      <c r="B411" s="1754">
        <v>3770</v>
      </c>
      <c r="C411" s="1755">
        <v>1009</v>
      </c>
      <c r="D411" s="1755">
        <v>340</v>
      </c>
      <c r="E411" s="1755">
        <v>2275</v>
      </c>
      <c r="F411" s="1755">
        <v>45385</v>
      </c>
      <c r="G411" s="1755">
        <v>1634</v>
      </c>
      <c r="H411" s="1755">
        <v>2314</v>
      </c>
      <c r="I411" s="1755">
        <v>701</v>
      </c>
      <c r="J411" s="1755" t="s">
        <v>1133</v>
      </c>
      <c r="K411" s="1756">
        <v>381</v>
      </c>
    </row>
    <row r="412" spans="2:11" ht="18" thickBot="1">
      <c r="B412" s="1754">
        <v>3771</v>
      </c>
      <c r="C412" s="1755">
        <v>336</v>
      </c>
      <c r="D412" s="1755" t="s">
        <v>1094</v>
      </c>
      <c r="E412" s="1755">
        <v>3146</v>
      </c>
      <c r="F412" s="1755">
        <v>45496</v>
      </c>
      <c r="G412" s="1755">
        <v>7810</v>
      </c>
      <c r="H412" s="1755">
        <v>2605</v>
      </c>
      <c r="I412" s="1755" t="s">
        <v>1094</v>
      </c>
      <c r="J412" s="1755" t="s">
        <v>1094</v>
      </c>
      <c r="K412" s="1756" t="s">
        <v>1094</v>
      </c>
    </row>
    <row r="413" spans="2:11" ht="18" thickBot="1">
      <c r="B413" s="1754">
        <v>3772</v>
      </c>
      <c r="C413" s="1755">
        <v>1007</v>
      </c>
      <c r="D413" s="1755" t="s">
        <v>1094</v>
      </c>
      <c r="E413" s="1755">
        <v>5378</v>
      </c>
      <c r="F413" s="1755">
        <v>45386</v>
      </c>
      <c r="G413" s="1755">
        <v>7952</v>
      </c>
      <c r="H413" s="1755">
        <v>2601</v>
      </c>
      <c r="I413" s="1755">
        <v>933</v>
      </c>
      <c r="J413" s="1755" t="s">
        <v>1094</v>
      </c>
      <c r="K413" s="1756">
        <v>422</v>
      </c>
    </row>
    <row r="414" spans="2:11" ht="18" thickBot="1">
      <c r="B414" s="1754">
        <v>3773</v>
      </c>
      <c r="C414" s="1755">
        <v>1008</v>
      </c>
      <c r="D414" s="1755">
        <v>424</v>
      </c>
      <c r="E414" s="1755">
        <v>2336</v>
      </c>
      <c r="F414" s="1755">
        <v>45387</v>
      </c>
      <c r="G414" s="1755">
        <v>7944</v>
      </c>
      <c r="H414" s="1755" t="s">
        <v>1094</v>
      </c>
      <c r="I414" s="1755">
        <v>953</v>
      </c>
      <c r="J414" s="1755">
        <v>13</v>
      </c>
      <c r="K414" s="1756" t="s">
        <v>1094</v>
      </c>
    </row>
    <row r="415" spans="2:11" ht="18" thickBot="1">
      <c r="B415" s="1754">
        <v>3774</v>
      </c>
      <c r="C415" s="1755">
        <v>778</v>
      </c>
      <c r="D415" s="1755" t="s">
        <v>1094</v>
      </c>
      <c r="E415" s="1755">
        <v>2336</v>
      </c>
      <c r="F415" s="1755">
        <v>45388</v>
      </c>
      <c r="G415" s="1755">
        <v>7933</v>
      </c>
      <c r="H415" s="1755">
        <v>1909</v>
      </c>
      <c r="I415" s="1755">
        <v>971</v>
      </c>
      <c r="J415" s="1755">
        <v>9192</v>
      </c>
      <c r="K415" s="1756" t="s">
        <v>1094</v>
      </c>
    </row>
    <row r="416" spans="2:11" ht="18" thickBot="1">
      <c r="B416" s="1754">
        <v>3776</v>
      </c>
      <c r="C416" s="1755">
        <v>1048</v>
      </c>
      <c r="D416" s="1755" t="s">
        <v>1094</v>
      </c>
      <c r="E416" s="1755">
        <v>3336</v>
      </c>
      <c r="F416" s="1755">
        <v>45389</v>
      </c>
      <c r="G416" s="1755">
        <v>7644</v>
      </c>
      <c r="H416" s="1755">
        <v>2011</v>
      </c>
      <c r="I416" s="1755">
        <v>697</v>
      </c>
      <c r="J416" s="1755">
        <v>27</v>
      </c>
      <c r="K416" s="1756">
        <v>400</v>
      </c>
    </row>
    <row r="417" spans="2:11" ht="17" thickBot="1">
      <c r="B417" s="1754">
        <v>3777</v>
      </c>
      <c r="C417" s="1755">
        <v>1015</v>
      </c>
      <c r="D417" s="1755">
        <v>467</v>
      </c>
      <c r="E417" s="1755">
        <v>2339</v>
      </c>
      <c r="F417" s="1755">
        <v>45390</v>
      </c>
      <c r="G417" s="1755">
        <v>1996</v>
      </c>
      <c r="H417" s="1755">
        <v>2502</v>
      </c>
      <c r="I417" s="1755">
        <v>305</v>
      </c>
      <c r="J417" s="1755">
        <v>5805</v>
      </c>
      <c r="K417" s="1756">
        <v>411</v>
      </c>
    </row>
    <row r="418" spans="2:11" ht="17" thickBot="1">
      <c r="B418" s="1754">
        <v>3778</v>
      </c>
      <c r="C418" s="1755">
        <v>1013</v>
      </c>
      <c r="D418" s="1755">
        <v>464</v>
      </c>
      <c r="E418" s="1755">
        <v>2338</v>
      </c>
      <c r="F418" s="1755">
        <v>45391</v>
      </c>
      <c r="G418" s="1755">
        <v>7670</v>
      </c>
      <c r="H418" s="1755">
        <v>403</v>
      </c>
      <c r="I418" s="1755">
        <v>206</v>
      </c>
      <c r="J418" s="1755">
        <v>127</v>
      </c>
      <c r="K418" s="1756">
        <v>407</v>
      </c>
    </row>
    <row r="419" spans="2:11" ht="17" thickBot="1">
      <c r="B419" s="1754">
        <v>3779</v>
      </c>
      <c r="C419" s="1755">
        <v>868</v>
      </c>
      <c r="D419" s="1755">
        <v>461</v>
      </c>
      <c r="E419" s="1755">
        <v>3868</v>
      </c>
      <c r="F419" s="1755">
        <v>45392</v>
      </c>
      <c r="G419" s="1755">
        <v>7806</v>
      </c>
      <c r="H419" s="1755">
        <v>305</v>
      </c>
      <c r="I419" s="1755">
        <v>752</v>
      </c>
      <c r="J419" s="1755">
        <v>9192</v>
      </c>
      <c r="K419" s="1756">
        <v>412</v>
      </c>
    </row>
    <row r="420" spans="2:11" ht="18" thickBot="1">
      <c r="B420" s="1754">
        <v>3781</v>
      </c>
      <c r="C420" s="1755">
        <v>1050</v>
      </c>
      <c r="D420" s="1755">
        <v>369</v>
      </c>
      <c r="E420" s="1755">
        <v>5393</v>
      </c>
      <c r="F420" s="1755">
        <v>45393</v>
      </c>
      <c r="G420" s="1755">
        <v>8331</v>
      </c>
      <c r="H420" s="1755">
        <v>2106</v>
      </c>
      <c r="I420" s="1755">
        <v>337</v>
      </c>
      <c r="J420" s="1755" t="s">
        <v>1150</v>
      </c>
      <c r="K420" s="1756">
        <v>468</v>
      </c>
    </row>
    <row r="421" spans="2:11" ht="17" thickBot="1">
      <c r="B421" s="1754">
        <v>3782</v>
      </c>
      <c r="C421" s="1755">
        <v>388</v>
      </c>
      <c r="D421" s="1755">
        <v>366</v>
      </c>
      <c r="E421" s="1755">
        <v>5388</v>
      </c>
      <c r="F421" s="1755">
        <v>45394</v>
      </c>
      <c r="G421" s="1755">
        <v>8310</v>
      </c>
      <c r="H421" s="1755">
        <v>1902</v>
      </c>
      <c r="I421" s="1755">
        <v>972</v>
      </c>
      <c r="J421" s="1755">
        <v>210</v>
      </c>
      <c r="K421" s="1756">
        <v>466</v>
      </c>
    </row>
    <row r="422" spans="2:11" ht="18" thickBot="1">
      <c r="B422" s="1754">
        <v>3787</v>
      </c>
      <c r="C422" s="1755">
        <v>904</v>
      </c>
      <c r="D422" s="1755">
        <v>894</v>
      </c>
      <c r="E422" s="1755">
        <v>8501</v>
      </c>
      <c r="F422" s="1755">
        <v>45395</v>
      </c>
      <c r="G422" s="1755">
        <v>8492</v>
      </c>
      <c r="H422" s="1755" t="s">
        <v>1094</v>
      </c>
      <c r="I422" s="1755">
        <v>968</v>
      </c>
      <c r="J422" s="1755" t="s">
        <v>1110</v>
      </c>
      <c r="K422" s="1756">
        <v>463</v>
      </c>
    </row>
    <row r="423" spans="2:11" ht="17" thickBot="1">
      <c r="B423" s="1754">
        <v>3790</v>
      </c>
      <c r="C423" s="1755">
        <v>904</v>
      </c>
      <c r="D423" s="1755">
        <v>844</v>
      </c>
      <c r="E423" s="1755">
        <v>5393</v>
      </c>
      <c r="F423" s="1755">
        <v>45396</v>
      </c>
      <c r="G423" s="1755">
        <v>8327</v>
      </c>
      <c r="H423" s="1755">
        <v>1903</v>
      </c>
      <c r="I423" s="1755">
        <v>968</v>
      </c>
      <c r="J423" s="1755">
        <v>72</v>
      </c>
      <c r="K423" s="1756">
        <v>467</v>
      </c>
    </row>
    <row r="424" spans="2:11" ht="18" thickBot="1">
      <c r="B424" s="1754">
        <v>3799</v>
      </c>
      <c r="C424" s="1755">
        <v>236</v>
      </c>
      <c r="D424" s="1755">
        <v>236</v>
      </c>
      <c r="E424" s="1755">
        <v>8514</v>
      </c>
      <c r="F424" s="1755">
        <v>45397</v>
      </c>
      <c r="G424" s="1755">
        <v>8756</v>
      </c>
      <c r="H424" s="1755">
        <v>1713</v>
      </c>
      <c r="I424" s="1755">
        <v>998</v>
      </c>
      <c r="J424" s="1755" t="s">
        <v>1123</v>
      </c>
      <c r="K424" s="1756">
        <v>502</v>
      </c>
    </row>
    <row r="425" spans="2:11" ht="17" thickBot="1">
      <c r="B425" s="1754">
        <v>3801</v>
      </c>
      <c r="C425" s="1755">
        <v>1098</v>
      </c>
      <c r="D425" s="1755">
        <v>206</v>
      </c>
      <c r="E425" s="1755">
        <v>3012</v>
      </c>
      <c r="F425" s="1755">
        <v>45398</v>
      </c>
      <c r="G425" s="1755">
        <v>1895</v>
      </c>
      <c r="H425" s="1755">
        <v>411</v>
      </c>
      <c r="I425" s="1755">
        <v>502</v>
      </c>
      <c r="J425" s="1755">
        <v>332</v>
      </c>
      <c r="K425" s="1756">
        <v>17</v>
      </c>
    </row>
    <row r="426" spans="2:11" ht="18" thickBot="1">
      <c r="B426" s="1754">
        <v>3802</v>
      </c>
      <c r="C426" s="1755">
        <v>1019</v>
      </c>
      <c r="D426" s="1755">
        <v>236</v>
      </c>
      <c r="E426" s="1755">
        <v>3082</v>
      </c>
      <c r="F426" s="1755">
        <v>45399</v>
      </c>
      <c r="G426" s="1755">
        <v>2123</v>
      </c>
      <c r="H426" s="1755">
        <v>2606</v>
      </c>
      <c r="I426" s="1755">
        <v>934</v>
      </c>
      <c r="J426" s="1755" t="s">
        <v>1098</v>
      </c>
      <c r="K426" s="1756">
        <v>90</v>
      </c>
    </row>
    <row r="427" spans="2:11" ht="18" thickBot="1">
      <c r="B427" s="1754">
        <v>3803</v>
      </c>
      <c r="C427" s="1755">
        <v>69</v>
      </c>
      <c r="D427" s="1755">
        <v>2224</v>
      </c>
      <c r="E427" s="1755">
        <v>3065</v>
      </c>
      <c r="F427" s="1755">
        <v>45400</v>
      </c>
      <c r="G427" s="1755">
        <v>2246</v>
      </c>
      <c r="H427" s="1755">
        <v>2609</v>
      </c>
      <c r="I427" s="1755">
        <v>715</v>
      </c>
      <c r="J427" s="1755" t="s">
        <v>1161</v>
      </c>
      <c r="K427" s="1756">
        <v>113</v>
      </c>
    </row>
    <row r="428" spans="2:11" ht="18" thickBot="1">
      <c r="B428" s="1754">
        <v>3804</v>
      </c>
      <c r="C428" s="1755">
        <v>63</v>
      </c>
      <c r="D428" s="1755">
        <v>506</v>
      </c>
      <c r="E428" s="1755">
        <v>3063</v>
      </c>
      <c r="F428" s="1755">
        <v>45401</v>
      </c>
      <c r="G428" s="1755">
        <v>2333</v>
      </c>
      <c r="H428" s="1755">
        <v>604</v>
      </c>
      <c r="I428" s="1755">
        <v>756</v>
      </c>
      <c r="J428" s="1755" t="s">
        <v>1128</v>
      </c>
      <c r="K428" s="1756">
        <v>65</v>
      </c>
    </row>
    <row r="429" spans="2:11" ht="17" thickBot="1">
      <c r="B429" s="1754">
        <v>3805</v>
      </c>
      <c r="C429" s="1755">
        <v>62</v>
      </c>
      <c r="D429" s="1755">
        <v>504</v>
      </c>
      <c r="E429" s="1755">
        <v>3153</v>
      </c>
      <c r="F429" s="1755">
        <v>45402</v>
      </c>
      <c r="G429" s="1755">
        <v>2333</v>
      </c>
      <c r="H429" s="1755">
        <v>702</v>
      </c>
      <c r="I429" s="1755">
        <v>145</v>
      </c>
      <c r="J429" s="1755">
        <v>24</v>
      </c>
      <c r="K429" s="1756">
        <v>64</v>
      </c>
    </row>
    <row r="430" spans="2:11" ht="17" thickBot="1">
      <c r="B430" s="1754">
        <v>3806</v>
      </c>
      <c r="C430" s="1755">
        <v>62</v>
      </c>
      <c r="D430" s="1755">
        <v>503</v>
      </c>
      <c r="E430" s="1755">
        <v>3153</v>
      </c>
      <c r="F430" s="1755">
        <v>45403</v>
      </c>
      <c r="G430" s="1755">
        <v>2323</v>
      </c>
      <c r="H430" s="1755">
        <v>701</v>
      </c>
      <c r="I430" s="1755">
        <v>944</v>
      </c>
      <c r="J430" s="1755">
        <v>92</v>
      </c>
      <c r="K430" s="1756">
        <v>63</v>
      </c>
    </row>
    <row r="431" spans="2:11" ht="18" thickBot="1">
      <c r="B431" s="1754">
        <v>3807</v>
      </c>
      <c r="C431" s="1755">
        <v>122</v>
      </c>
      <c r="D431" s="1755">
        <v>2664</v>
      </c>
      <c r="E431" s="1755">
        <v>7150</v>
      </c>
      <c r="F431" s="1755">
        <v>45404</v>
      </c>
      <c r="G431" s="1755">
        <v>3060</v>
      </c>
      <c r="H431" s="1755">
        <v>2702</v>
      </c>
      <c r="I431" s="1755">
        <v>822</v>
      </c>
      <c r="J431" s="1755" t="s">
        <v>1094</v>
      </c>
      <c r="K431" s="1756">
        <v>140</v>
      </c>
    </row>
    <row r="432" spans="2:11" ht="18" thickBot="1">
      <c r="B432" s="1754">
        <v>3808</v>
      </c>
      <c r="C432" s="1755">
        <v>1068</v>
      </c>
      <c r="D432" s="1755">
        <v>376</v>
      </c>
      <c r="E432" s="1755">
        <v>7227</v>
      </c>
      <c r="F432" s="1755">
        <v>45405</v>
      </c>
      <c r="G432" s="1755">
        <v>3670</v>
      </c>
      <c r="H432" s="1755" t="s">
        <v>1094</v>
      </c>
      <c r="I432" s="1755">
        <v>489</v>
      </c>
      <c r="J432" s="1755">
        <v>339</v>
      </c>
      <c r="K432" s="1756">
        <v>166</v>
      </c>
    </row>
    <row r="433" spans="2:11" ht="17" thickBot="1">
      <c r="B433" s="1754">
        <v>3809</v>
      </c>
      <c r="C433" s="1755">
        <v>1066</v>
      </c>
      <c r="D433" s="1755">
        <v>375</v>
      </c>
      <c r="E433" s="1755">
        <v>7169</v>
      </c>
      <c r="F433" s="1755">
        <v>45406</v>
      </c>
      <c r="G433" s="1755">
        <v>3664</v>
      </c>
      <c r="H433" s="1755">
        <v>2506</v>
      </c>
      <c r="I433" s="1755">
        <v>853</v>
      </c>
      <c r="J433" s="1755">
        <v>684</v>
      </c>
      <c r="K433" s="1756">
        <v>165</v>
      </c>
    </row>
    <row r="434" spans="2:11" ht="18" thickBot="1">
      <c r="B434" s="1754">
        <v>3810</v>
      </c>
      <c r="C434" s="1755">
        <v>1066</v>
      </c>
      <c r="D434" s="1755">
        <v>374</v>
      </c>
      <c r="E434" s="1755">
        <v>7168</v>
      </c>
      <c r="F434" s="1755">
        <v>45407</v>
      </c>
      <c r="G434" s="1755">
        <v>3664</v>
      </c>
      <c r="H434" s="1755">
        <v>1108</v>
      </c>
      <c r="I434" s="1755">
        <v>746</v>
      </c>
      <c r="J434" s="1755" t="s">
        <v>1144</v>
      </c>
      <c r="K434" s="1756">
        <v>164</v>
      </c>
    </row>
    <row r="435" spans="2:11" ht="17" thickBot="1">
      <c r="B435" s="1754">
        <v>3811</v>
      </c>
      <c r="C435" s="1755">
        <v>1060</v>
      </c>
      <c r="D435" s="1755">
        <v>371</v>
      </c>
      <c r="E435" s="1755">
        <v>7053</v>
      </c>
      <c r="F435" s="1755">
        <v>45408</v>
      </c>
      <c r="G435" s="1755">
        <v>3639</v>
      </c>
      <c r="H435" s="1755">
        <v>1101</v>
      </c>
      <c r="I435" s="1755">
        <v>562</v>
      </c>
      <c r="J435" s="1755">
        <v>194</v>
      </c>
      <c r="K435" s="1756">
        <v>161</v>
      </c>
    </row>
    <row r="436" spans="2:11" ht="17" thickBot="1">
      <c r="B436" s="1754">
        <v>3812</v>
      </c>
      <c r="C436" s="1755">
        <v>188</v>
      </c>
      <c r="D436" s="1755">
        <v>900</v>
      </c>
      <c r="E436" s="1755">
        <v>6186</v>
      </c>
      <c r="F436" s="1755">
        <v>45409</v>
      </c>
      <c r="G436" s="1755">
        <v>4074</v>
      </c>
      <c r="H436" s="1755">
        <v>2705</v>
      </c>
      <c r="I436" s="1755">
        <v>487</v>
      </c>
      <c r="J436" s="1755">
        <v>684</v>
      </c>
      <c r="K436" s="1756">
        <v>214</v>
      </c>
    </row>
    <row r="437" spans="2:11" ht="17" thickBot="1">
      <c r="B437" s="1754">
        <v>3813</v>
      </c>
      <c r="C437" s="1755">
        <v>875</v>
      </c>
      <c r="D437" s="1755">
        <v>533</v>
      </c>
      <c r="E437" s="1755">
        <v>6185</v>
      </c>
      <c r="F437" s="1755">
        <v>45410</v>
      </c>
      <c r="G437" s="1755">
        <v>4218</v>
      </c>
      <c r="H437" s="1755">
        <v>1101</v>
      </c>
      <c r="I437" s="1755">
        <v>524</v>
      </c>
      <c r="J437" s="1755">
        <v>1432</v>
      </c>
      <c r="K437" s="1756">
        <v>232</v>
      </c>
    </row>
    <row r="438" spans="2:11" ht="17" thickBot="1">
      <c r="B438" s="1754">
        <v>3814</v>
      </c>
      <c r="C438" s="1755">
        <v>1074</v>
      </c>
      <c r="D438" s="1755">
        <v>845</v>
      </c>
      <c r="E438" s="1755">
        <v>6187</v>
      </c>
      <c r="F438" s="1755">
        <v>45411</v>
      </c>
      <c r="G438" s="1755">
        <v>4150</v>
      </c>
      <c r="H438" s="1755">
        <v>1203</v>
      </c>
      <c r="I438" s="1755">
        <v>526</v>
      </c>
      <c r="J438" s="1755">
        <v>8</v>
      </c>
      <c r="K438" s="1756">
        <v>217</v>
      </c>
    </row>
    <row r="439" spans="2:11" ht="18" thickBot="1">
      <c r="B439" s="1754">
        <v>3815</v>
      </c>
      <c r="C439" s="1755">
        <v>877</v>
      </c>
      <c r="D439" s="1755">
        <v>536</v>
      </c>
      <c r="E439" s="1755">
        <v>6876</v>
      </c>
      <c r="F439" s="1755">
        <v>45412</v>
      </c>
      <c r="G439" s="1755">
        <v>4231</v>
      </c>
      <c r="H439" s="1755" t="s">
        <v>1094</v>
      </c>
      <c r="I439" s="1755">
        <v>526</v>
      </c>
      <c r="J439" s="1755">
        <v>9</v>
      </c>
      <c r="K439" s="1756">
        <v>230</v>
      </c>
    </row>
    <row r="440" spans="2:11" ht="18" thickBot="1">
      <c r="B440" s="1754">
        <v>3816</v>
      </c>
      <c r="C440" s="1755">
        <v>876</v>
      </c>
      <c r="D440" s="1755">
        <v>534</v>
      </c>
      <c r="E440" s="1755">
        <v>6879</v>
      </c>
      <c r="F440" s="1755">
        <v>45413</v>
      </c>
      <c r="G440" s="1755">
        <v>4228</v>
      </c>
      <c r="H440" s="1755" t="s">
        <v>1094</v>
      </c>
      <c r="I440" s="1755">
        <v>643</v>
      </c>
      <c r="J440" s="1755">
        <v>85</v>
      </c>
      <c r="K440" s="1756">
        <v>228</v>
      </c>
    </row>
    <row r="441" spans="2:11" ht="18" thickBot="1">
      <c r="B441" s="1754">
        <v>3817</v>
      </c>
      <c r="C441" s="1755">
        <v>875</v>
      </c>
      <c r="D441" s="1755">
        <v>2533</v>
      </c>
      <c r="E441" s="1755">
        <v>6875</v>
      </c>
      <c r="F441" s="1755">
        <v>45414</v>
      </c>
      <c r="G441" s="1755">
        <v>4218</v>
      </c>
      <c r="H441" s="1755" t="s">
        <v>1094</v>
      </c>
      <c r="I441" s="1755">
        <v>152</v>
      </c>
      <c r="J441" s="1755">
        <v>829</v>
      </c>
      <c r="K441" s="1756">
        <v>227</v>
      </c>
    </row>
    <row r="442" spans="2:11" ht="18" thickBot="1">
      <c r="B442" s="1754">
        <v>3818</v>
      </c>
      <c r="C442" s="1755">
        <v>926</v>
      </c>
      <c r="D442" s="1755" t="s">
        <v>1162</v>
      </c>
      <c r="E442" s="1755">
        <v>6228</v>
      </c>
      <c r="F442" s="1755">
        <v>45415</v>
      </c>
      <c r="G442" s="1755">
        <v>4371</v>
      </c>
      <c r="H442" s="1755">
        <v>1205</v>
      </c>
      <c r="I442" s="1755">
        <v>646</v>
      </c>
      <c r="J442" s="1755" t="s">
        <v>1130</v>
      </c>
      <c r="K442" s="1756">
        <v>245</v>
      </c>
    </row>
    <row r="443" spans="2:11" ht="18" thickBot="1">
      <c r="B443" s="1754">
        <v>3819</v>
      </c>
      <c r="C443" s="1755">
        <v>278</v>
      </c>
      <c r="D443" s="1755" t="s">
        <v>1151</v>
      </c>
      <c r="E443" s="1755">
        <v>6253</v>
      </c>
      <c r="F443" s="1755">
        <v>45416</v>
      </c>
      <c r="G443" s="1755">
        <v>4805</v>
      </c>
      <c r="H443" s="1755">
        <v>2703</v>
      </c>
      <c r="I443" s="1755">
        <v>332</v>
      </c>
      <c r="J443" s="1755">
        <v>45</v>
      </c>
      <c r="K443" s="1756">
        <v>295</v>
      </c>
    </row>
    <row r="444" spans="2:11" ht="18" thickBot="1">
      <c r="B444" s="1754">
        <v>3820</v>
      </c>
      <c r="C444" s="1755">
        <v>306</v>
      </c>
      <c r="D444" s="1755">
        <v>2702</v>
      </c>
      <c r="E444" s="1755">
        <v>5363</v>
      </c>
      <c r="F444" s="1755">
        <v>45417</v>
      </c>
      <c r="G444" s="1755">
        <v>1040</v>
      </c>
      <c r="H444" s="1755">
        <v>2509</v>
      </c>
      <c r="I444" s="1755">
        <v>313</v>
      </c>
      <c r="J444" s="1755" t="s">
        <v>1136</v>
      </c>
      <c r="K444" s="1756">
        <v>345</v>
      </c>
    </row>
    <row r="445" spans="2:11" ht="18" thickBot="1">
      <c r="B445" s="1754">
        <v>3821</v>
      </c>
      <c r="C445" s="1755">
        <v>305</v>
      </c>
      <c r="D445" s="1755">
        <v>702</v>
      </c>
      <c r="E445" s="1755">
        <v>2294</v>
      </c>
      <c r="F445" s="1755">
        <v>45418</v>
      </c>
      <c r="G445" s="1755">
        <v>1062</v>
      </c>
      <c r="H445" s="1755">
        <v>2510</v>
      </c>
      <c r="I445" s="1755">
        <v>843</v>
      </c>
      <c r="J445" s="1755" t="s">
        <v>1163</v>
      </c>
      <c r="K445" s="1756">
        <v>344</v>
      </c>
    </row>
    <row r="446" spans="2:11" ht="17" thickBot="1">
      <c r="B446" s="1754">
        <v>3822</v>
      </c>
      <c r="C446" s="1755">
        <v>295</v>
      </c>
      <c r="D446" s="1755">
        <v>700</v>
      </c>
      <c r="E446" s="1755">
        <v>2295</v>
      </c>
      <c r="F446" s="1755">
        <v>45419</v>
      </c>
      <c r="G446" s="1755">
        <v>1137</v>
      </c>
      <c r="H446" s="1755">
        <v>112</v>
      </c>
      <c r="I446" s="1755">
        <v>902</v>
      </c>
      <c r="J446" s="1755">
        <v>3228</v>
      </c>
      <c r="K446" s="1756">
        <v>343</v>
      </c>
    </row>
    <row r="447" spans="2:11" ht="18" thickBot="1">
      <c r="B447" s="1754">
        <v>3823</v>
      </c>
      <c r="C447" s="1755">
        <v>386</v>
      </c>
      <c r="D447" s="1755">
        <v>141</v>
      </c>
      <c r="E447" s="1755">
        <v>2386</v>
      </c>
      <c r="F447" s="1755">
        <v>45420</v>
      </c>
      <c r="G447" s="1755">
        <v>1128</v>
      </c>
      <c r="H447" s="1755">
        <v>2512</v>
      </c>
      <c r="I447" s="1755" t="s">
        <v>1164</v>
      </c>
      <c r="J447" s="1755">
        <v>5355</v>
      </c>
      <c r="K447" s="1756">
        <v>351</v>
      </c>
    </row>
    <row r="448" spans="2:11" ht="18" thickBot="1">
      <c r="B448" s="1754">
        <v>3824</v>
      </c>
      <c r="C448" s="1755">
        <v>8</v>
      </c>
      <c r="D448" s="1755">
        <v>440</v>
      </c>
      <c r="E448" s="1755">
        <v>3006</v>
      </c>
      <c r="F448" s="1755">
        <v>45421</v>
      </c>
      <c r="G448" s="1755">
        <v>1307</v>
      </c>
      <c r="H448" s="1755">
        <v>2503</v>
      </c>
      <c r="I448" s="1755" t="s">
        <v>1094</v>
      </c>
      <c r="J448" s="1755">
        <v>9192</v>
      </c>
      <c r="K448" s="1756">
        <v>51</v>
      </c>
    </row>
    <row r="449" spans="2:11" ht="17" thickBot="1">
      <c r="B449" s="1754">
        <v>3825</v>
      </c>
      <c r="C449" s="1755">
        <v>323</v>
      </c>
      <c r="D449" s="1755">
        <v>2402</v>
      </c>
      <c r="E449" s="1755">
        <v>2305</v>
      </c>
      <c r="F449" s="1755">
        <v>45422</v>
      </c>
      <c r="G449" s="1755">
        <v>7636</v>
      </c>
      <c r="H449" s="1755">
        <v>307</v>
      </c>
      <c r="I449" s="1755">
        <v>861</v>
      </c>
      <c r="J449" s="1755">
        <v>5765</v>
      </c>
      <c r="K449" s="1756">
        <v>398</v>
      </c>
    </row>
    <row r="450" spans="2:11" ht="18" thickBot="1">
      <c r="B450" s="1754">
        <v>3826</v>
      </c>
      <c r="C450" s="1755">
        <v>1049</v>
      </c>
      <c r="D450" s="1755">
        <v>2129</v>
      </c>
      <c r="E450" s="1755">
        <v>5349</v>
      </c>
      <c r="F450" s="1755">
        <v>45423</v>
      </c>
      <c r="G450" s="1755">
        <v>7731</v>
      </c>
      <c r="H450" s="1755" t="s">
        <v>1094</v>
      </c>
      <c r="I450" s="1755">
        <v>698</v>
      </c>
      <c r="J450" s="1755">
        <v>71</v>
      </c>
      <c r="K450" s="1756">
        <v>359</v>
      </c>
    </row>
    <row r="451" spans="2:11" ht="17" thickBot="1">
      <c r="B451" s="1754">
        <v>3827</v>
      </c>
      <c r="C451" s="1755">
        <v>311</v>
      </c>
      <c r="D451" s="1755">
        <v>574</v>
      </c>
      <c r="E451" s="1755">
        <v>5351</v>
      </c>
      <c r="F451" s="1755">
        <v>45424</v>
      </c>
      <c r="G451" s="1755">
        <v>7720</v>
      </c>
      <c r="H451" s="1755">
        <v>2013</v>
      </c>
      <c r="I451" s="1755">
        <v>122</v>
      </c>
      <c r="J451" s="1755">
        <v>5815</v>
      </c>
      <c r="K451" s="1756">
        <v>356</v>
      </c>
    </row>
    <row r="452" spans="2:11" ht="17" thickBot="1">
      <c r="B452" s="1754">
        <v>3828</v>
      </c>
      <c r="C452" s="1755">
        <v>373</v>
      </c>
      <c r="D452" s="1755">
        <v>773</v>
      </c>
      <c r="E452" s="1755">
        <v>2412</v>
      </c>
      <c r="F452" s="1755">
        <v>45425</v>
      </c>
      <c r="G452" s="1755">
        <v>7392</v>
      </c>
      <c r="H452" s="1755">
        <v>2109</v>
      </c>
      <c r="I452" s="1755">
        <v>913</v>
      </c>
      <c r="J452" s="1755">
        <v>212</v>
      </c>
      <c r="K452" s="1756">
        <v>332</v>
      </c>
    </row>
    <row r="453" spans="2:11" ht="17" thickBot="1">
      <c r="B453" s="1754">
        <v>3829</v>
      </c>
      <c r="C453" s="1755">
        <v>901</v>
      </c>
      <c r="D453" s="1755">
        <v>576</v>
      </c>
      <c r="E453" s="1755">
        <v>2876</v>
      </c>
      <c r="F453" s="1755">
        <v>45426</v>
      </c>
      <c r="G453" s="1755">
        <v>7155</v>
      </c>
      <c r="H453" s="1755">
        <v>2210</v>
      </c>
      <c r="I453" s="1755">
        <v>914</v>
      </c>
      <c r="J453" s="1755">
        <v>3250</v>
      </c>
      <c r="K453" s="1756">
        <v>342</v>
      </c>
    </row>
    <row r="454" spans="2:11" ht="18" thickBot="1">
      <c r="B454" s="1754">
        <v>3830</v>
      </c>
      <c r="C454" s="1755">
        <v>5975</v>
      </c>
      <c r="D454" s="1755">
        <v>466</v>
      </c>
      <c r="E454" s="1755">
        <v>2975</v>
      </c>
      <c r="F454" s="1755">
        <v>45427</v>
      </c>
      <c r="G454" s="1755">
        <v>7685</v>
      </c>
      <c r="H454" s="1755">
        <v>401</v>
      </c>
      <c r="I454" s="1755">
        <v>304</v>
      </c>
      <c r="J454" s="1755" t="s">
        <v>1165</v>
      </c>
      <c r="K454" s="1756">
        <v>409</v>
      </c>
    </row>
    <row r="455" spans="2:11" ht="17" thickBot="1">
      <c r="B455" s="1754">
        <v>3831</v>
      </c>
      <c r="C455" s="1755">
        <v>29</v>
      </c>
      <c r="D455" s="1755">
        <v>108</v>
      </c>
      <c r="E455" s="1755">
        <v>3041</v>
      </c>
      <c r="F455" s="1755">
        <v>45429</v>
      </c>
      <c r="G455" s="1755">
        <v>1661</v>
      </c>
      <c r="H455" s="1755">
        <v>610</v>
      </c>
      <c r="I455" s="1755">
        <v>146</v>
      </c>
      <c r="J455" s="1755">
        <v>31</v>
      </c>
      <c r="K455" s="1756">
        <v>42</v>
      </c>
    </row>
    <row r="456" spans="2:11" ht="17" thickBot="1">
      <c r="B456" s="1754">
        <v>3832</v>
      </c>
      <c r="C456" s="1755">
        <v>28</v>
      </c>
      <c r="D456" s="1755">
        <v>106</v>
      </c>
      <c r="E456" s="1755">
        <v>3283</v>
      </c>
      <c r="F456" s="1755">
        <v>45430</v>
      </c>
      <c r="G456" s="1755">
        <v>1661</v>
      </c>
      <c r="H456" s="1755">
        <v>506</v>
      </c>
      <c r="I456" s="1755">
        <v>145</v>
      </c>
      <c r="J456" s="1755">
        <v>31</v>
      </c>
      <c r="K456" s="1756">
        <v>41</v>
      </c>
    </row>
    <row r="457" spans="2:11" ht="17" thickBot="1">
      <c r="B457" s="1754">
        <v>3833</v>
      </c>
      <c r="C457" s="1755">
        <v>31</v>
      </c>
      <c r="D457" s="1755">
        <v>1105</v>
      </c>
      <c r="E457" s="1755">
        <v>3282</v>
      </c>
      <c r="F457" s="1755">
        <v>45431</v>
      </c>
      <c r="G457" s="1755">
        <v>2159</v>
      </c>
      <c r="H457" s="1755">
        <v>414</v>
      </c>
      <c r="I457" s="1755">
        <v>144</v>
      </c>
      <c r="J457" s="1755">
        <v>5700</v>
      </c>
      <c r="K457" s="1756">
        <v>40</v>
      </c>
    </row>
    <row r="458" spans="2:11" ht="17" thickBot="1">
      <c r="B458" s="1754">
        <v>3834</v>
      </c>
      <c r="C458" s="1755">
        <v>100</v>
      </c>
      <c r="D458" s="1755">
        <v>287</v>
      </c>
      <c r="E458" s="1755">
        <v>4101</v>
      </c>
      <c r="F458" s="1755">
        <v>45432</v>
      </c>
      <c r="G458" s="1755">
        <v>2589</v>
      </c>
      <c r="H458" s="1755">
        <v>805</v>
      </c>
      <c r="I458" s="1755">
        <v>933</v>
      </c>
      <c r="J458" s="1755">
        <v>5545</v>
      </c>
      <c r="K458" s="1756">
        <v>107</v>
      </c>
    </row>
    <row r="459" spans="2:11" ht="18" thickBot="1">
      <c r="B459" s="1754">
        <v>3835</v>
      </c>
      <c r="C459" s="1755">
        <v>98</v>
      </c>
      <c r="D459" s="1755">
        <v>265</v>
      </c>
      <c r="E459" s="1755">
        <v>4097</v>
      </c>
      <c r="F459" s="1755">
        <v>45433</v>
      </c>
      <c r="G459" s="1755">
        <v>2560</v>
      </c>
      <c r="H459" s="1755">
        <v>805</v>
      </c>
      <c r="I459" s="1755">
        <v>103</v>
      </c>
      <c r="J459" s="1755" t="s">
        <v>1166</v>
      </c>
      <c r="K459" s="1756">
        <v>106</v>
      </c>
    </row>
    <row r="460" spans="2:11" ht="18" thickBot="1">
      <c r="B460" s="1754">
        <v>3836</v>
      </c>
      <c r="C460" s="1755">
        <v>90</v>
      </c>
      <c r="D460" s="1755">
        <v>282</v>
      </c>
      <c r="E460" s="1755">
        <v>4104</v>
      </c>
      <c r="F460" s="1755">
        <v>45434</v>
      </c>
      <c r="G460" s="1755">
        <v>2439</v>
      </c>
      <c r="H460" s="1755" t="s">
        <v>1094</v>
      </c>
      <c r="I460" s="1755">
        <v>101</v>
      </c>
      <c r="J460" s="1755">
        <v>1223</v>
      </c>
      <c r="K460" s="1756">
        <v>105</v>
      </c>
    </row>
    <row r="461" spans="2:11" ht="18" thickBot="1">
      <c r="B461" s="1754">
        <v>3837</v>
      </c>
      <c r="C461" s="1755">
        <v>100</v>
      </c>
      <c r="D461" s="1755">
        <v>285</v>
      </c>
      <c r="E461" s="1755">
        <v>4300</v>
      </c>
      <c r="F461" s="1755">
        <v>45435</v>
      </c>
      <c r="G461" s="1755">
        <v>2627</v>
      </c>
      <c r="H461" s="1755">
        <v>712</v>
      </c>
      <c r="I461" s="1755">
        <v>895</v>
      </c>
      <c r="J461" s="1755" t="s">
        <v>1124</v>
      </c>
      <c r="K461" s="1756">
        <v>125</v>
      </c>
    </row>
    <row r="462" spans="2:11" ht="17" thickBot="1">
      <c r="B462" s="1754">
        <v>3838</v>
      </c>
      <c r="C462" s="1755">
        <v>177</v>
      </c>
      <c r="D462" s="1755">
        <v>2663</v>
      </c>
      <c r="E462" s="1755">
        <v>7150</v>
      </c>
      <c r="F462" s="1755">
        <v>45436</v>
      </c>
      <c r="G462" s="1755">
        <v>3400</v>
      </c>
      <c r="H462" s="1755">
        <v>905</v>
      </c>
      <c r="I462" s="1755">
        <v>745</v>
      </c>
      <c r="J462" s="1755">
        <v>5803</v>
      </c>
      <c r="K462" s="1756">
        <v>147</v>
      </c>
    </row>
    <row r="463" spans="2:11" ht="18" thickBot="1">
      <c r="B463" s="1754">
        <v>3839</v>
      </c>
      <c r="C463" s="1755">
        <v>176</v>
      </c>
      <c r="D463" s="1755">
        <v>663</v>
      </c>
      <c r="E463" s="1755">
        <v>7110</v>
      </c>
      <c r="F463" s="1755">
        <v>45437</v>
      </c>
      <c r="G463" s="1755" t="s">
        <v>1094</v>
      </c>
      <c r="H463" s="1755">
        <v>902</v>
      </c>
      <c r="I463" s="1755">
        <v>744</v>
      </c>
      <c r="J463" s="1755">
        <v>5740</v>
      </c>
      <c r="K463" s="1756">
        <v>146</v>
      </c>
    </row>
    <row r="464" spans="2:11" ht="17" thickBot="1">
      <c r="B464" s="1754">
        <v>3840</v>
      </c>
      <c r="C464" s="1755">
        <v>117</v>
      </c>
      <c r="D464" s="1755">
        <v>523</v>
      </c>
      <c r="E464" s="1755">
        <v>7005</v>
      </c>
      <c r="F464" s="1755">
        <v>45438</v>
      </c>
      <c r="G464" s="1755">
        <v>3387</v>
      </c>
      <c r="H464" s="1755">
        <v>907</v>
      </c>
      <c r="I464" s="1755">
        <v>742</v>
      </c>
      <c r="J464" s="1755">
        <v>3514</v>
      </c>
      <c r="K464" s="1756">
        <v>154</v>
      </c>
    </row>
    <row r="465" spans="2:11" ht="17" thickBot="1">
      <c r="B465" s="1754">
        <v>3841</v>
      </c>
      <c r="C465" s="1755">
        <v>159</v>
      </c>
      <c r="D465" s="1755">
        <v>212</v>
      </c>
      <c r="E465" s="1755">
        <v>7053</v>
      </c>
      <c r="F465" s="1755">
        <v>45439</v>
      </c>
      <c r="G465" s="1755">
        <v>3219</v>
      </c>
      <c r="H465" s="1755">
        <v>1001</v>
      </c>
      <c r="I465" s="1755">
        <v>562</v>
      </c>
      <c r="J465" s="1755">
        <v>9400</v>
      </c>
      <c r="K465" s="1756">
        <v>182</v>
      </c>
    </row>
    <row r="466" spans="2:11" ht="18" thickBot="1">
      <c r="B466" s="1754">
        <v>3842</v>
      </c>
      <c r="C466" s="1755">
        <v>164</v>
      </c>
      <c r="D466" s="1755">
        <v>255</v>
      </c>
      <c r="E466" s="1755">
        <v>7182</v>
      </c>
      <c r="F466" s="1755">
        <v>45440</v>
      </c>
      <c r="G466" s="1755">
        <v>3229</v>
      </c>
      <c r="H466" s="1755">
        <v>1010</v>
      </c>
      <c r="I466" s="1755">
        <v>488</v>
      </c>
      <c r="J466" s="1755">
        <v>622</v>
      </c>
      <c r="K466" s="1756" t="s">
        <v>1094</v>
      </c>
    </row>
    <row r="467" spans="2:11" ht="17" thickBot="1">
      <c r="B467" s="1754">
        <v>3843</v>
      </c>
      <c r="C467" s="1755">
        <v>1089</v>
      </c>
      <c r="D467" s="1755">
        <v>414</v>
      </c>
      <c r="E467" s="1755">
        <v>7010</v>
      </c>
      <c r="F467" s="1755">
        <v>45441</v>
      </c>
      <c r="G467" s="1755">
        <v>3822</v>
      </c>
      <c r="H467" s="1755">
        <v>1103</v>
      </c>
      <c r="I467" s="1755">
        <v>486</v>
      </c>
      <c r="J467" s="1755">
        <v>6</v>
      </c>
      <c r="K467" s="1756">
        <v>206</v>
      </c>
    </row>
    <row r="468" spans="2:11" ht="18" thickBot="1">
      <c r="B468" s="1754">
        <v>3844</v>
      </c>
      <c r="C468" s="1755">
        <v>410</v>
      </c>
      <c r="D468" s="1755">
        <v>414</v>
      </c>
      <c r="E468" s="1755">
        <v>7010</v>
      </c>
      <c r="F468" s="1755">
        <v>45442</v>
      </c>
      <c r="G468" s="1755" t="s">
        <v>1094</v>
      </c>
      <c r="H468" s="1755" t="s">
        <v>1094</v>
      </c>
      <c r="I468" s="1755">
        <v>485</v>
      </c>
      <c r="J468" s="1755">
        <v>339</v>
      </c>
      <c r="K468" s="1756">
        <v>210</v>
      </c>
    </row>
    <row r="469" spans="2:11" ht="18" thickBot="1">
      <c r="B469" s="1754">
        <v>3845</v>
      </c>
      <c r="C469" s="1755">
        <v>1089</v>
      </c>
      <c r="D469" s="1755">
        <v>2412</v>
      </c>
      <c r="E469" s="1755">
        <v>7001</v>
      </c>
      <c r="F469" s="1755">
        <v>45443</v>
      </c>
      <c r="G469" s="1755" t="s">
        <v>1094</v>
      </c>
      <c r="H469" s="1755" t="s">
        <v>1094</v>
      </c>
      <c r="I469" s="1755">
        <v>484</v>
      </c>
      <c r="J469" s="1755">
        <v>684</v>
      </c>
      <c r="K469" s="1756">
        <v>209</v>
      </c>
    </row>
    <row r="470" spans="2:11" ht="18" thickBot="1">
      <c r="B470" s="1754">
        <v>3846</v>
      </c>
      <c r="C470" s="1755">
        <v>1090</v>
      </c>
      <c r="D470" s="1755">
        <v>374</v>
      </c>
      <c r="E470" s="1755">
        <v>7001</v>
      </c>
      <c r="F470" s="1755">
        <v>45444</v>
      </c>
      <c r="G470" s="1755" t="s">
        <v>1094</v>
      </c>
      <c r="H470" s="1755" t="s">
        <v>1094</v>
      </c>
      <c r="I470" s="1755">
        <v>482</v>
      </c>
      <c r="J470" s="1755" t="s">
        <v>1121</v>
      </c>
      <c r="K470" s="1756">
        <v>208</v>
      </c>
    </row>
    <row r="471" spans="2:11" ht="17" thickBot="1">
      <c r="B471" s="1754">
        <v>3847</v>
      </c>
      <c r="C471" s="1755">
        <v>1076</v>
      </c>
      <c r="D471" s="1755">
        <v>846</v>
      </c>
      <c r="E471" s="1755">
        <v>6884</v>
      </c>
      <c r="F471" s="1755">
        <v>45445</v>
      </c>
      <c r="G471" s="1755">
        <v>3950</v>
      </c>
      <c r="H471" s="1755">
        <v>2507</v>
      </c>
      <c r="I471" s="1755">
        <v>526</v>
      </c>
      <c r="J471" s="1755">
        <v>95</v>
      </c>
      <c r="K471" s="1756">
        <v>222</v>
      </c>
    </row>
    <row r="472" spans="2:11" ht="18" thickBot="1">
      <c r="B472" s="1754">
        <v>3848</v>
      </c>
      <c r="C472" s="1755">
        <v>1074</v>
      </c>
      <c r="D472" s="1755">
        <v>566</v>
      </c>
      <c r="E472" s="1755">
        <v>6187</v>
      </c>
      <c r="F472" s="1755">
        <v>45446</v>
      </c>
      <c r="G472" s="1755">
        <v>3955</v>
      </c>
      <c r="H472" s="1755">
        <v>1109</v>
      </c>
      <c r="I472" s="1755" t="s">
        <v>1094</v>
      </c>
      <c r="J472" s="1755">
        <v>684</v>
      </c>
      <c r="K472" s="1756">
        <v>221</v>
      </c>
    </row>
    <row r="473" spans="2:11" ht="17" thickBot="1">
      <c r="B473" s="1754">
        <v>3849</v>
      </c>
      <c r="C473" s="1755">
        <v>1070</v>
      </c>
      <c r="D473" s="1755">
        <v>564</v>
      </c>
      <c r="E473" s="1755">
        <v>6185</v>
      </c>
      <c r="F473" s="1755">
        <v>45447</v>
      </c>
      <c r="G473" s="1755">
        <v>3960</v>
      </c>
      <c r="H473" s="1755">
        <v>1111</v>
      </c>
      <c r="I473" s="1755">
        <v>153</v>
      </c>
      <c r="J473" s="1755">
        <v>29</v>
      </c>
      <c r="K473" s="1756">
        <v>219</v>
      </c>
    </row>
    <row r="474" spans="2:11" ht="18" thickBot="1">
      <c r="B474" s="1754">
        <v>3850</v>
      </c>
      <c r="C474" s="1755">
        <v>188</v>
      </c>
      <c r="D474" s="1755">
        <v>845</v>
      </c>
      <c r="E474" s="1755">
        <v>6187</v>
      </c>
      <c r="F474" s="1755">
        <v>45448</v>
      </c>
      <c r="G474" s="1755">
        <v>4074</v>
      </c>
      <c r="H474" s="1755">
        <v>1203</v>
      </c>
      <c r="I474" s="1755">
        <v>437</v>
      </c>
      <c r="J474" s="1755">
        <v>8</v>
      </c>
      <c r="K474" s="1756" t="s">
        <v>1094</v>
      </c>
    </row>
    <row r="475" spans="2:11" ht="18" thickBot="1">
      <c r="B475" s="1754">
        <v>3851</v>
      </c>
      <c r="C475" s="1755">
        <v>186</v>
      </c>
      <c r="D475" s="1755">
        <v>844</v>
      </c>
      <c r="E475" s="1755">
        <v>6186</v>
      </c>
      <c r="F475" s="1755">
        <v>45449</v>
      </c>
      <c r="G475" s="1755" t="s">
        <v>1094</v>
      </c>
      <c r="H475" s="1755">
        <v>1202</v>
      </c>
      <c r="I475" s="1755">
        <v>435</v>
      </c>
      <c r="J475" s="1755">
        <v>8</v>
      </c>
      <c r="K475" s="1756" t="s">
        <v>1094</v>
      </c>
    </row>
    <row r="476" spans="2:11" ht="18" thickBot="1">
      <c r="B476" s="1754">
        <v>3852</v>
      </c>
      <c r="C476" s="1755">
        <v>306</v>
      </c>
      <c r="D476" s="1755">
        <v>2702</v>
      </c>
      <c r="E476" s="1755">
        <v>5307</v>
      </c>
      <c r="F476" s="1755">
        <v>45450</v>
      </c>
      <c r="G476" s="1755">
        <v>1040</v>
      </c>
      <c r="H476" s="1755">
        <v>2203</v>
      </c>
      <c r="I476" s="1755">
        <v>312</v>
      </c>
      <c r="J476" s="1755" t="s">
        <v>1135</v>
      </c>
      <c r="K476" s="1756">
        <v>346</v>
      </c>
    </row>
    <row r="477" spans="2:11" ht="17" thickBot="1">
      <c r="B477" s="1754">
        <v>3853</v>
      </c>
      <c r="C477" s="1755">
        <v>1003</v>
      </c>
      <c r="D477" s="1755">
        <v>403</v>
      </c>
      <c r="E477" s="1755">
        <v>3336</v>
      </c>
      <c r="F477" s="1755">
        <v>45451</v>
      </c>
      <c r="G477" s="1755">
        <v>7731</v>
      </c>
      <c r="H477" s="1755">
        <v>311</v>
      </c>
      <c r="I477" s="1755">
        <v>766</v>
      </c>
      <c r="J477" s="1755">
        <v>3280</v>
      </c>
      <c r="K477" s="1756">
        <v>355</v>
      </c>
    </row>
    <row r="478" spans="2:11" ht="18" thickBot="1">
      <c r="B478" s="1754">
        <v>3854</v>
      </c>
      <c r="C478" s="1755">
        <v>313</v>
      </c>
      <c r="D478" s="1755">
        <v>2402</v>
      </c>
      <c r="E478" s="1755">
        <v>2306</v>
      </c>
      <c r="F478" s="1755">
        <v>45452</v>
      </c>
      <c r="G478" s="1755">
        <v>7720</v>
      </c>
      <c r="H478" s="1755">
        <v>2307</v>
      </c>
      <c r="I478" s="1755">
        <v>695</v>
      </c>
      <c r="J478" s="1755" t="s">
        <v>1167</v>
      </c>
      <c r="K478" s="1756">
        <v>354</v>
      </c>
    </row>
    <row r="479" spans="2:11" ht="18" thickBot="1">
      <c r="B479" s="1754">
        <v>3855</v>
      </c>
      <c r="C479" s="1755">
        <v>311</v>
      </c>
      <c r="D479" s="1755">
        <v>143</v>
      </c>
      <c r="E479" s="1755">
        <v>2305</v>
      </c>
      <c r="F479" s="1755">
        <v>45453</v>
      </c>
      <c r="G479" s="1755">
        <v>7710</v>
      </c>
      <c r="H479" s="1755">
        <v>2012</v>
      </c>
      <c r="I479" s="1755">
        <v>472</v>
      </c>
      <c r="J479" s="1755" t="s">
        <v>1168</v>
      </c>
      <c r="K479" s="1756">
        <v>352</v>
      </c>
    </row>
    <row r="480" spans="2:11" ht="18" thickBot="1">
      <c r="B480" s="1754">
        <v>3856</v>
      </c>
      <c r="C480" s="1755">
        <v>347</v>
      </c>
      <c r="D480" s="1755" t="s">
        <v>1169</v>
      </c>
      <c r="E480" s="1755">
        <v>3335</v>
      </c>
      <c r="F480" s="1755">
        <v>45454</v>
      </c>
      <c r="G480" s="1755">
        <v>7455</v>
      </c>
      <c r="H480" s="1755">
        <v>2309</v>
      </c>
      <c r="I480" s="1755">
        <v>203</v>
      </c>
      <c r="J480" s="1755">
        <v>21</v>
      </c>
      <c r="K480" s="1756">
        <v>389</v>
      </c>
    </row>
    <row r="481" spans="2:11" ht="18" thickBot="1">
      <c r="B481" s="1754">
        <v>3857</v>
      </c>
      <c r="C481" s="1755">
        <v>95</v>
      </c>
      <c r="D481" s="1755">
        <v>131</v>
      </c>
      <c r="E481" s="1755">
        <v>3340</v>
      </c>
      <c r="F481" s="1755">
        <v>45455</v>
      </c>
      <c r="G481" s="1755">
        <v>7825</v>
      </c>
      <c r="H481" s="1755">
        <v>2311</v>
      </c>
      <c r="I481" s="1755">
        <v>283</v>
      </c>
      <c r="J481" s="1755" t="s">
        <v>1150</v>
      </c>
      <c r="K481" s="1756">
        <v>415</v>
      </c>
    </row>
    <row r="482" spans="2:11" ht="17" thickBot="1">
      <c r="B482" s="1754">
        <v>3858</v>
      </c>
      <c r="C482" s="1755">
        <v>1007</v>
      </c>
      <c r="D482" s="1755">
        <v>436</v>
      </c>
      <c r="E482" s="1755">
        <v>2338</v>
      </c>
      <c r="F482" s="1755">
        <v>45456</v>
      </c>
      <c r="G482" s="1755">
        <v>7818</v>
      </c>
      <c r="H482" s="1755">
        <v>810</v>
      </c>
      <c r="I482" s="1755">
        <v>185</v>
      </c>
      <c r="J482" s="1755">
        <v>2122</v>
      </c>
      <c r="K482" s="1756">
        <v>414</v>
      </c>
    </row>
    <row r="483" spans="2:11" ht="17" thickBot="1">
      <c r="B483" s="1754">
        <v>3859</v>
      </c>
      <c r="C483" s="1755">
        <v>923</v>
      </c>
      <c r="D483" s="1755">
        <v>463</v>
      </c>
      <c r="E483" s="1755">
        <v>2337</v>
      </c>
      <c r="F483" s="1755">
        <v>45457</v>
      </c>
      <c r="G483" s="1755">
        <v>7813</v>
      </c>
      <c r="H483" s="1755">
        <v>2312</v>
      </c>
      <c r="I483" s="1755">
        <v>302</v>
      </c>
      <c r="J483" s="1755">
        <v>13</v>
      </c>
      <c r="K483" s="1756">
        <v>413</v>
      </c>
    </row>
    <row r="484" spans="2:11" ht="17" thickBot="1">
      <c r="B484" s="1754">
        <v>3860</v>
      </c>
      <c r="C484" s="1755">
        <v>379</v>
      </c>
      <c r="D484" s="1755">
        <v>437</v>
      </c>
      <c r="E484" s="1755">
        <v>5379</v>
      </c>
      <c r="F484" s="1755">
        <v>45458</v>
      </c>
      <c r="G484" s="1755">
        <v>8032</v>
      </c>
      <c r="H484" s="1755">
        <v>806</v>
      </c>
      <c r="I484" s="1755">
        <v>967</v>
      </c>
      <c r="J484" s="1755">
        <v>4206</v>
      </c>
      <c r="K484" s="1756">
        <v>433</v>
      </c>
    </row>
    <row r="485" spans="2:11" ht="18" thickBot="1">
      <c r="B485" s="1754">
        <v>3861</v>
      </c>
      <c r="C485" s="1755">
        <v>378</v>
      </c>
      <c r="D485" s="1755" t="s">
        <v>1094</v>
      </c>
      <c r="E485" s="1755">
        <v>5376</v>
      </c>
      <c r="F485" s="1755">
        <v>45459</v>
      </c>
      <c r="G485" s="1755">
        <v>8026</v>
      </c>
      <c r="H485" s="1755">
        <v>1912</v>
      </c>
      <c r="I485" s="1755">
        <v>983</v>
      </c>
      <c r="J485" s="1755">
        <v>23</v>
      </c>
      <c r="K485" s="1756">
        <v>432</v>
      </c>
    </row>
    <row r="486" spans="2:11" ht="17" thickBot="1">
      <c r="B486" s="1754">
        <v>3862</v>
      </c>
      <c r="C486" s="1755">
        <v>358</v>
      </c>
      <c r="D486" s="1755">
        <v>445</v>
      </c>
      <c r="E486" s="1755">
        <v>5360</v>
      </c>
      <c r="F486" s="1755">
        <v>45460</v>
      </c>
      <c r="G486" s="1755">
        <v>8204</v>
      </c>
      <c r="H486" s="1755">
        <v>1913</v>
      </c>
      <c r="I486" s="1755">
        <v>975</v>
      </c>
      <c r="J486" s="1755">
        <v>71</v>
      </c>
      <c r="K486" s="1756">
        <v>442</v>
      </c>
    </row>
    <row r="487" spans="2:11" ht="18" thickBot="1">
      <c r="B487" s="1754">
        <v>3863</v>
      </c>
      <c r="C487" s="1755">
        <v>379</v>
      </c>
      <c r="D487" s="1755" t="s">
        <v>1094</v>
      </c>
      <c r="E487" s="1755">
        <v>5379</v>
      </c>
      <c r="F487" s="1755">
        <v>45461</v>
      </c>
      <c r="G487" s="1755">
        <v>8204</v>
      </c>
      <c r="H487" s="1755">
        <v>1912</v>
      </c>
      <c r="I487" s="1755">
        <v>974</v>
      </c>
      <c r="J487" s="1755">
        <v>5750</v>
      </c>
      <c r="K487" s="1756">
        <v>441</v>
      </c>
    </row>
    <row r="488" spans="2:11" ht="18" thickBot="1">
      <c r="B488" s="1754">
        <v>3864</v>
      </c>
      <c r="C488" s="1755">
        <v>376</v>
      </c>
      <c r="D488" s="1755" t="s">
        <v>1094</v>
      </c>
      <c r="E488" s="1755">
        <v>5376</v>
      </c>
      <c r="F488" s="1755">
        <v>45462</v>
      </c>
      <c r="G488" s="1755">
        <v>8190</v>
      </c>
      <c r="H488" s="1755">
        <v>1906</v>
      </c>
      <c r="I488" s="1755">
        <v>952</v>
      </c>
      <c r="J488" s="1755">
        <v>5530</v>
      </c>
      <c r="K488" s="1756">
        <v>440</v>
      </c>
    </row>
    <row r="489" spans="2:11" ht="18" thickBot="1">
      <c r="B489" s="1754">
        <v>3865</v>
      </c>
      <c r="C489" s="1755">
        <v>2</v>
      </c>
      <c r="D489" s="1755">
        <v>100</v>
      </c>
      <c r="E489" s="1755">
        <v>1001</v>
      </c>
      <c r="F489" s="1755">
        <v>45463</v>
      </c>
      <c r="G489" s="1755">
        <v>3000</v>
      </c>
      <c r="H489" s="1755">
        <v>2402</v>
      </c>
      <c r="I489" s="1755" t="s">
        <v>1096</v>
      </c>
      <c r="J489" s="1755" t="s">
        <v>1170</v>
      </c>
      <c r="K489" s="1756">
        <v>444</v>
      </c>
    </row>
    <row r="490" spans="2:11" ht="18" thickBot="1">
      <c r="B490" s="1758">
        <v>3866</v>
      </c>
      <c r="C490" s="1759">
        <v>936</v>
      </c>
      <c r="D490" s="1759">
        <v>711</v>
      </c>
      <c r="E490" s="1759">
        <v>5933</v>
      </c>
      <c r="F490" s="1759">
        <v>45464</v>
      </c>
      <c r="G490" s="1759">
        <v>8390</v>
      </c>
      <c r="H490" s="1759">
        <v>1908</v>
      </c>
      <c r="I490" s="1759" t="s">
        <v>1171</v>
      </c>
      <c r="J490" s="1759" t="s">
        <v>1170</v>
      </c>
      <c r="K490" s="1760">
        <v>469</v>
      </c>
    </row>
  </sheetData>
  <autoFilter ref="B2:K490" xr:uid="{88B88063-4C99-5F49-85FB-1789E5CDE320}"/>
  <pageMargins left="0.7" right="0.7" top="0.75" bottom="0.75" header="0.3" footer="0.3"/>
  <pageSetup paperSize="9" orientation="portrait" r:id="rId1"/>
  <ignoredErrors>
    <ignoredError sqref="B6:B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Release Notes</vt:lpstr>
      <vt:lpstr>DMC Threads - By Number</vt:lpstr>
      <vt:lpstr>Sheet1</vt:lpstr>
      <vt:lpstr>DMC Threads - By Color (2)</vt:lpstr>
      <vt:lpstr>Sheet2</vt:lpstr>
      <vt:lpstr>Print - By Number</vt:lpstr>
      <vt:lpstr>Print - By Number - Blank</vt:lpstr>
      <vt:lpstr>DMC Threads - By Color</vt:lpstr>
      <vt:lpstr>Column Look Up</vt:lpstr>
      <vt:lpstr>Discontinued &amp; Hard-To-Find</vt:lpstr>
      <vt:lpstr>Main Color Chart</vt:lpstr>
      <vt:lpstr>Skin &amp; Hair Colour Charts</vt:lpstr>
      <vt:lpstr>Color Breakdowns</vt:lpstr>
      <vt:lpstr>Availability Checker</vt:lpstr>
      <vt:lpstr>Dimensions Calculator</vt:lpstr>
      <vt:lpstr>Floss Use Estimator</vt:lpstr>
      <vt:lpstr>Calc Hidden</vt:lpstr>
      <vt:lpstr>Thread Conversion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Turton</dc:creator>
  <cp:lastModifiedBy>Microsoft Office User</cp:lastModifiedBy>
  <cp:lastPrinted>2025-03-05T16:29:54Z</cp:lastPrinted>
  <dcterms:created xsi:type="dcterms:W3CDTF">2011-10-05T13:36:30Z</dcterms:created>
  <dcterms:modified xsi:type="dcterms:W3CDTF">2025-10-27T12:03:58Z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880361</vt:lpwstr>
  </property>
  <property fmtid="{D5CDD505-2E9C-101B-9397-08002B2CF9AE}" pid="3" name="NXPowerLiteSettings">
    <vt:lpwstr>C7000400038000</vt:lpwstr>
  </property>
  <property fmtid="{D5CDD505-2E9C-101B-9397-08002B2CF9AE}" pid="4" name="NXPowerLiteVersion">
    <vt:lpwstr>S10.3.1</vt:lpwstr>
  </property>
</Properties>
</file>